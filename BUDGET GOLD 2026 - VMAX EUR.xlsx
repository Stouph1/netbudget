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stephane.pizeuil/Documents/perso/BUDGET S.PIZEUIL/"/>
    </mc:Choice>
  </mc:AlternateContent>
  <xr:revisionPtr revIDLastSave="0" documentId="13_ncr:1_{F1AFABB4-1ECA-B143-B6B2-A901801B2A9A}" xr6:coauthVersionLast="47" xr6:coauthVersionMax="47" xr10:uidLastSave="{00000000-0000-0000-0000-000000000000}"/>
  <bookViews>
    <workbookView xWindow="-51200" yWindow="-9180" windowWidth="51200" windowHeight="27280" tabRatio="460" activeTab="2" xr2:uid="{00000000-000D-0000-FFFF-FFFF00000000}"/>
  </bookViews>
  <sheets>
    <sheet name="Menu" sheetId="1" r:id="rId1"/>
    <sheet name="Menu 2" sheetId="4" r:id="rId2"/>
    <sheet name="Budget Gold" sheetId="3" r:id="rId3"/>
    <sheet name="Synthèse" sheetId="24" r:id="rId4"/>
    <sheet name="Menu Mariage" sheetId="25" r:id="rId5"/>
    <sheet name="Mariage" sheetId="23" r:id="rId6"/>
    <sheet name="Simulateur" sheetId="19" r:id="rId7"/>
    <sheet name="ImmoView 1" sheetId="20" r:id="rId8"/>
    <sheet name="ImmoView 2" sheetId="21" r:id="rId9"/>
    <sheet name="ImmoView 3" sheetId="22" r:id="rId10"/>
    <sheet name="Données" sheetId="2" r:id="rId11"/>
    <sheet name="Vir 1" sheetId="5" r:id="rId12"/>
    <sheet name="Vir 2" sheetId="7" r:id="rId13"/>
    <sheet name="Vir 3" sheetId="8" r:id="rId14"/>
    <sheet name="Vir 4" sheetId="9" r:id="rId15"/>
    <sheet name="Vir 5" sheetId="10" r:id="rId16"/>
    <sheet name="Vir 6" sheetId="11" r:id="rId17"/>
    <sheet name="Vir 7" sheetId="12" r:id="rId18"/>
    <sheet name="Vir 8" sheetId="13" r:id="rId19"/>
    <sheet name="Vir 9" sheetId="14" r:id="rId20"/>
    <sheet name="Vir 10" sheetId="15" r:id="rId21"/>
    <sheet name="Vir 11" sheetId="16" r:id="rId22"/>
    <sheet name="Vir 12" sheetId="17" r:id="rId23"/>
  </sheets>
  <externalReferences>
    <externalReference r:id="rId24"/>
    <externalReference r:id="rId25"/>
    <externalReference r:id="rId26"/>
    <externalReference r:id="rId27"/>
    <externalReference r:id="rId28"/>
  </externalReferences>
  <definedNames>
    <definedName name="_DEP1">'[1]Internal Data'!$P$4:$P$36</definedName>
    <definedName name="_ECHO">'[2]Internal Data'!$A$4:$A$6</definedName>
    <definedName name="_PRO1">'[1]Internal Data'!$D$4:$D$23</definedName>
    <definedName name="_REV1">'[1]Internal Data'!$D$29:$D$47</definedName>
    <definedName name="CHECK">'[3]Internal Data'!$B$4:$B$6</definedName>
    <definedName name="CPRO1">'[1]Internal Data'!$N$4:$N$16</definedName>
    <definedName name="CPROV">Données!$R$25:$R$38</definedName>
    <definedName name="CPTES">Données!$J$7:$J$9</definedName>
    <definedName name="CREDIT">Données!$L$25:$L$47</definedName>
    <definedName name="DATE">Données!$N$25:$N$56</definedName>
    <definedName name="DEBUDGET">Données!$H$8:$H$23</definedName>
    <definedName name="DEBUDGET1">Données!$H$8:$H$15</definedName>
    <definedName name="DEPFIXE">'[4]Données internes'!$Q$4:$Q$44</definedName>
    <definedName name="DEPVAR">'[4]Données internes'!$S$4:$S$14</definedName>
    <definedName name="DFIX">Données!$T$25:$T$56</definedName>
    <definedName name="DIME">Données!$F$33:$F$34</definedName>
    <definedName name="DVAR">Données!$V$25:$V$34</definedName>
    <definedName name="ECHO">'[1]Internal Data'!$A$4:$A$6</definedName>
    <definedName name="EPAR">Données!$H$25:$H$51</definedName>
    <definedName name="EPAR0">'[1]Internal Data'!$H$3:$H$25</definedName>
    <definedName name="EPAR1">'[1]Internal Data'!$F$3:$F$30</definedName>
    <definedName name="EPARBUT">Données!$J$25:$J$43</definedName>
    <definedName name="EPAROBJ">'[3]Internal Data'!$H$4:$H$23</definedName>
    <definedName name="MOISP">'[5]Internal Data'!$L$4:$L$35</definedName>
    <definedName name="MOISP1">'[1]Internal Data'!$L$3:$L$35</definedName>
    <definedName name="NBMAJ">Données!$F$7:$F$14</definedName>
    <definedName name="NBMAJ1">Données!$F$8:$F$14</definedName>
    <definedName name="NBMIN">Données!$D$7:$D$14</definedName>
    <definedName name="NBMIN1">Données!$D$8:$D$14</definedName>
    <definedName name="OBJEPAR">'[4]Données internes'!$E$4:$E$28</definedName>
    <definedName name="OK">Données!$F$25:$F$27</definedName>
    <definedName name="PASS1">'[1]Internal Data'!$J$4:$J$27</definedName>
    <definedName name="PASSIFS">'[4]Données internes'!$I$4:$I$31</definedName>
    <definedName name="PRELEV">'[4]Données internes'!$K$4:$K$36</definedName>
    <definedName name="PROV">Données!$P$25:$P$45</definedName>
    <definedName name="PROVCOM">'[4]Données internes'!$M$4:$M$17</definedName>
    <definedName name="REV">Données!$D$25:$D$45</definedName>
    <definedName name="REVENUS">'[4]Données internes'!$C$4:$C$28</definedName>
    <definedName name="SITFA">Données!$B$7:$B$11</definedName>
    <definedName name="SITFA1">Données!$B$8:$B$11</definedName>
    <definedName name="TYPEPAR">'[4]Données internes'!$G$4:$G$36</definedName>
    <definedName name="VCDE">Données!$B$64:$B$94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7" i="3" l="1"/>
  <c r="P237" i="3"/>
  <c r="M237" i="3"/>
  <c r="D11" i="3"/>
  <c r="F31" i="17" l="1"/>
  <c r="F30" i="17"/>
  <c r="F29" i="17"/>
  <c r="E31" i="17"/>
  <c r="G31" i="17" s="1"/>
  <c r="H31" i="17" s="1"/>
  <c r="E30" i="17"/>
  <c r="G30" i="17" s="1"/>
  <c r="H30" i="17" s="1"/>
  <c r="E29" i="17"/>
  <c r="G29" i="17" s="1"/>
  <c r="H29" i="17" s="1"/>
  <c r="F28" i="17"/>
  <c r="E28" i="17"/>
  <c r="G28" i="17" s="1"/>
  <c r="H28" i="17" s="1"/>
  <c r="F31" i="16"/>
  <c r="F30" i="16"/>
  <c r="F29" i="16"/>
  <c r="F28" i="16"/>
  <c r="E31" i="16"/>
  <c r="G31" i="16" s="1"/>
  <c r="H31" i="16" s="1"/>
  <c r="E30" i="16"/>
  <c r="G30" i="16" s="1"/>
  <c r="H30" i="16" s="1"/>
  <c r="E29" i="16"/>
  <c r="G29" i="16" s="1"/>
  <c r="H29" i="16" s="1"/>
  <c r="E28" i="16"/>
  <c r="G28" i="16" s="1"/>
  <c r="H28" i="16" s="1"/>
  <c r="F31" i="15"/>
  <c r="F30" i="15"/>
  <c r="F29" i="15"/>
  <c r="F28" i="15"/>
  <c r="E31" i="15"/>
  <c r="G31" i="15" s="1"/>
  <c r="H31" i="15" s="1"/>
  <c r="E30" i="15"/>
  <c r="E29" i="15"/>
  <c r="G29" i="15" s="1"/>
  <c r="H29" i="15" s="1"/>
  <c r="E28" i="15"/>
  <c r="G28" i="15" s="1"/>
  <c r="H28" i="15" s="1"/>
  <c r="F31" i="14"/>
  <c r="F30" i="14"/>
  <c r="F29" i="14"/>
  <c r="F28" i="14"/>
  <c r="E31" i="14"/>
  <c r="G31" i="14" s="1"/>
  <c r="H31" i="14" s="1"/>
  <c r="E30" i="14"/>
  <c r="G30" i="14" s="1"/>
  <c r="H30" i="14" s="1"/>
  <c r="E29" i="14"/>
  <c r="G29" i="14" s="1"/>
  <c r="H29" i="14" s="1"/>
  <c r="E28" i="14"/>
  <c r="F31" i="13"/>
  <c r="F30" i="13"/>
  <c r="F29" i="13"/>
  <c r="F28" i="13"/>
  <c r="E31" i="13"/>
  <c r="G31" i="13" s="1"/>
  <c r="H31" i="13" s="1"/>
  <c r="E30" i="13"/>
  <c r="G30" i="13" s="1"/>
  <c r="H30" i="13" s="1"/>
  <c r="E29" i="13"/>
  <c r="G29" i="13" s="1"/>
  <c r="H29" i="13" s="1"/>
  <c r="E28" i="13"/>
  <c r="F31" i="12"/>
  <c r="F30" i="12"/>
  <c r="F29" i="12"/>
  <c r="F28" i="12"/>
  <c r="E31" i="12"/>
  <c r="G31" i="12" s="1"/>
  <c r="H31" i="12" s="1"/>
  <c r="E30" i="12"/>
  <c r="E29" i="12"/>
  <c r="G29" i="12" s="1"/>
  <c r="H29" i="12" s="1"/>
  <c r="E28" i="12"/>
  <c r="F31" i="11"/>
  <c r="F30" i="11"/>
  <c r="F29" i="11"/>
  <c r="F28" i="11"/>
  <c r="E31" i="11"/>
  <c r="G31" i="11" s="1"/>
  <c r="H31" i="11" s="1"/>
  <c r="E30" i="11"/>
  <c r="G30" i="11" s="1"/>
  <c r="H30" i="11" s="1"/>
  <c r="E29" i="11"/>
  <c r="G29" i="11" s="1"/>
  <c r="H29" i="11" s="1"/>
  <c r="E28" i="11"/>
  <c r="G28" i="11" s="1"/>
  <c r="H28" i="11" s="1"/>
  <c r="F31" i="10"/>
  <c r="F30" i="10"/>
  <c r="F29" i="10"/>
  <c r="F28" i="10"/>
  <c r="E31" i="10"/>
  <c r="G31" i="10" s="1"/>
  <c r="H31" i="10" s="1"/>
  <c r="E30" i="10"/>
  <c r="E29" i="10"/>
  <c r="G29" i="10" s="1"/>
  <c r="H29" i="10" s="1"/>
  <c r="E28" i="10"/>
  <c r="F31" i="9"/>
  <c r="F30" i="9"/>
  <c r="F29" i="9"/>
  <c r="F28" i="9"/>
  <c r="E31" i="9"/>
  <c r="G31" i="9" s="1"/>
  <c r="H31" i="9" s="1"/>
  <c r="E30" i="9"/>
  <c r="G30" i="9" s="1"/>
  <c r="H30" i="9" s="1"/>
  <c r="E29" i="9"/>
  <c r="G29" i="9" s="1"/>
  <c r="H29" i="9" s="1"/>
  <c r="E28" i="9"/>
  <c r="G28" i="9" s="1"/>
  <c r="H28" i="9" s="1"/>
  <c r="F31" i="8"/>
  <c r="F30" i="8"/>
  <c r="F29" i="8"/>
  <c r="F28" i="8"/>
  <c r="E31" i="8"/>
  <c r="G31" i="8" s="1"/>
  <c r="H31" i="8" s="1"/>
  <c r="E30" i="8"/>
  <c r="G30" i="8" s="1"/>
  <c r="H30" i="8" s="1"/>
  <c r="E29" i="8"/>
  <c r="G29" i="8" s="1"/>
  <c r="H29" i="8" s="1"/>
  <c r="E28" i="8"/>
  <c r="F31" i="7"/>
  <c r="F30" i="7"/>
  <c r="F29" i="7"/>
  <c r="F28" i="7"/>
  <c r="E31" i="7"/>
  <c r="G31" i="7" s="1"/>
  <c r="H31" i="7" s="1"/>
  <c r="E30" i="7"/>
  <c r="G30" i="7" s="1"/>
  <c r="H30" i="7" s="1"/>
  <c r="E29" i="7"/>
  <c r="G29" i="7" s="1"/>
  <c r="H29" i="7" s="1"/>
  <c r="E28" i="7"/>
  <c r="G28" i="7" s="1"/>
  <c r="H28" i="7" s="1"/>
  <c r="A9" i="8"/>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10" i="9"/>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9" i="9"/>
  <c r="A9" i="10"/>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9" i="1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9" i="12"/>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9" i="13"/>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9" i="14"/>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9" i="15"/>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9" i="16"/>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C31" i="17"/>
  <c r="B31" i="17"/>
  <c r="C30" i="17"/>
  <c r="B30" i="17"/>
  <c r="C29" i="17"/>
  <c r="B29" i="17"/>
  <c r="C28" i="17"/>
  <c r="B28" i="17"/>
  <c r="C31" i="16"/>
  <c r="B31" i="16"/>
  <c r="C30" i="16"/>
  <c r="B30" i="16"/>
  <c r="C29" i="16"/>
  <c r="B29" i="16"/>
  <c r="C28" i="16"/>
  <c r="B28" i="16"/>
  <c r="C31" i="15"/>
  <c r="B31" i="15"/>
  <c r="C30" i="15"/>
  <c r="B30" i="15"/>
  <c r="C29" i="15"/>
  <c r="B29" i="15"/>
  <c r="C28" i="15"/>
  <c r="B28" i="15"/>
  <c r="C31" i="14"/>
  <c r="B31" i="14"/>
  <c r="C30" i="14"/>
  <c r="B30" i="14"/>
  <c r="C29" i="14"/>
  <c r="B29" i="14"/>
  <c r="C28" i="14"/>
  <c r="B28" i="14"/>
  <c r="C31" i="13"/>
  <c r="B31" i="13"/>
  <c r="C30" i="13"/>
  <c r="B30" i="13"/>
  <c r="C29" i="13"/>
  <c r="B29" i="13"/>
  <c r="C28" i="13"/>
  <c r="B28" i="13"/>
  <c r="C31" i="12"/>
  <c r="B31" i="12"/>
  <c r="C30" i="12"/>
  <c r="B30" i="12"/>
  <c r="C29" i="12"/>
  <c r="B29" i="12"/>
  <c r="C28" i="12"/>
  <c r="B28" i="12"/>
  <c r="C31" i="11"/>
  <c r="B31" i="11"/>
  <c r="C30" i="11"/>
  <c r="B30" i="11"/>
  <c r="C29" i="11"/>
  <c r="B29" i="11"/>
  <c r="C28" i="11"/>
  <c r="B28" i="11"/>
  <c r="C31" i="10"/>
  <c r="B31" i="10"/>
  <c r="C30" i="10"/>
  <c r="B30" i="10"/>
  <c r="C29" i="10"/>
  <c r="B29" i="10"/>
  <c r="C28" i="10"/>
  <c r="B28" i="10"/>
  <c r="C31" i="9"/>
  <c r="B31" i="9"/>
  <c r="C30" i="9"/>
  <c r="B30" i="9"/>
  <c r="C29" i="9"/>
  <c r="B29" i="9"/>
  <c r="C28" i="9"/>
  <c r="B28" i="9"/>
  <c r="C31" i="8"/>
  <c r="B31" i="8"/>
  <c r="C30" i="8"/>
  <c r="B30" i="8"/>
  <c r="C29" i="8"/>
  <c r="B29" i="8"/>
  <c r="C28" i="8"/>
  <c r="B28" i="8"/>
  <c r="C31" i="7"/>
  <c r="B31" i="7"/>
  <c r="C30" i="7"/>
  <c r="B30" i="7"/>
  <c r="C29" i="7"/>
  <c r="B29" i="7"/>
  <c r="C28" i="7"/>
  <c r="B28" i="7"/>
  <c r="F31" i="5"/>
  <c r="F30" i="5"/>
  <c r="F29" i="5"/>
  <c r="F28" i="5"/>
  <c r="E31" i="5"/>
  <c r="G31" i="5" s="1"/>
  <c r="H31" i="5" s="1"/>
  <c r="E30" i="5"/>
  <c r="G30" i="5" s="1"/>
  <c r="H30" i="5" s="1"/>
  <c r="E29" i="5"/>
  <c r="E28" i="5"/>
  <c r="B31" i="5"/>
  <c r="B30" i="5"/>
  <c r="C31" i="5"/>
  <c r="C30" i="5"/>
  <c r="C29" i="5"/>
  <c r="C28" i="5"/>
  <c r="B29" i="5"/>
  <c r="B28" i="5"/>
  <c r="AU221" i="3"/>
  <c r="AT221" i="3"/>
  <c r="AP126" i="3"/>
  <c r="AU127" i="3"/>
  <c r="AT127" i="3"/>
  <c r="AM126" i="3"/>
  <c r="AJ126" i="3"/>
  <c r="AG126" i="3"/>
  <c r="AD126" i="3"/>
  <c r="AA126" i="3"/>
  <c r="X126" i="3"/>
  <c r="U126" i="3"/>
  <c r="R126" i="3"/>
  <c r="O126" i="3"/>
  <c r="L126" i="3"/>
  <c r="I126" i="3"/>
  <c r="I219" i="3"/>
  <c r="L219" i="3" s="1"/>
  <c r="O219" i="3" s="1"/>
  <c r="I125" i="3"/>
  <c r="AY125" i="3"/>
  <c r="BB124" i="3"/>
  <c r="BB123" i="3"/>
  <c r="E124" i="3" s="1"/>
  <c r="AY123" i="3"/>
  <c r="AY122" i="3"/>
  <c r="I122" i="3"/>
  <c r="BB121" i="3"/>
  <c r="BB120" i="3"/>
  <c r="F121" i="3" s="1"/>
  <c r="AY120" i="3"/>
  <c r="AY119" i="3"/>
  <c r="I119" i="3"/>
  <c r="L119" i="3" s="1"/>
  <c r="O119" i="3" s="1"/>
  <c r="R119" i="3" s="1"/>
  <c r="U119" i="3" s="1"/>
  <c r="X119" i="3" s="1"/>
  <c r="AA119" i="3" s="1"/>
  <c r="AD119" i="3" s="1"/>
  <c r="AG119" i="3" s="1"/>
  <c r="AJ119" i="3" s="1"/>
  <c r="AM119" i="3" s="1"/>
  <c r="AP119" i="3" s="1"/>
  <c r="I29" i="17" s="1"/>
  <c r="BB118" i="3"/>
  <c r="BB117" i="3"/>
  <c r="F118" i="3" s="1"/>
  <c r="AY117" i="3"/>
  <c r="AY116" i="3"/>
  <c r="I116" i="3"/>
  <c r="BB115" i="3"/>
  <c r="BB114" i="3"/>
  <c r="BD114" i="3" s="1"/>
  <c r="AY114" i="3"/>
  <c r="J18" i="2"/>
  <c r="J17" i="2"/>
  <c r="J16" i="2"/>
  <c r="J15" i="2"/>
  <c r="J14" i="2"/>
  <c r="G28" i="13" l="1"/>
  <c r="H28" i="13" s="1"/>
  <c r="G29" i="5"/>
  <c r="H29" i="5" s="1"/>
  <c r="G28" i="10"/>
  <c r="H28" i="10" s="1"/>
  <c r="G28" i="5"/>
  <c r="H28" i="5" s="1"/>
  <c r="G30" i="15"/>
  <c r="H30" i="15" s="1"/>
  <c r="G28" i="12"/>
  <c r="H28" i="12" s="1"/>
  <c r="G30" i="10"/>
  <c r="H30" i="10" s="1"/>
  <c r="G28" i="8"/>
  <c r="H28" i="8" s="1"/>
  <c r="I31" i="5"/>
  <c r="L125" i="3"/>
  <c r="L122" i="3"/>
  <c r="O122" i="3" s="1"/>
  <c r="I30" i="5"/>
  <c r="I30" i="7"/>
  <c r="L116" i="3"/>
  <c r="O116" i="3" s="1"/>
  <c r="R116" i="3" s="1"/>
  <c r="U116" i="3" s="1"/>
  <c r="X116" i="3" s="1"/>
  <c r="AA116" i="3" s="1"/>
  <c r="AD116" i="3" s="1"/>
  <c r="AG116" i="3" s="1"/>
  <c r="AJ116" i="3" s="1"/>
  <c r="AM116" i="3" s="1"/>
  <c r="AP116" i="3" s="1"/>
  <c r="I28" i="17" s="1"/>
  <c r="I128" i="3"/>
  <c r="G28" i="14"/>
  <c r="H28" i="14" s="1"/>
  <c r="BB126" i="3"/>
  <c r="BB129" i="3" s="1"/>
  <c r="I29" i="8"/>
  <c r="I29" i="10"/>
  <c r="I29" i="12"/>
  <c r="I29" i="14"/>
  <c r="I29" i="16"/>
  <c r="I29" i="7"/>
  <c r="I29" i="5"/>
  <c r="I29" i="9"/>
  <c r="I29" i="11"/>
  <c r="I29" i="13"/>
  <c r="I29" i="15"/>
  <c r="G30" i="12"/>
  <c r="H30" i="12" s="1"/>
  <c r="I28" i="5"/>
  <c r="E115" i="3"/>
  <c r="F115" i="3"/>
  <c r="AU123" i="3"/>
  <c r="F124" i="3"/>
  <c r="AT123" i="3"/>
  <c r="BD123" i="3"/>
  <c r="BD120" i="3"/>
  <c r="AT120" i="3"/>
  <c r="E121" i="3"/>
  <c r="AU120" i="3"/>
  <c r="BB119" i="3"/>
  <c r="AU119" i="3"/>
  <c r="AT119" i="3"/>
  <c r="AT117" i="3"/>
  <c r="AU117" i="3"/>
  <c r="BD117" i="3"/>
  <c r="E118" i="3"/>
  <c r="AT114" i="3"/>
  <c r="AU114" i="3"/>
  <c r="F51" i="16"/>
  <c r="F50" i="16"/>
  <c r="F49" i="16"/>
  <c r="F48" i="16"/>
  <c r="E51" i="16"/>
  <c r="E50" i="16"/>
  <c r="E49" i="16"/>
  <c r="E48" i="16"/>
  <c r="F51" i="15"/>
  <c r="F50" i="15"/>
  <c r="F49" i="15"/>
  <c r="F48" i="15"/>
  <c r="E51" i="15"/>
  <c r="E50" i="15"/>
  <c r="E49" i="15"/>
  <c r="E48" i="15"/>
  <c r="F51" i="14"/>
  <c r="F50" i="14"/>
  <c r="F48" i="14"/>
  <c r="F49" i="14"/>
  <c r="E51" i="14"/>
  <c r="G51" i="14" s="1"/>
  <c r="H51" i="14" s="1"/>
  <c r="E50" i="14"/>
  <c r="E49" i="14"/>
  <c r="E48" i="14"/>
  <c r="F51" i="13"/>
  <c r="F50" i="13"/>
  <c r="F49" i="13"/>
  <c r="F48" i="13"/>
  <c r="E51" i="13"/>
  <c r="E50" i="13"/>
  <c r="E49" i="13"/>
  <c r="E48" i="13"/>
  <c r="F51" i="12"/>
  <c r="F50" i="12"/>
  <c r="F49" i="12"/>
  <c r="F48" i="12"/>
  <c r="E51" i="12"/>
  <c r="E50" i="12"/>
  <c r="E49" i="12"/>
  <c r="E48" i="12"/>
  <c r="F51" i="11"/>
  <c r="F50" i="11"/>
  <c r="F49" i="11"/>
  <c r="F48" i="11"/>
  <c r="E51" i="11"/>
  <c r="E50" i="11"/>
  <c r="E49" i="11"/>
  <c r="E48" i="11"/>
  <c r="F51" i="17"/>
  <c r="F50" i="17"/>
  <c r="F49" i="17"/>
  <c r="F48" i="17"/>
  <c r="E51" i="17"/>
  <c r="E50" i="17"/>
  <c r="E49" i="17"/>
  <c r="E48" i="17"/>
  <c r="F51" i="10"/>
  <c r="F50" i="10"/>
  <c r="F49" i="10"/>
  <c r="F48" i="10"/>
  <c r="E51" i="10"/>
  <c r="E50" i="10"/>
  <c r="E49" i="10"/>
  <c r="E48" i="10"/>
  <c r="F51" i="9"/>
  <c r="F50" i="9"/>
  <c r="F49" i="9"/>
  <c r="F48" i="9"/>
  <c r="E51" i="9"/>
  <c r="E50" i="9"/>
  <c r="E49" i="9"/>
  <c r="E48" i="9"/>
  <c r="C51" i="17"/>
  <c r="B51" i="17"/>
  <c r="C50" i="17"/>
  <c r="B50" i="17"/>
  <c r="C49" i="17"/>
  <c r="B49" i="17"/>
  <c r="C48" i="17"/>
  <c r="B48" i="17"/>
  <c r="C51" i="16"/>
  <c r="B51" i="16"/>
  <c r="C50" i="16"/>
  <c r="B50" i="16"/>
  <c r="C49" i="16"/>
  <c r="B49" i="16"/>
  <c r="C48" i="16"/>
  <c r="B48" i="16"/>
  <c r="C51" i="15"/>
  <c r="B51" i="15"/>
  <c r="C50" i="15"/>
  <c r="B50" i="15"/>
  <c r="C49" i="15"/>
  <c r="B49" i="15"/>
  <c r="C48" i="15"/>
  <c r="B48" i="15"/>
  <c r="C51" i="14"/>
  <c r="B51" i="14"/>
  <c r="C50" i="14"/>
  <c r="B50" i="14"/>
  <c r="C49" i="14"/>
  <c r="B49" i="14"/>
  <c r="C48" i="14"/>
  <c r="B48" i="14"/>
  <c r="C51" i="13"/>
  <c r="B51" i="13"/>
  <c r="C50" i="13"/>
  <c r="B50" i="13"/>
  <c r="C49" i="13"/>
  <c r="B49" i="13"/>
  <c r="C48" i="13"/>
  <c r="B48" i="13"/>
  <c r="C51" i="12"/>
  <c r="B51" i="12"/>
  <c r="C50" i="12"/>
  <c r="B50" i="12"/>
  <c r="C49" i="12"/>
  <c r="B49" i="12"/>
  <c r="C48" i="12"/>
  <c r="B48" i="12"/>
  <c r="C51" i="11"/>
  <c r="B51" i="11"/>
  <c r="C50" i="11"/>
  <c r="B50" i="11"/>
  <c r="C49" i="11"/>
  <c r="B49" i="11"/>
  <c r="C48" i="11"/>
  <c r="B48" i="11"/>
  <c r="C51" i="10"/>
  <c r="B51" i="10"/>
  <c r="C50" i="10"/>
  <c r="B50" i="10"/>
  <c r="C49" i="10"/>
  <c r="B49" i="10"/>
  <c r="C48" i="10"/>
  <c r="B48" i="10"/>
  <c r="C51" i="9"/>
  <c r="B51" i="9"/>
  <c r="C50" i="9"/>
  <c r="B50" i="9"/>
  <c r="C49" i="9"/>
  <c r="B49" i="9"/>
  <c r="C48" i="9"/>
  <c r="B48" i="9"/>
  <c r="F51" i="8"/>
  <c r="F50" i="8"/>
  <c r="F49" i="8"/>
  <c r="F48" i="8"/>
  <c r="E51" i="8"/>
  <c r="E50" i="8"/>
  <c r="E49" i="8"/>
  <c r="E48" i="8"/>
  <c r="C51" i="8"/>
  <c r="B51" i="8"/>
  <c r="C50" i="8"/>
  <c r="B50" i="8"/>
  <c r="C49" i="8"/>
  <c r="B49" i="8"/>
  <c r="C48" i="8"/>
  <c r="B48" i="8"/>
  <c r="F51" i="7"/>
  <c r="F50" i="7"/>
  <c r="F49" i="7"/>
  <c r="F48" i="7"/>
  <c r="E51" i="7"/>
  <c r="E50" i="7"/>
  <c r="E49" i="7"/>
  <c r="E48" i="7"/>
  <c r="C51" i="7"/>
  <c r="B51" i="7"/>
  <c r="C50" i="7"/>
  <c r="B50" i="7"/>
  <c r="C49" i="7"/>
  <c r="B49" i="7"/>
  <c r="C48" i="7"/>
  <c r="B48" i="7"/>
  <c r="F51" i="5"/>
  <c r="F50" i="5"/>
  <c r="F49" i="5"/>
  <c r="F45" i="5"/>
  <c r="F48" i="5"/>
  <c r="E51" i="5"/>
  <c r="E50" i="5"/>
  <c r="E49" i="5"/>
  <c r="E48" i="5"/>
  <c r="B51" i="5"/>
  <c r="B50" i="5"/>
  <c r="B49" i="5"/>
  <c r="C51" i="5"/>
  <c r="C50" i="5"/>
  <c r="C49" i="5"/>
  <c r="C48" i="5"/>
  <c r="B48" i="5"/>
  <c r="BB218" i="3"/>
  <c r="BB217" i="3"/>
  <c r="AT217" i="3" s="1"/>
  <c r="AP220" i="3"/>
  <c r="AM220" i="3"/>
  <c r="AJ220" i="3"/>
  <c r="AG220" i="3"/>
  <c r="AD220" i="3"/>
  <c r="AA220" i="3"/>
  <c r="X220" i="3"/>
  <c r="U220" i="3"/>
  <c r="R220" i="3"/>
  <c r="O220" i="3"/>
  <c r="L220" i="3"/>
  <c r="I220" i="3"/>
  <c r="AY219" i="3"/>
  <c r="R219" i="3"/>
  <c r="U219" i="3" s="1"/>
  <c r="X219" i="3" s="1"/>
  <c r="AA219" i="3" s="1"/>
  <c r="AD219" i="3" s="1"/>
  <c r="AG219" i="3" s="1"/>
  <c r="AJ219" i="3" s="1"/>
  <c r="AM219" i="3" s="1"/>
  <c r="AP219" i="3" s="1"/>
  <c r="I51" i="17" s="1"/>
  <c r="AY217" i="3"/>
  <c r="AY216" i="3"/>
  <c r="I216" i="3"/>
  <c r="L216" i="3" s="1"/>
  <c r="O216" i="3" s="1"/>
  <c r="R216" i="3" s="1"/>
  <c r="U216" i="3" s="1"/>
  <c r="X216" i="3" s="1"/>
  <c r="AA216" i="3" s="1"/>
  <c r="AD216" i="3" s="1"/>
  <c r="AG216" i="3" s="1"/>
  <c r="AJ216" i="3" s="1"/>
  <c r="AM216" i="3" s="1"/>
  <c r="AP216" i="3" s="1"/>
  <c r="I50" i="17" s="1"/>
  <c r="BB215" i="3"/>
  <c r="BB214" i="3"/>
  <c r="F215" i="3" s="1"/>
  <c r="AY214" i="3"/>
  <c r="AY213" i="3"/>
  <c r="I213" i="3"/>
  <c r="L213" i="3" s="1"/>
  <c r="O213" i="3" s="1"/>
  <c r="R213" i="3" s="1"/>
  <c r="U213" i="3" s="1"/>
  <c r="X213" i="3" s="1"/>
  <c r="AA213" i="3" s="1"/>
  <c r="AD213" i="3" s="1"/>
  <c r="AG213" i="3" s="1"/>
  <c r="AJ213" i="3" s="1"/>
  <c r="AM213" i="3" s="1"/>
  <c r="AP213" i="3" s="1"/>
  <c r="I49" i="17" s="1"/>
  <c r="BB212" i="3"/>
  <c r="BB211" i="3"/>
  <c r="BD211" i="3" s="1"/>
  <c r="AY211" i="3"/>
  <c r="AY210" i="3"/>
  <c r="I210" i="3"/>
  <c r="L210" i="3" s="1"/>
  <c r="O210" i="3" s="1"/>
  <c r="R210" i="3" s="1"/>
  <c r="U210" i="3" s="1"/>
  <c r="X210" i="3" s="1"/>
  <c r="AA210" i="3" s="1"/>
  <c r="AD210" i="3" s="1"/>
  <c r="AG210" i="3" s="1"/>
  <c r="AJ210" i="3" s="1"/>
  <c r="AM210" i="3" s="1"/>
  <c r="AP210" i="3" s="1"/>
  <c r="I48" i="17" s="1"/>
  <c r="BB209" i="3"/>
  <c r="BB208" i="3"/>
  <c r="AY208" i="3"/>
  <c r="O125" i="3" l="1"/>
  <c r="O128" i="3" s="1"/>
  <c r="I31" i="7"/>
  <c r="G48" i="13"/>
  <c r="H48" i="13" s="1"/>
  <c r="G50" i="9"/>
  <c r="H50" i="9" s="1"/>
  <c r="E209" i="3"/>
  <c r="F209" i="3"/>
  <c r="BB220" i="3"/>
  <c r="BB222" i="3" s="1"/>
  <c r="I28" i="8"/>
  <c r="I28" i="15"/>
  <c r="I28" i="10"/>
  <c r="BB116" i="3"/>
  <c r="I28" i="7"/>
  <c r="AU116" i="3"/>
  <c r="I28" i="12"/>
  <c r="AT116" i="3"/>
  <c r="I28" i="11"/>
  <c r="L128" i="3"/>
  <c r="I28" i="13"/>
  <c r="R122" i="3"/>
  <c r="I30" i="8"/>
  <c r="I28" i="16"/>
  <c r="I28" i="9"/>
  <c r="I28" i="14"/>
  <c r="G50" i="11"/>
  <c r="H50" i="11" s="1"/>
  <c r="G50" i="13"/>
  <c r="H50" i="13" s="1"/>
  <c r="G49" i="10"/>
  <c r="H49" i="10" s="1"/>
  <c r="G49" i="12"/>
  <c r="H49" i="12" s="1"/>
  <c r="G49" i="16"/>
  <c r="H49" i="16" s="1"/>
  <c r="G50" i="17"/>
  <c r="H50" i="17" s="1"/>
  <c r="G51" i="9"/>
  <c r="H51" i="9" s="1"/>
  <c r="G51" i="12"/>
  <c r="H51" i="12" s="1"/>
  <c r="G51" i="16"/>
  <c r="H51" i="16" s="1"/>
  <c r="G48" i="17"/>
  <c r="H48" i="17" s="1"/>
  <c r="G49" i="14"/>
  <c r="H49" i="14" s="1"/>
  <c r="G49" i="9"/>
  <c r="H49" i="9" s="1"/>
  <c r="G49" i="17"/>
  <c r="H49" i="17" s="1"/>
  <c r="G49" i="11"/>
  <c r="H49" i="11" s="1"/>
  <c r="G49" i="13"/>
  <c r="H49" i="13" s="1"/>
  <c r="G50" i="15"/>
  <c r="H50" i="15" s="1"/>
  <c r="G50" i="16"/>
  <c r="H50" i="16" s="1"/>
  <c r="G48" i="9"/>
  <c r="H48" i="9" s="1"/>
  <c r="G48" i="11"/>
  <c r="H48" i="11" s="1"/>
  <c r="G48" i="14"/>
  <c r="H48" i="14" s="1"/>
  <c r="G48" i="15"/>
  <c r="H48" i="15" s="1"/>
  <c r="G51" i="5"/>
  <c r="H51" i="5" s="1"/>
  <c r="G49" i="15"/>
  <c r="H49" i="15" s="1"/>
  <c r="G48" i="5"/>
  <c r="H48" i="5" s="1"/>
  <c r="G50" i="10"/>
  <c r="H50" i="10" s="1"/>
  <c r="G50" i="12"/>
  <c r="H50" i="12" s="1"/>
  <c r="G49" i="8"/>
  <c r="H49" i="8" s="1"/>
  <c r="G51" i="17"/>
  <c r="H51" i="17" s="1"/>
  <c r="G51" i="13"/>
  <c r="H51" i="13" s="1"/>
  <c r="I50" i="10"/>
  <c r="I49" i="15"/>
  <c r="I50" i="7"/>
  <c r="I48" i="13"/>
  <c r="I50" i="15"/>
  <c r="I49" i="7"/>
  <c r="G48" i="10"/>
  <c r="H48" i="10" s="1"/>
  <c r="G48" i="12"/>
  <c r="H48" i="12" s="1"/>
  <c r="I49" i="13"/>
  <c r="G50" i="14"/>
  <c r="H50" i="14" s="1"/>
  <c r="G51" i="15"/>
  <c r="H51" i="15" s="1"/>
  <c r="G48" i="16"/>
  <c r="H48" i="16" s="1"/>
  <c r="I48" i="16"/>
  <c r="I48" i="8"/>
  <c r="I48" i="9"/>
  <c r="I48" i="11"/>
  <c r="I50" i="13"/>
  <c r="I50" i="16"/>
  <c r="I48" i="5"/>
  <c r="I49" i="8"/>
  <c r="I49" i="9"/>
  <c r="I49" i="11"/>
  <c r="I48" i="14"/>
  <c r="I50" i="12"/>
  <c r="I49" i="5"/>
  <c r="I50" i="8"/>
  <c r="I50" i="9"/>
  <c r="I50" i="11"/>
  <c r="I49" i="14"/>
  <c r="I50" i="5"/>
  <c r="I48" i="10"/>
  <c r="I48" i="12"/>
  <c r="I50" i="14"/>
  <c r="I48" i="7"/>
  <c r="I49" i="10"/>
  <c r="I49" i="12"/>
  <c r="I48" i="15"/>
  <c r="G48" i="8"/>
  <c r="H48" i="8" s="1"/>
  <c r="E212" i="3"/>
  <c r="F212" i="3"/>
  <c r="I49" i="16"/>
  <c r="G51" i="8"/>
  <c r="H51" i="8" s="1"/>
  <c r="G51" i="7"/>
  <c r="H51" i="7" s="1"/>
  <c r="AU217" i="3"/>
  <c r="BB219" i="3"/>
  <c r="I51" i="10"/>
  <c r="I51" i="11"/>
  <c r="I51" i="13"/>
  <c r="I51" i="15"/>
  <c r="I51" i="8"/>
  <c r="I51" i="7"/>
  <c r="I51" i="5"/>
  <c r="I51" i="9"/>
  <c r="I51" i="12"/>
  <c r="I51" i="14"/>
  <c r="I51" i="16"/>
  <c r="G51" i="11"/>
  <c r="H51" i="11" s="1"/>
  <c r="G51" i="10"/>
  <c r="H51" i="10" s="1"/>
  <c r="G50" i="8"/>
  <c r="H50" i="8" s="1"/>
  <c r="G50" i="7"/>
  <c r="H50" i="7" s="1"/>
  <c r="G48" i="7"/>
  <c r="H48" i="7" s="1"/>
  <c r="G49" i="7"/>
  <c r="H49" i="7" s="1"/>
  <c r="G49" i="5"/>
  <c r="H49" i="5" s="1"/>
  <c r="G50" i="5"/>
  <c r="H50" i="5" s="1"/>
  <c r="AU219" i="3"/>
  <c r="AT219" i="3"/>
  <c r="BD217" i="3"/>
  <c r="E218" i="3"/>
  <c r="F218" i="3"/>
  <c r="BB216" i="3"/>
  <c r="AU216" i="3"/>
  <c r="AT216" i="3"/>
  <c r="AU214" i="3"/>
  <c r="BD214" i="3"/>
  <c r="E215" i="3"/>
  <c r="AT214" i="3"/>
  <c r="AT213" i="3"/>
  <c r="AU213" i="3"/>
  <c r="BB213" i="3"/>
  <c r="AT211" i="3"/>
  <c r="AU211" i="3"/>
  <c r="AU210" i="3"/>
  <c r="AT210" i="3"/>
  <c r="BB210" i="3"/>
  <c r="AT208" i="3"/>
  <c r="AU208" i="3"/>
  <c r="BD208" i="3"/>
  <c r="I31" i="8" l="1"/>
  <c r="R125" i="3"/>
  <c r="R128" i="3" s="1"/>
  <c r="U122" i="3"/>
  <c r="I30" i="9"/>
  <c r="J227" i="3"/>
  <c r="M227" i="3"/>
  <c r="I31" i="9" l="1"/>
  <c r="U125" i="3"/>
  <c r="U128" i="3" s="1"/>
  <c r="X122" i="3"/>
  <c r="I30" i="10"/>
  <c r="AY16" i="3"/>
  <c r="I31" i="10" l="1"/>
  <c r="X125" i="3"/>
  <c r="X128" i="3" s="1"/>
  <c r="AA122" i="3"/>
  <c r="I30" i="11"/>
  <c r="I31" i="11" l="1"/>
  <c r="AA125" i="3"/>
  <c r="AA128" i="3" s="1"/>
  <c r="AD122" i="3"/>
  <c r="I30" i="12"/>
  <c r="AQ285" i="3"/>
  <c r="AN285" i="3"/>
  <c r="AK285" i="3"/>
  <c r="AH285" i="3"/>
  <c r="AB285" i="3"/>
  <c r="AE285" i="3"/>
  <c r="I31" i="12" l="1"/>
  <c r="AD125" i="3"/>
  <c r="AD128" i="3" s="1"/>
  <c r="AG122" i="3"/>
  <c r="I30" i="13"/>
  <c r="J285" i="3"/>
  <c r="I31" i="13" l="1"/>
  <c r="AG125" i="3"/>
  <c r="AG128" i="3" s="1"/>
  <c r="AJ122" i="3"/>
  <c r="I30" i="14"/>
  <c r="Y285" i="3"/>
  <c r="V285" i="3"/>
  <c r="S285" i="3"/>
  <c r="P285" i="3"/>
  <c r="M285" i="3"/>
  <c r="I31" i="14" l="1"/>
  <c r="AJ125" i="3"/>
  <c r="AJ128" i="3" s="1"/>
  <c r="AM122" i="3"/>
  <c r="I30" i="15"/>
  <c r="BB32" i="3"/>
  <c r="I31" i="15" l="1"/>
  <c r="AM125" i="3"/>
  <c r="AM128" i="3" s="1"/>
  <c r="AP122" i="3"/>
  <c r="I30" i="16"/>
  <c r="BB169" i="3"/>
  <c r="BD169" i="3" s="1"/>
  <c r="BB252" i="3"/>
  <c r="BD252" i="3" s="1"/>
  <c r="BB76" i="3"/>
  <c r="BB260" i="3"/>
  <c r="BD260" i="3" s="1"/>
  <c r="BB259" i="3"/>
  <c r="BD259" i="3" s="1"/>
  <c r="BB258" i="3"/>
  <c r="BD258" i="3" s="1"/>
  <c r="BB257" i="3"/>
  <c r="BD257" i="3" s="1"/>
  <c r="BB255" i="3"/>
  <c r="BD255" i="3" s="1"/>
  <c r="BB254" i="3"/>
  <c r="BD254" i="3" s="1"/>
  <c r="BB253" i="3"/>
  <c r="BD253" i="3" s="1"/>
  <c r="BB251" i="3"/>
  <c r="BD251" i="3" s="1"/>
  <c r="BB250" i="3"/>
  <c r="BD250" i="3" s="1"/>
  <c r="BB249" i="3"/>
  <c r="BD249" i="3" s="1"/>
  <c r="BB246" i="3"/>
  <c r="BD246" i="3" s="1"/>
  <c r="BB245" i="3"/>
  <c r="BD245" i="3" s="1"/>
  <c r="BB244" i="3"/>
  <c r="BD244" i="3" s="1"/>
  <c r="BB243" i="3"/>
  <c r="BD243" i="3" s="1"/>
  <c r="BB242" i="3"/>
  <c r="BD242" i="3" s="1"/>
  <c r="BB241" i="3"/>
  <c r="BD241" i="3" s="1"/>
  <c r="BB240" i="3"/>
  <c r="BD240" i="3" s="1"/>
  <c r="BB239" i="3"/>
  <c r="BD239" i="3" s="1"/>
  <c r="BB238" i="3"/>
  <c r="BD238" i="3" s="1"/>
  <c r="BB237" i="3"/>
  <c r="BD237" i="3" s="1"/>
  <c r="BB236" i="3"/>
  <c r="BD236" i="3" s="1"/>
  <c r="BB235" i="3"/>
  <c r="BD235" i="3" s="1"/>
  <c r="BB234" i="3"/>
  <c r="BD234" i="3" s="1"/>
  <c r="BB233" i="3"/>
  <c r="BD233" i="3" s="1"/>
  <c r="BB232" i="3"/>
  <c r="BD232" i="3" s="1"/>
  <c r="BB231" i="3"/>
  <c r="BD231" i="3" s="1"/>
  <c r="BB230" i="3"/>
  <c r="BD230" i="3" s="1"/>
  <c r="BB229" i="3"/>
  <c r="BD229" i="3" s="1"/>
  <c r="BB228" i="3"/>
  <c r="BD228" i="3" s="1"/>
  <c r="BB194" i="3"/>
  <c r="BB193" i="3"/>
  <c r="BD193" i="3" s="1"/>
  <c r="BB191" i="3"/>
  <c r="BB190" i="3"/>
  <c r="BD190" i="3" s="1"/>
  <c r="BB188" i="3"/>
  <c r="BB187" i="3"/>
  <c r="BD187" i="3" s="1"/>
  <c r="BB185" i="3"/>
  <c r="BB184" i="3"/>
  <c r="BD184" i="3" s="1"/>
  <c r="BB182" i="3"/>
  <c r="BB181" i="3"/>
  <c r="BD181" i="3" s="1"/>
  <c r="BB179" i="3"/>
  <c r="BB178" i="3"/>
  <c r="BD178" i="3" s="1"/>
  <c r="BB176" i="3"/>
  <c r="BB175" i="3"/>
  <c r="BD175" i="3" s="1"/>
  <c r="BB173" i="3"/>
  <c r="BB172" i="3"/>
  <c r="BD172" i="3" s="1"/>
  <c r="BB170" i="3"/>
  <c r="BB167" i="3"/>
  <c r="BB166" i="3"/>
  <c r="BD166" i="3" s="1"/>
  <c r="BB164" i="3"/>
  <c r="BB163" i="3"/>
  <c r="BD163" i="3" s="1"/>
  <c r="BB161" i="3"/>
  <c r="BB160" i="3"/>
  <c r="BD160" i="3" s="1"/>
  <c r="BB100" i="3"/>
  <c r="BB99" i="3"/>
  <c r="BD99" i="3" s="1"/>
  <c r="BB97" i="3"/>
  <c r="BB96" i="3"/>
  <c r="BD96" i="3" s="1"/>
  <c r="BB94" i="3"/>
  <c r="BB93" i="3"/>
  <c r="BD93" i="3" s="1"/>
  <c r="BB91" i="3"/>
  <c r="BB90" i="3"/>
  <c r="BD90" i="3" s="1"/>
  <c r="BB88" i="3"/>
  <c r="BB87" i="3"/>
  <c r="BD87" i="3" s="1"/>
  <c r="BB85" i="3"/>
  <c r="BB84" i="3"/>
  <c r="BD84" i="3" s="1"/>
  <c r="BB82" i="3"/>
  <c r="BB81" i="3"/>
  <c r="BD81" i="3" s="1"/>
  <c r="BB79" i="3"/>
  <c r="BB78" i="3"/>
  <c r="BD78" i="3" s="1"/>
  <c r="BB75" i="3"/>
  <c r="BD75" i="3" s="1"/>
  <c r="BB73" i="3"/>
  <c r="BB72" i="3"/>
  <c r="BD72" i="3" s="1"/>
  <c r="BB70" i="3"/>
  <c r="BB69" i="3"/>
  <c r="BD69" i="3" s="1"/>
  <c r="BB67" i="3"/>
  <c r="BB66" i="3"/>
  <c r="BD66" i="3" s="1"/>
  <c r="BB64" i="3"/>
  <c r="BB63" i="3"/>
  <c r="BD63" i="3" s="1"/>
  <c r="BB61" i="3"/>
  <c r="BB60" i="3"/>
  <c r="BD60" i="3" s="1"/>
  <c r="BB58" i="3"/>
  <c r="BB57" i="3"/>
  <c r="BD57" i="3" s="1"/>
  <c r="BB55" i="3"/>
  <c r="BB54" i="3"/>
  <c r="BD54" i="3" s="1"/>
  <c r="BB25" i="3"/>
  <c r="BD25" i="3" s="1"/>
  <c r="BB24" i="3"/>
  <c r="BD24" i="3" s="1"/>
  <c r="BB23" i="3"/>
  <c r="BD23" i="3" s="1"/>
  <c r="BB22" i="3"/>
  <c r="BD22" i="3" s="1"/>
  <c r="BB21" i="3"/>
  <c r="BD21" i="3" s="1"/>
  <c r="BB20" i="3"/>
  <c r="BD20" i="3" s="1"/>
  <c r="BB19" i="3"/>
  <c r="BD19" i="3" s="1"/>
  <c r="BB18" i="3"/>
  <c r="BD18" i="3" s="1"/>
  <c r="BB17" i="3"/>
  <c r="BD17" i="3" s="1"/>
  <c r="BB16" i="3"/>
  <c r="BD16" i="3" s="1"/>
  <c r="BB15" i="3"/>
  <c r="BD15" i="3" s="1"/>
  <c r="BB14" i="3"/>
  <c r="BD14" i="3" s="1"/>
  <c r="BB13" i="3"/>
  <c r="BD13" i="3" s="1"/>
  <c r="BB12" i="3"/>
  <c r="BD12" i="3" s="1"/>
  <c r="BB11" i="3"/>
  <c r="BD11" i="3" s="1"/>
  <c r="BB10" i="3"/>
  <c r="BD10" i="3" s="1"/>
  <c r="I31" i="16" l="1"/>
  <c r="AP125" i="3"/>
  <c r="AP128" i="3"/>
  <c r="I30" i="17"/>
  <c r="AU122" i="3"/>
  <c r="BB122" i="3"/>
  <c r="AT122" i="3"/>
  <c r="BE17" i="3"/>
  <c r="BF17" i="3"/>
  <c r="BF25" i="3"/>
  <c r="BE25" i="3"/>
  <c r="BF18" i="3"/>
  <c r="BE18" i="3"/>
  <c r="BE11" i="3"/>
  <c r="BF11" i="3"/>
  <c r="BE19" i="3"/>
  <c r="BF19" i="3"/>
  <c r="BE24" i="3"/>
  <c r="BF24" i="3"/>
  <c r="BE12" i="3"/>
  <c r="BF12" i="3" s="1"/>
  <c r="BE13" i="3"/>
  <c r="BF13" i="3"/>
  <c r="BE22" i="3"/>
  <c r="BF22" i="3"/>
  <c r="BE16" i="3"/>
  <c r="BF16" i="3"/>
  <c r="BE20" i="3"/>
  <c r="BF20" i="3"/>
  <c r="BF21" i="3"/>
  <c r="BE21" i="3"/>
  <c r="BE14" i="3"/>
  <c r="BF14" i="3"/>
  <c r="BE15" i="3"/>
  <c r="BF15" i="3"/>
  <c r="BE23" i="3"/>
  <c r="BF23" i="3"/>
  <c r="F47" i="17"/>
  <c r="F46" i="17"/>
  <c r="F45" i="17"/>
  <c r="F44" i="17"/>
  <c r="E47" i="17"/>
  <c r="E46" i="17"/>
  <c r="E45" i="17"/>
  <c r="E44" i="17"/>
  <c r="G44" i="17" s="1"/>
  <c r="H44" i="17" s="1"/>
  <c r="F27" i="17"/>
  <c r="F26" i="17"/>
  <c r="F25" i="17"/>
  <c r="F24" i="17"/>
  <c r="E27" i="17"/>
  <c r="E26" i="17"/>
  <c r="E25" i="17"/>
  <c r="E24" i="17"/>
  <c r="F47" i="16"/>
  <c r="F46" i="16"/>
  <c r="F45" i="16"/>
  <c r="F44" i="16"/>
  <c r="E47" i="16"/>
  <c r="E46" i="16"/>
  <c r="E45" i="16"/>
  <c r="E44" i="16"/>
  <c r="G44" i="16" s="1"/>
  <c r="H44" i="16" s="1"/>
  <c r="F27" i="16"/>
  <c r="F26" i="16"/>
  <c r="F25" i="16"/>
  <c r="F24" i="16"/>
  <c r="E27" i="16"/>
  <c r="E26" i="16"/>
  <c r="E25" i="16"/>
  <c r="E24" i="16"/>
  <c r="F47" i="15"/>
  <c r="F46" i="15"/>
  <c r="F45" i="15"/>
  <c r="F44" i="15"/>
  <c r="E47" i="15"/>
  <c r="E46" i="15"/>
  <c r="E45" i="15"/>
  <c r="E44" i="15"/>
  <c r="G44" i="15" s="1"/>
  <c r="H44" i="15" s="1"/>
  <c r="F27" i="15"/>
  <c r="F26" i="15"/>
  <c r="F25" i="15"/>
  <c r="F24" i="15"/>
  <c r="E27" i="15"/>
  <c r="E26" i="15"/>
  <c r="E25" i="15"/>
  <c r="E24" i="15"/>
  <c r="F47" i="14"/>
  <c r="F46" i="14"/>
  <c r="F45" i="14"/>
  <c r="F44" i="14"/>
  <c r="E47" i="14"/>
  <c r="E46" i="14"/>
  <c r="E45" i="14"/>
  <c r="E44" i="14"/>
  <c r="F27" i="14"/>
  <c r="F26" i="14"/>
  <c r="F25" i="14"/>
  <c r="F24" i="14"/>
  <c r="E27" i="14"/>
  <c r="E26" i="14"/>
  <c r="E25" i="14"/>
  <c r="E24" i="14"/>
  <c r="F47" i="13"/>
  <c r="F46" i="13"/>
  <c r="F45" i="13"/>
  <c r="F44" i="13"/>
  <c r="E47" i="13"/>
  <c r="E46" i="13"/>
  <c r="E45" i="13"/>
  <c r="E44" i="13"/>
  <c r="F27" i="13"/>
  <c r="F26" i="13"/>
  <c r="F25" i="13"/>
  <c r="F24" i="13"/>
  <c r="E27" i="13"/>
  <c r="E26" i="13"/>
  <c r="E25" i="13"/>
  <c r="E24" i="13"/>
  <c r="F47" i="12"/>
  <c r="F46" i="12"/>
  <c r="F45" i="12"/>
  <c r="F44" i="12"/>
  <c r="E47" i="12"/>
  <c r="E46" i="12"/>
  <c r="E45" i="12"/>
  <c r="E44" i="12"/>
  <c r="G44" i="12" s="1"/>
  <c r="H44" i="12" s="1"/>
  <c r="F27" i="12"/>
  <c r="F26" i="12"/>
  <c r="F25" i="12"/>
  <c r="F24" i="12"/>
  <c r="E27" i="12"/>
  <c r="E26" i="12"/>
  <c r="E25" i="12"/>
  <c r="E24" i="12"/>
  <c r="G24" i="12" s="1"/>
  <c r="H24" i="12" s="1"/>
  <c r="F47" i="11"/>
  <c r="F46" i="11"/>
  <c r="F45" i="11"/>
  <c r="F44" i="11"/>
  <c r="E47" i="11"/>
  <c r="E46" i="11"/>
  <c r="E45" i="11"/>
  <c r="E44" i="11"/>
  <c r="F27" i="11"/>
  <c r="F26" i="11"/>
  <c r="F25" i="11"/>
  <c r="F24" i="11"/>
  <c r="E27" i="11"/>
  <c r="E26" i="11"/>
  <c r="E25" i="11"/>
  <c r="E24" i="11"/>
  <c r="F47" i="10"/>
  <c r="F46" i="10"/>
  <c r="F45" i="10"/>
  <c r="F44" i="10"/>
  <c r="F27" i="10"/>
  <c r="F26" i="10"/>
  <c r="F25" i="10"/>
  <c r="F24" i="10"/>
  <c r="E47" i="10"/>
  <c r="G47" i="10" s="1"/>
  <c r="H47" i="10" s="1"/>
  <c r="E46" i="10"/>
  <c r="G46" i="10" s="1"/>
  <c r="H46" i="10" s="1"/>
  <c r="E45" i="10"/>
  <c r="G45" i="10" s="1"/>
  <c r="H45" i="10" s="1"/>
  <c r="E44" i="10"/>
  <c r="G44" i="10" s="1"/>
  <c r="H44" i="10" s="1"/>
  <c r="E27" i="10"/>
  <c r="E26" i="10"/>
  <c r="G26" i="10" s="1"/>
  <c r="H26" i="10" s="1"/>
  <c r="E25" i="10"/>
  <c r="E24" i="10"/>
  <c r="F47" i="9"/>
  <c r="F46" i="9"/>
  <c r="F45" i="9"/>
  <c r="F44" i="9"/>
  <c r="E47" i="9"/>
  <c r="E46" i="9"/>
  <c r="E45" i="9"/>
  <c r="E44" i="9"/>
  <c r="F27" i="9"/>
  <c r="F26" i="9"/>
  <c r="F25" i="9"/>
  <c r="F24" i="9"/>
  <c r="E27" i="9"/>
  <c r="E26" i="9"/>
  <c r="E25" i="9"/>
  <c r="E24" i="9"/>
  <c r="F47" i="8"/>
  <c r="F46" i="8"/>
  <c r="F45" i="8"/>
  <c r="F44" i="8"/>
  <c r="E47" i="8"/>
  <c r="E46" i="8"/>
  <c r="E45" i="8"/>
  <c r="E44" i="8"/>
  <c r="F27" i="8"/>
  <c r="F26" i="8"/>
  <c r="F25" i="8"/>
  <c r="F24" i="8"/>
  <c r="E27" i="8"/>
  <c r="E26" i="8"/>
  <c r="E25" i="8"/>
  <c r="E24" i="8"/>
  <c r="C89" i="17"/>
  <c r="C88" i="17"/>
  <c r="C87" i="17"/>
  <c r="C86" i="17"/>
  <c r="C85" i="17"/>
  <c r="C84" i="17"/>
  <c r="C83" i="17"/>
  <c r="C82" i="17"/>
  <c r="C81" i="17"/>
  <c r="C80" i="17"/>
  <c r="C79" i="17"/>
  <c r="C78" i="17"/>
  <c r="C77" i="17"/>
  <c r="C76" i="17"/>
  <c r="C75" i="17"/>
  <c r="C74" i="17"/>
  <c r="C73" i="17"/>
  <c r="C72" i="17"/>
  <c r="C71" i="17"/>
  <c r="C70" i="17"/>
  <c r="C69" i="17"/>
  <c r="C68" i="17"/>
  <c r="C67" i="17"/>
  <c r="C66" i="17"/>
  <c r="C65" i="17"/>
  <c r="C64" i="17"/>
  <c r="C63" i="17"/>
  <c r="C62" i="17"/>
  <c r="C61" i="17"/>
  <c r="C60" i="17"/>
  <c r="C89" i="16"/>
  <c r="C88" i="16"/>
  <c r="C87" i="16"/>
  <c r="C86" i="16"/>
  <c r="C85" i="16"/>
  <c r="C84" i="16"/>
  <c r="C83" i="16"/>
  <c r="C82" i="16"/>
  <c r="C81" i="16"/>
  <c r="C80" i="16"/>
  <c r="C79" i="16"/>
  <c r="C78" i="16"/>
  <c r="C77" i="16"/>
  <c r="C76" i="16"/>
  <c r="C75" i="16"/>
  <c r="C74" i="16"/>
  <c r="C73" i="16"/>
  <c r="C72" i="16"/>
  <c r="C71" i="16"/>
  <c r="C70" i="16"/>
  <c r="C69" i="16"/>
  <c r="C68" i="16"/>
  <c r="C67" i="16"/>
  <c r="C66" i="16"/>
  <c r="C65" i="16"/>
  <c r="C64" i="16"/>
  <c r="C63" i="16"/>
  <c r="C62" i="16"/>
  <c r="C61" i="16"/>
  <c r="C60" i="16"/>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89" i="13"/>
  <c r="C88" i="13"/>
  <c r="C87" i="13"/>
  <c r="C86" i="13"/>
  <c r="C85" i="13"/>
  <c r="C84" i="13"/>
  <c r="C83" i="13"/>
  <c r="C82" i="13"/>
  <c r="C81" i="13"/>
  <c r="C80" i="13"/>
  <c r="C79" i="13"/>
  <c r="C78" i="13"/>
  <c r="C77" i="13"/>
  <c r="C76" i="13"/>
  <c r="C75" i="13"/>
  <c r="C74" i="13"/>
  <c r="C73" i="13"/>
  <c r="C72" i="13"/>
  <c r="C71" i="13"/>
  <c r="C70" i="13"/>
  <c r="C69" i="13"/>
  <c r="C68" i="13"/>
  <c r="C67" i="13"/>
  <c r="C66" i="13"/>
  <c r="C65" i="13"/>
  <c r="C64" i="13"/>
  <c r="C63" i="13"/>
  <c r="C62" i="13"/>
  <c r="C61" i="13"/>
  <c r="C60" i="13"/>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47" i="17"/>
  <c r="B47" i="17"/>
  <c r="C46" i="17"/>
  <c r="B46" i="17"/>
  <c r="C45" i="17"/>
  <c r="B45" i="17"/>
  <c r="C44" i="17"/>
  <c r="B44" i="17"/>
  <c r="C43" i="17"/>
  <c r="B43" i="17"/>
  <c r="C42" i="17"/>
  <c r="B42" i="17"/>
  <c r="C41" i="17"/>
  <c r="B41" i="17"/>
  <c r="C40" i="17"/>
  <c r="B40" i="17"/>
  <c r="C39" i="17"/>
  <c r="B39" i="17"/>
  <c r="C38" i="17"/>
  <c r="B38" i="17"/>
  <c r="C37" i="17"/>
  <c r="B37" i="17"/>
  <c r="C36" i="17"/>
  <c r="B36" i="17"/>
  <c r="C35" i="17"/>
  <c r="B35" i="17"/>
  <c r="C34" i="17"/>
  <c r="B34" i="17"/>
  <c r="C33" i="17"/>
  <c r="B33" i="17"/>
  <c r="C32" i="17"/>
  <c r="B32" i="17"/>
  <c r="C27" i="17"/>
  <c r="B27" i="17"/>
  <c r="C26" i="17"/>
  <c r="B26" i="17"/>
  <c r="C25" i="17"/>
  <c r="B25" i="17"/>
  <c r="C24" i="17"/>
  <c r="B24" i="17"/>
  <c r="C23" i="17"/>
  <c r="B23" i="17"/>
  <c r="C22" i="17"/>
  <c r="B22" i="17"/>
  <c r="C21" i="17"/>
  <c r="B21" i="17"/>
  <c r="C20" i="17"/>
  <c r="B20" i="17"/>
  <c r="C19" i="17"/>
  <c r="B19" i="17"/>
  <c r="C18" i="17"/>
  <c r="B18" i="17"/>
  <c r="C17" i="17"/>
  <c r="B17" i="17"/>
  <c r="C16" i="17"/>
  <c r="B16" i="17"/>
  <c r="C15" i="17"/>
  <c r="B15" i="17"/>
  <c r="C14" i="17"/>
  <c r="B14" i="17"/>
  <c r="C13" i="17"/>
  <c r="B13" i="17"/>
  <c r="C12" i="17"/>
  <c r="B12" i="17"/>
  <c r="C11" i="17"/>
  <c r="B11" i="17"/>
  <c r="C10" i="17"/>
  <c r="B10" i="17"/>
  <c r="C9" i="17"/>
  <c r="B9" i="17"/>
  <c r="A9" i="17"/>
  <c r="A10" i="17" s="1"/>
  <c r="A11" i="17" s="1"/>
  <c r="A12" i="17" s="1"/>
  <c r="A13" i="17" s="1"/>
  <c r="A14" i="17" s="1"/>
  <c r="A15" i="17" s="1"/>
  <c r="A16" i="17" s="1"/>
  <c r="A17" i="17" s="1"/>
  <c r="A18" i="17" s="1"/>
  <c r="A19" i="17" s="1"/>
  <c r="A20" i="17" s="1"/>
  <c r="A21" i="17" s="1"/>
  <c r="A22" i="17" s="1"/>
  <c r="A23" i="17" s="1"/>
  <c r="A24" i="17" s="1"/>
  <c r="A25" i="17" s="1"/>
  <c r="A26" i="17" s="1"/>
  <c r="A27" i="17" s="1"/>
  <c r="C8" i="17"/>
  <c r="B8" i="17"/>
  <c r="C47" i="16"/>
  <c r="B47" i="16"/>
  <c r="C46" i="16"/>
  <c r="B46" i="16"/>
  <c r="C45" i="16"/>
  <c r="B45" i="16"/>
  <c r="C44" i="16"/>
  <c r="B44" i="16"/>
  <c r="C43" i="16"/>
  <c r="B43" i="16"/>
  <c r="C42" i="16"/>
  <c r="B42" i="16"/>
  <c r="C41" i="16"/>
  <c r="B41" i="16"/>
  <c r="C40" i="16"/>
  <c r="B40" i="16"/>
  <c r="C39" i="16"/>
  <c r="B39" i="16"/>
  <c r="C38" i="16"/>
  <c r="B38" i="16"/>
  <c r="C37" i="16"/>
  <c r="B37" i="16"/>
  <c r="C36" i="16"/>
  <c r="B36" i="16"/>
  <c r="C35" i="16"/>
  <c r="B35" i="16"/>
  <c r="C34" i="16"/>
  <c r="B34" i="16"/>
  <c r="C33" i="16"/>
  <c r="B33" i="16"/>
  <c r="C32" i="16"/>
  <c r="B32" i="16"/>
  <c r="C27" i="16"/>
  <c r="B27" i="16"/>
  <c r="C26" i="16"/>
  <c r="B26" i="16"/>
  <c r="C25" i="16"/>
  <c r="B25" i="16"/>
  <c r="C24" i="16"/>
  <c r="B24" i="16"/>
  <c r="C23" i="16"/>
  <c r="B23" i="16"/>
  <c r="C22" i="16"/>
  <c r="B22" i="16"/>
  <c r="C21" i="16"/>
  <c r="B21" i="16"/>
  <c r="C20" i="16"/>
  <c r="B20" i="16"/>
  <c r="C19" i="16"/>
  <c r="B19" i="16"/>
  <c r="C18" i="16"/>
  <c r="B18" i="16"/>
  <c r="C17" i="16"/>
  <c r="B17" i="16"/>
  <c r="C16" i="16"/>
  <c r="B16" i="16"/>
  <c r="C15" i="16"/>
  <c r="B15" i="16"/>
  <c r="C14" i="16"/>
  <c r="B14" i="16"/>
  <c r="C13" i="16"/>
  <c r="B13" i="16"/>
  <c r="C12" i="16"/>
  <c r="B12" i="16"/>
  <c r="C11" i="16"/>
  <c r="B11" i="16"/>
  <c r="C10" i="16"/>
  <c r="B10" i="16"/>
  <c r="C9" i="16"/>
  <c r="B9" i="16"/>
  <c r="C8" i="16"/>
  <c r="B8" i="16"/>
  <c r="C47" i="15"/>
  <c r="B47" i="15"/>
  <c r="C46" i="15"/>
  <c r="B46" i="15"/>
  <c r="C45" i="15"/>
  <c r="B45" i="15"/>
  <c r="C44" i="15"/>
  <c r="B44" i="15"/>
  <c r="C43" i="15"/>
  <c r="B43" i="15"/>
  <c r="C42" i="15"/>
  <c r="B42" i="15"/>
  <c r="C41" i="15"/>
  <c r="B41" i="15"/>
  <c r="C40" i="15"/>
  <c r="B40" i="15"/>
  <c r="C39" i="15"/>
  <c r="B39" i="15"/>
  <c r="C38" i="15"/>
  <c r="B38" i="15"/>
  <c r="C37" i="15"/>
  <c r="B37" i="15"/>
  <c r="C36" i="15"/>
  <c r="B36" i="15"/>
  <c r="C35" i="15"/>
  <c r="B35" i="15"/>
  <c r="C34" i="15"/>
  <c r="B34" i="15"/>
  <c r="C33" i="15"/>
  <c r="B33" i="15"/>
  <c r="C32" i="15"/>
  <c r="B32" i="15"/>
  <c r="C27" i="15"/>
  <c r="B27" i="15"/>
  <c r="C26" i="15"/>
  <c r="B26" i="15"/>
  <c r="C25" i="15"/>
  <c r="B25" i="15"/>
  <c r="C24" i="15"/>
  <c r="B24" i="15"/>
  <c r="C23" i="15"/>
  <c r="B23" i="15"/>
  <c r="C22" i="15"/>
  <c r="B22" i="15"/>
  <c r="C21" i="15"/>
  <c r="B21" i="15"/>
  <c r="C20" i="15"/>
  <c r="B20" i="15"/>
  <c r="C19" i="15"/>
  <c r="B19" i="15"/>
  <c r="C18" i="15"/>
  <c r="B18" i="15"/>
  <c r="C17" i="15"/>
  <c r="B17" i="15"/>
  <c r="C16" i="15"/>
  <c r="B16" i="15"/>
  <c r="C15" i="15"/>
  <c r="B15" i="15"/>
  <c r="C14" i="15"/>
  <c r="B14" i="15"/>
  <c r="C13" i="15"/>
  <c r="B13" i="15"/>
  <c r="C12" i="15"/>
  <c r="B12" i="15"/>
  <c r="C11" i="15"/>
  <c r="B11" i="15"/>
  <c r="C10" i="15"/>
  <c r="B10" i="15"/>
  <c r="C9" i="15"/>
  <c r="B9" i="15"/>
  <c r="C8" i="15"/>
  <c r="B8" i="15"/>
  <c r="C47" i="14"/>
  <c r="B47" i="14"/>
  <c r="C46" i="14"/>
  <c r="B46" i="14"/>
  <c r="C45" i="14"/>
  <c r="B45" i="14"/>
  <c r="C44" i="14"/>
  <c r="B44" i="14"/>
  <c r="C43" i="14"/>
  <c r="B43" i="14"/>
  <c r="C42" i="14"/>
  <c r="B42" i="14"/>
  <c r="C41" i="14"/>
  <c r="B41" i="14"/>
  <c r="C40" i="14"/>
  <c r="B40" i="14"/>
  <c r="C39" i="14"/>
  <c r="B39" i="14"/>
  <c r="C38" i="14"/>
  <c r="B38" i="14"/>
  <c r="C37" i="14"/>
  <c r="B37" i="14"/>
  <c r="C36" i="14"/>
  <c r="B36" i="14"/>
  <c r="C35" i="14"/>
  <c r="B35" i="14"/>
  <c r="C34" i="14"/>
  <c r="B34" i="14"/>
  <c r="C33" i="14"/>
  <c r="B33" i="14"/>
  <c r="C32" i="14"/>
  <c r="B32" i="14"/>
  <c r="C27" i="14"/>
  <c r="B27" i="14"/>
  <c r="C26" i="14"/>
  <c r="B26" i="14"/>
  <c r="C25" i="14"/>
  <c r="B25" i="14"/>
  <c r="C24" i="14"/>
  <c r="B24" i="14"/>
  <c r="C23" i="14"/>
  <c r="B23" i="14"/>
  <c r="C22" i="14"/>
  <c r="B22" i="14"/>
  <c r="C21" i="14"/>
  <c r="B21" i="14"/>
  <c r="C20" i="14"/>
  <c r="B20" i="14"/>
  <c r="C19" i="14"/>
  <c r="B19" i="14"/>
  <c r="C18" i="14"/>
  <c r="B18" i="14"/>
  <c r="C17" i="14"/>
  <c r="B17" i="14"/>
  <c r="C16" i="14"/>
  <c r="B16" i="14"/>
  <c r="C15" i="14"/>
  <c r="B15" i="14"/>
  <c r="C14" i="14"/>
  <c r="B14" i="14"/>
  <c r="C13" i="14"/>
  <c r="B13" i="14"/>
  <c r="C12" i="14"/>
  <c r="B12" i="14"/>
  <c r="C11" i="14"/>
  <c r="B11" i="14"/>
  <c r="C10" i="14"/>
  <c r="B10" i="14"/>
  <c r="C9" i="14"/>
  <c r="B9" i="14"/>
  <c r="C8" i="14"/>
  <c r="B8" i="14"/>
  <c r="C47" i="13"/>
  <c r="B47" i="13"/>
  <c r="C46" i="13"/>
  <c r="B46" i="13"/>
  <c r="C45" i="13"/>
  <c r="B45" i="13"/>
  <c r="C44" i="13"/>
  <c r="B44" i="13"/>
  <c r="C43" i="13"/>
  <c r="B43" i="13"/>
  <c r="C42" i="13"/>
  <c r="B42" i="13"/>
  <c r="C41" i="13"/>
  <c r="B41" i="13"/>
  <c r="C40" i="13"/>
  <c r="B40" i="13"/>
  <c r="C39" i="13"/>
  <c r="B39" i="13"/>
  <c r="C38" i="13"/>
  <c r="B38" i="13"/>
  <c r="C37" i="13"/>
  <c r="B37" i="13"/>
  <c r="C36" i="13"/>
  <c r="B36" i="13"/>
  <c r="C35" i="13"/>
  <c r="B35" i="13"/>
  <c r="C34" i="13"/>
  <c r="B34" i="13"/>
  <c r="C33" i="13"/>
  <c r="B33" i="13"/>
  <c r="C32" i="13"/>
  <c r="B32" i="13"/>
  <c r="C27" i="13"/>
  <c r="B27" i="13"/>
  <c r="C26" i="13"/>
  <c r="B26" i="13"/>
  <c r="C25" i="13"/>
  <c r="B25" i="13"/>
  <c r="C24" i="13"/>
  <c r="B24" i="13"/>
  <c r="C23" i="13"/>
  <c r="B23" i="13"/>
  <c r="C22" i="13"/>
  <c r="B22" i="13"/>
  <c r="C21" i="13"/>
  <c r="B21" i="13"/>
  <c r="C20" i="13"/>
  <c r="B20" i="13"/>
  <c r="C19" i="13"/>
  <c r="B19" i="13"/>
  <c r="C18" i="13"/>
  <c r="B18" i="13"/>
  <c r="C17" i="13"/>
  <c r="B17" i="13"/>
  <c r="C16" i="13"/>
  <c r="B16" i="13"/>
  <c r="C15" i="13"/>
  <c r="B15" i="13"/>
  <c r="C14" i="13"/>
  <c r="B14" i="13"/>
  <c r="C13" i="13"/>
  <c r="B13" i="13"/>
  <c r="C12" i="13"/>
  <c r="B12" i="13"/>
  <c r="C11" i="13"/>
  <c r="B11" i="13"/>
  <c r="C10" i="13"/>
  <c r="B10" i="13"/>
  <c r="C9" i="13"/>
  <c r="B9" i="13"/>
  <c r="C8" i="13"/>
  <c r="B8" i="13"/>
  <c r="C47" i="12"/>
  <c r="B47" i="12"/>
  <c r="C46" i="12"/>
  <c r="B46" i="12"/>
  <c r="C45" i="12"/>
  <c r="B45" i="12"/>
  <c r="C44" i="12"/>
  <c r="B44" i="12"/>
  <c r="C43" i="12"/>
  <c r="B43" i="12"/>
  <c r="C42" i="12"/>
  <c r="B42" i="12"/>
  <c r="C41" i="12"/>
  <c r="B41" i="12"/>
  <c r="C40" i="12"/>
  <c r="B40" i="12"/>
  <c r="C39" i="12"/>
  <c r="B39" i="12"/>
  <c r="C38" i="12"/>
  <c r="B38" i="12"/>
  <c r="C37" i="12"/>
  <c r="B37" i="12"/>
  <c r="C36" i="12"/>
  <c r="B36" i="12"/>
  <c r="C35" i="12"/>
  <c r="B35" i="12"/>
  <c r="C34" i="12"/>
  <c r="B34" i="12"/>
  <c r="C33" i="12"/>
  <c r="B33" i="12"/>
  <c r="C32" i="12"/>
  <c r="B32" i="12"/>
  <c r="C27" i="12"/>
  <c r="B27" i="12"/>
  <c r="C26" i="12"/>
  <c r="B26" i="12"/>
  <c r="C25" i="12"/>
  <c r="B25" i="12"/>
  <c r="C24" i="12"/>
  <c r="B24" i="12"/>
  <c r="C23" i="12"/>
  <c r="B23" i="12"/>
  <c r="C22" i="12"/>
  <c r="B22" i="12"/>
  <c r="C21" i="12"/>
  <c r="B21" i="12"/>
  <c r="C20" i="12"/>
  <c r="B20" i="12"/>
  <c r="C19" i="12"/>
  <c r="B19" i="12"/>
  <c r="C18" i="12"/>
  <c r="B18" i="12"/>
  <c r="C17" i="12"/>
  <c r="B17" i="12"/>
  <c r="C16" i="12"/>
  <c r="B16" i="12"/>
  <c r="C15" i="12"/>
  <c r="B15" i="12"/>
  <c r="C14" i="12"/>
  <c r="B14" i="12"/>
  <c r="C13" i="12"/>
  <c r="B13" i="12"/>
  <c r="C12" i="12"/>
  <c r="B12" i="12"/>
  <c r="C11" i="12"/>
  <c r="B11" i="12"/>
  <c r="C10" i="12"/>
  <c r="B10" i="12"/>
  <c r="C9" i="12"/>
  <c r="B9" i="12"/>
  <c r="C8" i="12"/>
  <c r="B8" i="12"/>
  <c r="C47" i="11"/>
  <c r="B47" i="11"/>
  <c r="C46" i="11"/>
  <c r="B46" i="11"/>
  <c r="C45" i="11"/>
  <c r="B45" i="11"/>
  <c r="C44" i="11"/>
  <c r="B44" i="11"/>
  <c r="C43" i="11"/>
  <c r="B43" i="11"/>
  <c r="C42" i="11"/>
  <c r="B42" i="11"/>
  <c r="C41" i="11"/>
  <c r="B41" i="11"/>
  <c r="C40" i="11"/>
  <c r="B40" i="11"/>
  <c r="C39" i="11"/>
  <c r="B39" i="11"/>
  <c r="C38" i="11"/>
  <c r="B38" i="11"/>
  <c r="C37" i="11"/>
  <c r="B37" i="11"/>
  <c r="C36" i="11"/>
  <c r="B36" i="11"/>
  <c r="C35" i="11"/>
  <c r="B35" i="11"/>
  <c r="C34" i="11"/>
  <c r="B34" i="11"/>
  <c r="C33" i="11"/>
  <c r="B33" i="11"/>
  <c r="C32" i="11"/>
  <c r="B32" i="11"/>
  <c r="C27" i="11"/>
  <c r="B27" i="11"/>
  <c r="C26" i="11"/>
  <c r="B26" i="11"/>
  <c r="C25" i="11"/>
  <c r="B25" i="11"/>
  <c r="C24" i="11"/>
  <c r="B24" i="11"/>
  <c r="C23" i="11"/>
  <c r="B23" i="11"/>
  <c r="C22" i="11"/>
  <c r="B22" i="11"/>
  <c r="C21" i="11"/>
  <c r="B21" i="11"/>
  <c r="C20" i="11"/>
  <c r="B20" i="11"/>
  <c r="C19" i="11"/>
  <c r="B19" i="11"/>
  <c r="C18" i="11"/>
  <c r="B18" i="11"/>
  <c r="C17" i="11"/>
  <c r="B17" i="11"/>
  <c r="C16" i="11"/>
  <c r="B16" i="11"/>
  <c r="C15" i="11"/>
  <c r="B15" i="11"/>
  <c r="C14" i="11"/>
  <c r="B14" i="11"/>
  <c r="C13" i="11"/>
  <c r="B13" i="11"/>
  <c r="C12" i="11"/>
  <c r="B12" i="11"/>
  <c r="C11" i="11"/>
  <c r="B11" i="11"/>
  <c r="C10" i="11"/>
  <c r="B10" i="11"/>
  <c r="C9" i="11"/>
  <c r="B9" i="11"/>
  <c r="C8" i="11"/>
  <c r="B8" i="11"/>
  <c r="C47" i="10"/>
  <c r="B47" i="10"/>
  <c r="C46" i="10"/>
  <c r="B46" i="10"/>
  <c r="C45" i="10"/>
  <c r="B45" i="10"/>
  <c r="C44" i="10"/>
  <c r="B44" i="10"/>
  <c r="C43" i="10"/>
  <c r="B43" i="10"/>
  <c r="C42" i="10"/>
  <c r="B42" i="10"/>
  <c r="C41" i="10"/>
  <c r="B41" i="10"/>
  <c r="C40" i="10"/>
  <c r="B40" i="10"/>
  <c r="C39" i="10"/>
  <c r="B39" i="10"/>
  <c r="C38" i="10"/>
  <c r="B38" i="10"/>
  <c r="C37" i="10"/>
  <c r="B37" i="10"/>
  <c r="C36" i="10"/>
  <c r="B36" i="10"/>
  <c r="C35" i="10"/>
  <c r="B35" i="10"/>
  <c r="C34" i="10"/>
  <c r="B34" i="10"/>
  <c r="C33" i="10"/>
  <c r="B33" i="10"/>
  <c r="C32" i="10"/>
  <c r="B32" i="10"/>
  <c r="C27" i="10"/>
  <c r="B27" i="10"/>
  <c r="C26" i="10"/>
  <c r="B26" i="10"/>
  <c r="C25" i="10"/>
  <c r="B25" i="10"/>
  <c r="C24" i="10"/>
  <c r="B24" i="10"/>
  <c r="C23" i="10"/>
  <c r="B23" i="10"/>
  <c r="C22" i="10"/>
  <c r="B22" i="10"/>
  <c r="C21" i="10"/>
  <c r="B21" i="10"/>
  <c r="C20" i="10"/>
  <c r="B20" i="10"/>
  <c r="C19" i="10"/>
  <c r="B19" i="10"/>
  <c r="C18" i="10"/>
  <c r="B18" i="10"/>
  <c r="C17" i="10"/>
  <c r="B17" i="10"/>
  <c r="C16" i="10"/>
  <c r="B16" i="10"/>
  <c r="C15" i="10"/>
  <c r="B15" i="10"/>
  <c r="C14" i="10"/>
  <c r="B14" i="10"/>
  <c r="C13" i="10"/>
  <c r="B13" i="10"/>
  <c r="C12" i="10"/>
  <c r="B12" i="10"/>
  <c r="C11" i="10"/>
  <c r="B11" i="10"/>
  <c r="C10" i="10"/>
  <c r="B10" i="10"/>
  <c r="C9" i="10"/>
  <c r="B9" i="10"/>
  <c r="C8" i="10"/>
  <c r="B8" i="10"/>
  <c r="C47" i="9"/>
  <c r="B47" i="9"/>
  <c r="C46" i="9"/>
  <c r="B46" i="9"/>
  <c r="C45" i="9"/>
  <c r="B45" i="9"/>
  <c r="C44" i="9"/>
  <c r="B44" i="9"/>
  <c r="C43" i="9"/>
  <c r="B43" i="9"/>
  <c r="C42" i="9"/>
  <c r="B42" i="9"/>
  <c r="C41" i="9"/>
  <c r="B41" i="9"/>
  <c r="C40" i="9"/>
  <c r="B40" i="9"/>
  <c r="C39" i="9"/>
  <c r="B39" i="9"/>
  <c r="C38" i="9"/>
  <c r="B38" i="9"/>
  <c r="C37" i="9"/>
  <c r="B37" i="9"/>
  <c r="C36" i="9"/>
  <c r="B36" i="9"/>
  <c r="C35" i="9"/>
  <c r="B35" i="9"/>
  <c r="C34" i="9"/>
  <c r="B34" i="9"/>
  <c r="C33" i="9"/>
  <c r="B33" i="9"/>
  <c r="C32" i="9"/>
  <c r="B32" i="9"/>
  <c r="C27" i="9"/>
  <c r="B27" i="9"/>
  <c r="C26" i="9"/>
  <c r="B26" i="9"/>
  <c r="C25" i="9"/>
  <c r="B25" i="9"/>
  <c r="C24" i="9"/>
  <c r="B24" i="9"/>
  <c r="C23" i="9"/>
  <c r="B23" i="9"/>
  <c r="C22" i="9"/>
  <c r="B22" i="9"/>
  <c r="C21" i="9"/>
  <c r="B21" i="9"/>
  <c r="C20" i="9"/>
  <c r="B20" i="9"/>
  <c r="C19" i="9"/>
  <c r="B19" i="9"/>
  <c r="C18" i="9"/>
  <c r="B18" i="9"/>
  <c r="C17" i="9"/>
  <c r="B17" i="9"/>
  <c r="C16" i="9"/>
  <c r="B16" i="9"/>
  <c r="C15" i="9"/>
  <c r="B15" i="9"/>
  <c r="C14" i="9"/>
  <c r="B14" i="9"/>
  <c r="C13" i="9"/>
  <c r="B13" i="9"/>
  <c r="C12" i="9"/>
  <c r="B12" i="9"/>
  <c r="C11" i="9"/>
  <c r="B11" i="9"/>
  <c r="C10" i="9"/>
  <c r="B10" i="9"/>
  <c r="C9" i="9"/>
  <c r="B9" i="9"/>
  <c r="C8" i="9"/>
  <c r="B8" i="9"/>
  <c r="C47" i="8"/>
  <c r="B47" i="8"/>
  <c r="C46" i="8"/>
  <c r="B46" i="8"/>
  <c r="C45" i="8"/>
  <c r="B45" i="8"/>
  <c r="C44" i="8"/>
  <c r="B44" i="8"/>
  <c r="C43" i="8"/>
  <c r="B43" i="8"/>
  <c r="C42" i="8"/>
  <c r="B42" i="8"/>
  <c r="C41" i="8"/>
  <c r="B41" i="8"/>
  <c r="C40" i="8"/>
  <c r="B40" i="8"/>
  <c r="C39" i="8"/>
  <c r="B39" i="8"/>
  <c r="C38" i="8"/>
  <c r="B38" i="8"/>
  <c r="C37" i="8"/>
  <c r="B37" i="8"/>
  <c r="C36" i="8"/>
  <c r="B36" i="8"/>
  <c r="C35" i="8"/>
  <c r="B35" i="8"/>
  <c r="C34" i="8"/>
  <c r="B34" i="8"/>
  <c r="C33" i="8"/>
  <c r="B33" i="8"/>
  <c r="C32" i="8"/>
  <c r="B32"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C13" i="8"/>
  <c r="B13" i="8"/>
  <c r="C12" i="8"/>
  <c r="B12" i="8"/>
  <c r="C11" i="8"/>
  <c r="B11" i="8"/>
  <c r="C10" i="8"/>
  <c r="B10" i="8"/>
  <c r="C9" i="8"/>
  <c r="B9" i="8"/>
  <c r="C8" i="8"/>
  <c r="B8" i="8"/>
  <c r="E32" i="11"/>
  <c r="F32" i="11"/>
  <c r="E33" i="11"/>
  <c r="F33" i="11"/>
  <c r="E34" i="11"/>
  <c r="F34" i="11"/>
  <c r="E35" i="11"/>
  <c r="F35" i="11"/>
  <c r="F47" i="7"/>
  <c r="F46" i="7"/>
  <c r="F45" i="7"/>
  <c r="F44" i="7"/>
  <c r="E47" i="7"/>
  <c r="E46" i="7"/>
  <c r="E45" i="7"/>
  <c r="E44" i="7"/>
  <c r="F27" i="7"/>
  <c r="F26" i="7"/>
  <c r="F25" i="7"/>
  <c r="F24" i="7"/>
  <c r="E27" i="7"/>
  <c r="E26" i="7"/>
  <c r="E25" i="7"/>
  <c r="E24" i="7"/>
  <c r="C47" i="7"/>
  <c r="B47" i="7"/>
  <c r="C46" i="7"/>
  <c r="B46" i="7"/>
  <c r="C45" i="7"/>
  <c r="B45" i="7"/>
  <c r="C44" i="7"/>
  <c r="B44" i="7"/>
  <c r="C43" i="7"/>
  <c r="B43" i="7"/>
  <c r="C42" i="7"/>
  <c r="B42" i="7"/>
  <c r="C41" i="7"/>
  <c r="B41" i="7"/>
  <c r="C40" i="7"/>
  <c r="B40" i="7"/>
  <c r="C39" i="7"/>
  <c r="B39" i="7"/>
  <c r="C38" i="7"/>
  <c r="B38" i="7"/>
  <c r="C37" i="7"/>
  <c r="B37" i="7"/>
  <c r="C36" i="7"/>
  <c r="B36" i="7"/>
  <c r="C35" i="7"/>
  <c r="B35" i="7"/>
  <c r="C34" i="7"/>
  <c r="B34" i="7"/>
  <c r="C33" i="7"/>
  <c r="B33" i="7"/>
  <c r="C32" i="7"/>
  <c r="B32" i="7"/>
  <c r="C27" i="7"/>
  <c r="B27" i="7"/>
  <c r="C26" i="7"/>
  <c r="B26" i="7"/>
  <c r="C25" i="7"/>
  <c r="B25" i="7"/>
  <c r="C24" i="7"/>
  <c r="B24" i="7"/>
  <c r="C23" i="7"/>
  <c r="B23" i="7"/>
  <c r="C22" i="7"/>
  <c r="B22" i="7"/>
  <c r="C21" i="7"/>
  <c r="B21" i="7"/>
  <c r="C20" i="7"/>
  <c r="B20" i="7"/>
  <c r="C19" i="7"/>
  <c r="B19" i="7"/>
  <c r="C18" i="7"/>
  <c r="B18" i="7"/>
  <c r="C17" i="7"/>
  <c r="B17" i="7"/>
  <c r="C16" i="7"/>
  <c r="B16" i="7"/>
  <c r="C15" i="7"/>
  <c r="B15" i="7"/>
  <c r="C14" i="7"/>
  <c r="B14" i="7"/>
  <c r="C13" i="7"/>
  <c r="B13" i="7"/>
  <c r="C12" i="7"/>
  <c r="B12" i="7"/>
  <c r="C11" i="7"/>
  <c r="B11" i="7"/>
  <c r="C10" i="7"/>
  <c r="B10" i="7"/>
  <c r="C9" i="7"/>
  <c r="B9" i="7"/>
  <c r="C8" i="7"/>
  <c r="B8" i="7"/>
  <c r="AT125" i="3" l="1"/>
  <c r="AU125" i="3"/>
  <c r="BB125" i="3"/>
  <c r="BB128" i="3" s="1"/>
  <c r="I31" i="17"/>
  <c r="I89" i="17" s="1"/>
  <c r="E89" i="8"/>
  <c r="F89" i="8"/>
  <c r="I89" i="8"/>
  <c r="E89" i="9"/>
  <c r="F89" i="9"/>
  <c r="I89" i="9"/>
  <c r="F89" i="10"/>
  <c r="E89" i="10"/>
  <c r="I89" i="10"/>
  <c r="F89" i="11"/>
  <c r="E89" i="11"/>
  <c r="I89" i="11"/>
  <c r="E89" i="12"/>
  <c r="F89" i="12"/>
  <c r="I89" i="12"/>
  <c r="E89" i="13"/>
  <c r="F89" i="13"/>
  <c r="I89" i="13"/>
  <c r="F89" i="14"/>
  <c r="E89" i="14"/>
  <c r="I89" i="14"/>
  <c r="F89" i="15"/>
  <c r="E89" i="15"/>
  <c r="I89" i="15"/>
  <c r="F89" i="16"/>
  <c r="E89" i="16"/>
  <c r="I89" i="16"/>
  <c r="E89" i="17"/>
  <c r="F89" i="17"/>
  <c r="A28" i="17"/>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G44" i="11"/>
  <c r="H44" i="11" s="1"/>
  <c r="G45" i="9"/>
  <c r="H45" i="9" s="1"/>
  <c r="G25" i="9"/>
  <c r="H25" i="9" s="1"/>
  <c r="G25" i="11"/>
  <c r="H25" i="11" s="1"/>
  <c r="G45" i="14"/>
  <c r="H45" i="14" s="1"/>
  <c r="G45" i="15"/>
  <c r="H45" i="15" s="1"/>
  <c r="G45" i="16"/>
  <c r="H45" i="16" s="1"/>
  <c r="G45" i="17"/>
  <c r="H45" i="17" s="1"/>
  <c r="G26" i="9"/>
  <c r="H26" i="9" s="1"/>
  <c r="G26" i="11"/>
  <c r="H26" i="11" s="1"/>
  <c r="G26" i="13"/>
  <c r="H26" i="13" s="1"/>
  <c r="G26" i="14"/>
  <c r="H26" i="14" s="1"/>
  <c r="G46" i="14"/>
  <c r="H46" i="14" s="1"/>
  <c r="G26" i="15"/>
  <c r="H26" i="15" s="1"/>
  <c r="G46" i="15"/>
  <c r="H46" i="15" s="1"/>
  <c r="G26" i="16"/>
  <c r="H26" i="16" s="1"/>
  <c r="G46" i="16"/>
  <c r="H46" i="16" s="1"/>
  <c r="G46" i="17"/>
  <c r="H46" i="17" s="1"/>
  <c r="G46" i="8"/>
  <c r="H46" i="8" s="1"/>
  <c r="G46" i="9"/>
  <c r="H46" i="9" s="1"/>
  <c r="G46" i="13"/>
  <c r="H46" i="13" s="1"/>
  <c r="G27" i="11"/>
  <c r="H27" i="11" s="1"/>
  <c r="G27" i="13"/>
  <c r="H27" i="13" s="1"/>
  <c r="G27" i="14"/>
  <c r="H27" i="14" s="1"/>
  <c r="G27" i="15"/>
  <c r="H27" i="15" s="1"/>
  <c r="G27" i="16"/>
  <c r="H27" i="16" s="1"/>
  <c r="G27" i="17"/>
  <c r="H27" i="17" s="1"/>
  <c r="G27" i="9"/>
  <c r="H27" i="9" s="1"/>
  <c r="G47" i="17"/>
  <c r="H47" i="17" s="1"/>
  <c r="G47" i="16"/>
  <c r="H47" i="16" s="1"/>
  <c r="G47" i="15"/>
  <c r="H47" i="15" s="1"/>
  <c r="G44" i="9"/>
  <c r="H44" i="9" s="1"/>
  <c r="G47" i="8"/>
  <c r="H47" i="8" s="1"/>
  <c r="G47" i="9"/>
  <c r="H47" i="9" s="1"/>
  <c r="G47" i="12"/>
  <c r="H47" i="12" s="1"/>
  <c r="G47" i="13"/>
  <c r="H47" i="13" s="1"/>
  <c r="G47" i="14"/>
  <c r="H47" i="14" s="1"/>
  <c r="G27" i="10"/>
  <c r="H27" i="10" s="1"/>
  <c r="G45" i="7"/>
  <c r="H45" i="7" s="1"/>
  <c r="G27" i="7"/>
  <c r="H27" i="7" s="1"/>
  <c r="G27" i="8"/>
  <c r="H27" i="8" s="1"/>
  <c r="G27" i="12"/>
  <c r="H27" i="12" s="1"/>
  <c r="G25" i="16"/>
  <c r="H25" i="16" s="1"/>
  <c r="G25" i="14"/>
  <c r="H25" i="14" s="1"/>
  <c r="G25" i="13"/>
  <c r="H25" i="13" s="1"/>
  <c r="G46" i="12"/>
  <c r="H46" i="12" s="1"/>
  <c r="G46" i="11"/>
  <c r="H46" i="11" s="1"/>
  <c r="G47" i="11"/>
  <c r="H47" i="11" s="1"/>
  <c r="G45" i="12"/>
  <c r="H45" i="12" s="1"/>
  <c r="G45" i="13"/>
  <c r="H45" i="13" s="1"/>
  <c r="G45" i="8"/>
  <c r="H45" i="8" s="1"/>
  <c r="G44" i="13"/>
  <c r="H44" i="13" s="1"/>
  <c r="G44" i="14"/>
  <c r="H44" i="14" s="1"/>
  <c r="G44" i="8"/>
  <c r="H44" i="8" s="1"/>
  <c r="G33" i="11"/>
  <c r="H33" i="11" s="1"/>
  <c r="G32" i="11"/>
  <c r="H32" i="11" s="1"/>
  <c r="G26" i="12"/>
  <c r="H26" i="12" s="1"/>
  <c r="G26" i="7"/>
  <c r="H26" i="7" s="1"/>
  <c r="G44" i="7"/>
  <c r="H44" i="7" s="1"/>
  <c r="G35" i="11"/>
  <c r="H35" i="11" s="1"/>
  <c r="G25" i="7"/>
  <c r="H25" i="7" s="1"/>
  <c r="G24" i="16"/>
  <c r="H24" i="16" s="1"/>
  <c r="G34" i="11"/>
  <c r="H34" i="11" s="1"/>
  <c r="G47" i="7"/>
  <c r="H47" i="7" s="1"/>
  <c r="G46" i="7"/>
  <c r="H46" i="7" s="1"/>
  <c r="G45" i="11"/>
  <c r="H45" i="11" s="1"/>
  <c r="G26" i="17"/>
  <c r="H26" i="17" s="1"/>
  <c r="G25" i="17"/>
  <c r="H25" i="17" s="1"/>
  <c r="G24" i="17"/>
  <c r="H24" i="17" s="1"/>
  <c r="G25" i="15"/>
  <c r="H25" i="15" s="1"/>
  <c r="G24" i="15"/>
  <c r="H24" i="15" s="1"/>
  <c r="G24" i="14"/>
  <c r="H24" i="14" s="1"/>
  <c r="G24" i="13"/>
  <c r="H24" i="13" s="1"/>
  <c r="G25" i="12"/>
  <c r="H25" i="12" s="1"/>
  <c r="G24" i="11"/>
  <c r="H24" i="11" s="1"/>
  <c r="G25" i="10"/>
  <c r="H25" i="10" s="1"/>
  <c r="G24" i="10"/>
  <c r="H24" i="10" s="1"/>
  <c r="G24" i="9"/>
  <c r="H24" i="9" s="1"/>
  <c r="G26" i="8"/>
  <c r="H26" i="8" s="1"/>
  <c r="G25" i="8"/>
  <c r="H25" i="8" s="1"/>
  <c r="G24" i="8"/>
  <c r="H24" i="8" s="1"/>
  <c r="G24" i="7"/>
  <c r="H24" i="7" s="1"/>
  <c r="F27" i="5"/>
  <c r="F26" i="5"/>
  <c r="F25" i="5"/>
  <c r="F24" i="5"/>
  <c r="E27" i="5"/>
  <c r="E26" i="5"/>
  <c r="E25" i="5"/>
  <c r="E24" i="5"/>
  <c r="C27" i="5"/>
  <c r="C26" i="5"/>
  <c r="C25" i="5"/>
  <c r="C24" i="5"/>
  <c r="B27" i="5"/>
  <c r="B26" i="5"/>
  <c r="B25" i="5"/>
  <c r="B24" i="5"/>
  <c r="AY113" i="3"/>
  <c r="I113" i="3"/>
  <c r="L113" i="3" s="1"/>
  <c r="BB112" i="3"/>
  <c r="BB111" i="3"/>
  <c r="E112" i="3" s="1"/>
  <c r="AY111" i="3"/>
  <c r="AY110" i="3"/>
  <c r="I110" i="3"/>
  <c r="L110" i="3" s="1"/>
  <c r="BB109" i="3"/>
  <c r="BB108" i="3"/>
  <c r="F109" i="3" s="1"/>
  <c r="AY108" i="3"/>
  <c r="AY107" i="3"/>
  <c r="I107" i="3"/>
  <c r="L107" i="3" s="1"/>
  <c r="BB106" i="3"/>
  <c r="BB105" i="3"/>
  <c r="F106" i="3" s="1"/>
  <c r="AY105" i="3"/>
  <c r="AY104" i="3"/>
  <c r="I104" i="3"/>
  <c r="BB103" i="3"/>
  <c r="BB102" i="3"/>
  <c r="AY102" i="3"/>
  <c r="B43" i="5"/>
  <c r="B42" i="5"/>
  <c r="B41" i="5"/>
  <c r="B40" i="5"/>
  <c r="B39" i="5"/>
  <c r="B38" i="5"/>
  <c r="B37" i="5"/>
  <c r="B36" i="5"/>
  <c r="B35" i="5"/>
  <c r="B34" i="5"/>
  <c r="B33" i="5"/>
  <c r="B32" i="5"/>
  <c r="B44" i="5"/>
  <c r="B45" i="5"/>
  <c r="B46" i="5"/>
  <c r="B47" i="5"/>
  <c r="B23" i="5"/>
  <c r="B22" i="5"/>
  <c r="B21" i="5"/>
  <c r="B20" i="5"/>
  <c r="B19" i="5"/>
  <c r="B18" i="5"/>
  <c r="B17" i="5"/>
  <c r="B16" i="5"/>
  <c r="B15" i="5"/>
  <c r="B14" i="5"/>
  <c r="B13" i="5"/>
  <c r="B12" i="5"/>
  <c r="B11" i="5"/>
  <c r="B10" i="5"/>
  <c r="B9" i="5"/>
  <c r="B8" i="5"/>
  <c r="AU184" i="3"/>
  <c r="AT184" i="3"/>
  <c r="G89" i="15" l="1"/>
  <c r="H89" i="15" s="1"/>
  <c r="G89" i="16"/>
  <c r="H89" i="16" s="1"/>
  <c r="G89" i="17"/>
  <c r="H89" i="17" s="1"/>
  <c r="G89" i="14"/>
  <c r="H89" i="14" s="1"/>
  <c r="G89" i="13"/>
  <c r="H89" i="13" s="1"/>
  <c r="G89" i="8"/>
  <c r="H89" i="8" s="1"/>
  <c r="G89" i="12"/>
  <c r="H89" i="12" s="1"/>
  <c r="G89" i="11"/>
  <c r="H89" i="11" s="1"/>
  <c r="G89" i="9"/>
  <c r="H89" i="9" s="1"/>
  <c r="G89" i="10"/>
  <c r="H89" i="10" s="1"/>
  <c r="I27" i="5"/>
  <c r="O113" i="3"/>
  <c r="I27" i="7"/>
  <c r="AU111" i="3"/>
  <c r="BD111" i="3"/>
  <c r="F112" i="3"/>
  <c r="I25" i="5"/>
  <c r="I26" i="5"/>
  <c r="O110" i="3"/>
  <c r="I26" i="7"/>
  <c r="O107" i="3"/>
  <c r="I25" i="7"/>
  <c r="AT108" i="3"/>
  <c r="E109" i="3"/>
  <c r="BD108" i="3"/>
  <c r="AT105" i="3"/>
  <c r="E106" i="3"/>
  <c r="BD105" i="3"/>
  <c r="E103" i="3"/>
  <c r="BD102" i="3"/>
  <c r="G27" i="5"/>
  <c r="H27" i="5" s="1"/>
  <c r="G25" i="5"/>
  <c r="H25" i="5" s="1"/>
  <c r="L104" i="3"/>
  <c r="I24" i="7" s="1"/>
  <c r="AT102" i="3"/>
  <c r="I24" i="5"/>
  <c r="F103" i="3"/>
  <c r="G26" i="5"/>
  <c r="H26" i="5" s="1"/>
  <c r="G24" i="5"/>
  <c r="H24" i="5" s="1"/>
  <c r="AU102" i="3"/>
  <c r="AU105" i="3"/>
  <c r="AU108" i="3"/>
  <c r="AT111" i="3"/>
  <c r="R113" i="3" l="1"/>
  <c r="I27" i="8"/>
  <c r="R110" i="3"/>
  <c r="I26" i="8"/>
  <c r="R107" i="3"/>
  <c r="I25" i="8"/>
  <c r="O104" i="3"/>
  <c r="I24" i="8" s="1"/>
  <c r="F47" i="5"/>
  <c r="F46" i="5"/>
  <c r="F44" i="5"/>
  <c r="E47" i="5"/>
  <c r="E46" i="5"/>
  <c r="E45" i="5"/>
  <c r="E44" i="5"/>
  <c r="C47" i="5"/>
  <c r="C46" i="5"/>
  <c r="C45" i="5"/>
  <c r="C44" i="5"/>
  <c r="AY207" i="3"/>
  <c r="I207" i="3"/>
  <c r="L207" i="3" s="1"/>
  <c r="BB206" i="3"/>
  <c r="AY205" i="3"/>
  <c r="BB205" i="3"/>
  <c r="BD205" i="3" s="1"/>
  <c r="AY204" i="3"/>
  <c r="BB203" i="3"/>
  <c r="AY202" i="3"/>
  <c r="BB202" i="3"/>
  <c r="BD202" i="3" s="1"/>
  <c r="AY201" i="3"/>
  <c r="I201" i="3"/>
  <c r="L201" i="3" s="1"/>
  <c r="BB200" i="3"/>
  <c r="BB199" i="3"/>
  <c r="BD199" i="3" s="1"/>
  <c r="AY199" i="3"/>
  <c r="AY198" i="3"/>
  <c r="I198" i="3"/>
  <c r="L198" i="3" s="1"/>
  <c r="BB197" i="3"/>
  <c r="BB196" i="3"/>
  <c r="BD196" i="3" s="1"/>
  <c r="AY196" i="3"/>
  <c r="I186" i="3"/>
  <c r="AQ227" i="3"/>
  <c r="AQ284" i="3" s="1"/>
  <c r="AN227" i="3"/>
  <c r="AN284" i="3" s="1"/>
  <c r="AK227" i="3"/>
  <c r="AK284" i="3" s="1"/>
  <c r="AH227" i="3"/>
  <c r="AH284" i="3" s="1"/>
  <c r="AE227" i="3"/>
  <c r="AE284" i="3" s="1"/>
  <c r="AB227" i="3"/>
  <c r="AB284" i="3" s="1"/>
  <c r="Y227" i="3"/>
  <c r="Y284" i="3" s="1"/>
  <c r="V227" i="3"/>
  <c r="V284" i="3" s="1"/>
  <c r="S227" i="3"/>
  <c r="S284" i="3" s="1"/>
  <c r="P227" i="3"/>
  <c r="P284" i="3" s="1"/>
  <c r="M284" i="3"/>
  <c r="J284" i="3"/>
  <c r="BB26" i="3"/>
  <c r="AY26" i="3"/>
  <c r="AY25" i="3"/>
  <c r="I7" i="3"/>
  <c r="AF285" i="3" l="1"/>
  <c r="K285" i="3"/>
  <c r="AI285" i="3"/>
  <c r="N285" i="3"/>
  <c r="AO285" i="3"/>
  <c r="AL285" i="3"/>
  <c r="AR285" i="3"/>
  <c r="Q285" i="3"/>
  <c r="W285" i="3"/>
  <c r="T285" i="3"/>
  <c r="Z285" i="3"/>
  <c r="AC285" i="3"/>
  <c r="J286" i="3"/>
  <c r="K286" i="3" s="1"/>
  <c r="M286" i="3"/>
  <c r="N286" i="3" s="1"/>
  <c r="AH286" i="3"/>
  <c r="AI286" i="3" s="1"/>
  <c r="AN286" i="3"/>
  <c r="AO286" i="3" s="1"/>
  <c r="AK286" i="3"/>
  <c r="AL286" i="3" s="1"/>
  <c r="AQ286" i="3"/>
  <c r="AR286" i="3" s="1"/>
  <c r="AE286" i="3"/>
  <c r="AF286" i="3" s="1"/>
  <c r="AB286" i="3"/>
  <c r="AC286" i="3" s="1"/>
  <c r="P286" i="3"/>
  <c r="Q286" i="3" s="1"/>
  <c r="Y286" i="3"/>
  <c r="Z286" i="3" s="1"/>
  <c r="V286" i="3"/>
  <c r="W286" i="3" s="1"/>
  <c r="S286" i="3"/>
  <c r="T286" i="3" s="1"/>
  <c r="I27" i="9"/>
  <c r="U113" i="3"/>
  <c r="I44" i="5"/>
  <c r="U110" i="3"/>
  <c r="I26" i="9"/>
  <c r="U107" i="3"/>
  <c r="I25" i="9"/>
  <c r="G47" i="5"/>
  <c r="H47" i="5" s="1"/>
  <c r="BD26" i="3"/>
  <c r="BB227" i="3"/>
  <c r="BD227" i="3" s="1"/>
  <c r="AT196" i="3"/>
  <c r="AU196" i="3"/>
  <c r="I47" i="5"/>
  <c r="O207" i="3"/>
  <c r="I47" i="7"/>
  <c r="AT205" i="3"/>
  <c r="AU205" i="3"/>
  <c r="AT199" i="3"/>
  <c r="AU199" i="3"/>
  <c r="E200" i="3"/>
  <c r="I45" i="5"/>
  <c r="AU202" i="3"/>
  <c r="AT202" i="3"/>
  <c r="O198" i="3"/>
  <c r="I44" i="7"/>
  <c r="O201" i="3"/>
  <c r="I45" i="7"/>
  <c r="R104" i="3"/>
  <c r="I24" i="9" s="1"/>
  <c r="E197" i="3"/>
  <c r="F197" i="3"/>
  <c r="G46" i="5"/>
  <c r="H46" i="5" s="1"/>
  <c r="F206" i="3"/>
  <c r="E206" i="3"/>
  <c r="F203" i="3"/>
  <c r="E203" i="3"/>
  <c r="F200" i="3"/>
  <c r="I204" i="3"/>
  <c r="G45" i="5"/>
  <c r="H45" i="5" s="1"/>
  <c r="G44" i="5"/>
  <c r="H44" i="5" s="1"/>
  <c r="BF26" i="3" l="1"/>
  <c r="BE26" i="3"/>
  <c r="X113" i="3"/>
  <c r="I27" i="10"/>
  <c r="X110" i="3"/>
  <c r="I26" i="11" s="1"/>
  <c r="I26" i="10"/>
  <c r="X107" i="3"/>
  <c r="I25" i="10"/>
  <c r="R207" i="3"/>
  <c r="I47" i="8"/>
  <c r="L204" i="3"/>
  <c r="I46" i="5"/>
  <c r="R198" i="3"/>
  <c r="I44" i="8"/>
  <c r="R201" i="3"/>
  <c r="I45" i="8"/>
  <c r="U104" i="3"/>
  <c r="I24" i="10" s="1"/>
  <c r="AA113" i="3" l="1"/>
  <c r="I27" i="11"/>
  <c r="AA110" i="3"/>
  <c r="AA107" i="3"/>
  <c r="I25" i="11"/>
  <c r="U207" i="3"/>
  <c r="I47" i="9"/>
  <c r="O204" i="3"/>
  <c r="I46" i="7"/>
  <c r="U198" i="3"/>
  <c r="I44" i="9"/>
  <c r="U201" i="3"/>
  <c r="I45" i="9"/>
  <c r="X104" i="3"/>
  <c r="I24" i="11" s="1"/>
  <c r="AD113" i="3" l="1"/>
  <c r="I27" i="12"/>
  <c r="I26" i="12"/>
  <c r="AD110" i="3"/>
  <c r="AD107" i="3"/>
  <c r="I25" i="12"/>
  <c r="X207" i="3"/>
  <c r="I47" i="10"/>
  <c r="R204" i="3"/>
  <c r="I46" i="8"/>
  <c r="X198" i="3"/>
  <c r="I44" i="10"/>
  <c r="X201" i="3"/>
  <c r="I45" i="10"/>
  <c r="AA104" i="3"/>
  <c r="I24" i="12" s="1"/>
  <c r="AG113" i="3" l="1"/>
  <c r="I27" i="13"/>
  <c r="I26" i="13"/>
  <c r="AG110" i="3"/>
  <c r="AG107" i="3"/>
  <c r="I25" i="13"/>
  <c r="AA207" i="3"/>
  <c r="I47" i="11"/>
  <c r="U204" i="3"/>
  <c r="I46" i="9"/>
  <c r="AA198" i="3"/>
  <c r="I44" i="11"/>
  <c r="AA201" i="3"/>
  <c r="I45" i="11"/>
  <c r="AD104" i="3"/>
  <c r="I24" i="13" s="1"/>
  <c r="AJ113" i="3" l="1"/>
  <c r="I27" i="14"/>
  <c r="AJ110" i="3"/>
  <c r="I26" i="14"/>
  <c r="AJ107" i="3"/>
  <c r="AM107" i="3" s="1"/>
  <c r="I25" i="14"/>
  <c r="AD207" i="3"/>
  <c r="I47" i="12"/>
  <c r="X204" i="3"/>
  <c r="I46" i="10"/>
  <c r="AD198" i="3"/>
  <c r="I44" i="12"/>
  <c r="AD201" i="3"/>
  <c r="I45" i="12"/>
  <c r="AG104" i="3"/>
  <c r="I24" i="14" s="1"/>
  <c r="AM113" i="3" l="1"/>
  <c r="I27" i="15"/>
  <c r="I26" i="15"/>
  <c r="AM110" i="3"/>
  <c r="I25" i="15"/>
  <c r="AG207" i="3"/>
  <c r="I47" i="13"/>
  <c r="I46" i="11"/>
  <c r="AA204" i="3"/>
  <c r="AG198" i="3"/>
  <c r="I44" i="13"/>
  <c r="AG201" i="3"/>
  <c r="I45" i="13"/>
  <c r="AJ104" i="3"/>
  <c r="I24" i="15" s="1"/>
  <c r="AP113" i="3" l="1"/>
  <c r="I27" i="16"/>
  <c r="AP110" i="3"/>
  <c r="I26" i="16"/>
  <c r="I25" i="16"/>
  <c r="AP107" i="3"/>
  <c r="AJ207" i="3"/>
  <c r="I47" i="14"/>
  <c r="I46" i="12"/>
  <c r="AD204" i="3"/>
  <c r="I44" i="14"/>
  <c r="AJ198" i="3"/>
  <c r="AJ201" i="3"/>
  <c r="I45" i="14"/>
  <c r="AM104" i="3"/>
  <c r="I24" i="16" s="1"/>
  <c r="I27" i="17" l="1"/>
  <c r="BB113" i="3"/>
  <c r="AU113" i="3"/>
  <c r="AT113" i="3"/>
  <c r="I26" i="17"/>
  <c r="BB110" i="3"/>
  <c r="AT110" i="3"/>
  <c r="AU110" i="3"/>
  <c r="I25" i="17"/>
  <c r="BB107" i="3"/>
  <c r="AT107" i="3"/>
  <c r="AU107" i="3"/>
  <c r="AM207" i="3"/>
  <c r="I47" i="15"/>
  <c r="I46" i="13"/>
  <c r="AG204" i="3"/>
  <c r="AM198" i="3"/>
  <c r="I44" i="15"/>
  <c r="AM201" i="3"/>
  <c r="I45" i="15"/>
  <c r="AP104" i="3"/>
  <c r="I24" i="17" s="1"/>
  <c r="AP207" i="3" l="1"/>
  <c r="I47" i="16"/>
  <c r="I46" i="14"/>
  <c r="AJ204" i="3"/>
  <c r="AP198" i="3"/>
  <c r="I44" i="16"/>
  <c r="AP201" i="3"/>
  <c r="I45" i="16"/>
  <c r="BB104" i="3"/>
  <c r="AT104" i="3"/>
  <c r="AU104" i="3"/>
  <c r="I47" i="17" l="1"/>
  <c r="AT207" i="3"/>
  <c r="AU207" i="3"/>
  <c r="BB207" i="3"/>
  <c r="I46" i="15"/>
  <c r="AM204" i="3"/>
  <c r="I44" i="17"/>
  <c r="AU198" i="3"/>
  <c r="AT198" i="3"/>
  <c r="BB198" i="3"/>
  <c r="I45" i="17"/>
  <c r="AU201" i="3"/>
  <c r="AT201" i="3"/>
  <c r="BB201" i="3"/>
  <c r="I46" i="16" l="1"/>
  <c r="AP204" i="3"/>
  <c r="BB204" i="3" l="1"/>
  <c r="I46" i="17"/>
  <c r="AU204" i="3"/>
  <c r="AT204" i="3"/>
  <c r="BB247" i="3" l="1"/>
  <c r="BD247" i="3" s="1"/>
  <c r="BB256" i="3" l="1"/>
  <c r="BD256" i="3" s="1"/>
  <c r="I195" i="3" l="1"/>
  <c r="L195" i="3" s="1"/>
  <c r="O195" i="3" s="1"/>
  <c r="R195" i="3" s="1"/>
  <c r="U195" i="3" s="1"/>
  <c r="X195" i="3" s="1"/>
  <c r="AA195" i="3" s="1"/>
  <c r="AD195" i="3" s="1"/>
  <c r="AG195" i="3" s="1"/>
  <c r="AJ195" i="3" s="1"/>
  <c r="AM195" i="3" s="1"/>
  <c r="AP195" i="3" s="1"/>
  <c r="BB195" i="3" s="1"/>
  <c r="I192" i="3"/>
  <c r="L192" i="3" s="1"/>
  <c r="O192" i="3" s="1"/>
  <c r="R192" i="3" s="1"/>
  <c r="U192" i="3" s="1"/>
  <c r="X192" i="3" s="1"/>
  <c r="AA192" i="3" s="1"/>
  <c r="AD192" i="3" s="1"/>
  <c r="AG192" i="3" s="1"/>
  <c r="AJ192" i="3" s="1"/>
  <c r="AM192" i="3" s="1"/>
  <c r="AP192" i="3" s="1"/>
  <c r="BB192" i="3" s="1"/>
  <c r="I189" i="3"/>
  <c r="L189" i="3" s="1"/>
  <c r="O189" i="3" s="1"/>
  <c r="R189" i="3" s="1"/>
  <c r="U189" i="3" s="1"/>
  <c r="X189" i="3" s="1"/>
  <c r="L186" i="3"/>
  <c r="O186" i="3" s="1"/>
  <c r="R186" i="3" s="1"/>
  <c r="U186" i="3" s="1"/>
  <c r="X186" i="3" s="1"/>
  <c r="AA186" i="3" s="1"/>
  <c r="AD186" i="3" s="1"/>
  <c r="AG186" i="3" s="1"/>
  <c r="AJ186" i="3" s="1"/>
  <c r="AM186" i="3" s="1"/>
  <c r="AP186" i="3" s="1"/>
  <c r="I183" i="3"/>
  <c r="L183" i="3" s="1"/>
  <c r="O183" i="3" s="1"/>
  <c r="R183" i="3" s="1"/>
  <c r="U183" i="3" s="1"/>
  <c r="X183" i="3" s="1"/>
  <c r="AA183" i="3" s="1"/>
  <c r="AD183" i="3" s="1"/>
  <c r="AG183" i="3" s="1"/>
  <c r="AJ183" i="3" s="1"/>
  <c r="AM183" i="3" s="1"/>
  <c r="AP183" i="3" s="1"/>
  <c r="BB183" i="3" s="1"/>
  <c r="I180" i="3"/>
  <c r="L180" i="3" s="1"/>
  <c r="O180" i="3" s="1"/>
  <c r="R180" i="3" s="1"/>
  <c r="U180" i="3" s="1"/>
  <c r="X180" i="3" s="1"/>
  <c r="AA180" i="3" s="1"/>
  <c r="AD180" i="3" s="1"/>
  <c r="AG180" i="3" s="1"/>
  <c r="AJ180" i="3" s="1"/>
  <c r="AM180" i="3" s="1"/>
  <c r="AP180" i="3" s="1"/>
  <c r="BB180" i="3" s="1"/>
  <c r="I177" i="3"/>
  <c r="L177" i="3" s="1"/>
  <c r="O177" i="3" s="1"/>
  <c r="R177" i="3" s="1"/>
  <c r="U177" i="3" s="1"/>
  <c r="X177" i="3" s="1"/>
  <c r="AA177" i="3" s="1"/>
  <c r="AD177" i="3" s="1"/>
  <c r="AG177" i="3" s="1"/>
  <c r="I174" i="3"/>
  <c r="L174" i="3" s="1"/>
  <c r="O174" i="3" s="1"/>
  <c r="R174" i="3" s="1"/>
  <c r="U174" i="3" s="1"/>
  <c r="X174" i="3" s="1"/>
  <c r="AA174" i="3" s="1"/>
  <c r="AD174" i="3" s="1"/>
  <c r="AG174" i="3" s="1"/>
  <c r="AJ174" i="3" s="1"/>
  <c r="AM174" i="3" s="1"/>
  <c r="AP174" i="3" s="1"/>
  <c r="BB174" i="3" s="1"/>
  <c r="I171" i="3"/>
  <c r="L171" i="3" s="1"/>
  <c r="O171" i="3" s="1"/>
  <c r="R171" i="3" s="1"/>
  <c r="U171" i="3" s="1"/>
  <c r="X171" i="3" s="1"/>
  <c r="I168" i="3"/>
  <c r="L168" i="3" s="1"/>
  <c r="O168" i="3" s="1"/>
  <c r="R168" i="3" s="1"/>
  <c r="U168" i="3" s="1"/>
  <c r="X168" i="3" s="1"/>
  <c r="I165" i="3"/>
  <c r="L165" i="3" s="1"/>
  <c r="O165" i="3" s="1"/>
  <c r="R165" i="3" s="1"/>
  <c r="U165" i="3" s="1"/>
  <c r="X165" i="3" s="1"/>
  <c r="I162" i="3"/>
  <c r="I83" i="3"/>
  <c r="L83" i="3" s="1"/>
  <c r="O83" i="3" s="1"/>
  <c r="R83" i="3" s="1"/>
  <c r="U83" i="3" s="1"/>
  <c r="X83" i="3" s="1"/>
  <c r="AA83" i="3" s="1"/>
  <c r="AD83" i="3" s="1"/>
  <c r="AG83" i="3" s="1"/>
  <c r="AJ83" i="3" s="1"/>
  <c r="AM83" i="3" s="1"/>
  <c r="AP83" i="3" s="1"/>
  <c r="BB83" i="3" s="1"/>
  <c r="I101" i="3"/>
  <c r="L101" i="3" s="1"/>
  <c r="I98" i="3"/>
  <c r="L98" i="3" s="1"/>
  <c r="I95" i="3"/>
  <c r="L95" i="3" s="1"/>
  <c r="O95" i="3" s="1"/>
  <c r="I92" i="3"/>
  <c r="L92" i="3" s="1"/>
  <c r="I89" i="3"/>
  <c r="L89" i="3" s="1"/>
  <c r="I86" i="3"/>
  <c r="L86" i="3" s="1"/>
  <c r="I80" i="3"/>
  <c r="L80" i="3" s="1"/>
  <c r="I77" i="3"/>
  <c r="L77" i="3" s="1"/>
  <c r="I74" i="3"/>
  <c r="L74" i="3" s="1"/>
  <c r="I71" i="3"/>
  <c r="L71" i="3" s="1"/>
  <c r="I68" i="3"/>
  <c r="L68" i="3" s="1"/>
  <c r="I65" i="3"/>
  <c r="L65" i="3" s="1"/>
  <c r="O65" i="3" s="1"/>
  <c r="R65" i="3" s="1"/>
  <c r="U65" i="3" s="1"/>
  <c r="X65" i="3" s="1"/>
  <c r="AA65" i="3" s="1"/>
  <c r="AD65" i="3" s="1"/>
  <c r="AG65" i="3" s="1"/>
  <c r="AJ65" i="3" s="1"/>
  <c r="AM65" i="3" s="1"/>
  <c r="AP65" i="3" s="1"/>
  <c r="BB65" i="3" s="1"/>
  <c r="I62" i="3"/>
  <c r="I59" i="3"/>
  <c r="L59" i="3" s="1"/>
  <c r="I56" i="3"/>
  <c r="L56" i="3" l="1"/>
  <c r="I127" i="3"/>
  <c r="I221" i="3"/>
  <c r="L62" i="3"/>
  <c r="AA171" i="3"/>
  <c r="AD171" i="3" s="1"/>
  <c r="AG171" i="3" s="1"/>
  <c r="AJ171" i="3" s="1"/>
  <c r="AM171" i="3" s="1"/>
  <c r="AP171" i="3" s="1"/>
  <c r="BB171" i="3" s="1"/>
  <c r="I35" i="11"/>
  <c r="AA168" i="3"/>
  <c r="AD168" i="3" s="1"/>
  <c r="AG168" i="3" s="1"/>
  <c r="AJ168" i="3" s="1"/>
  <c r="AM168" i="3" s="1"/>
  <c r="AP168" i="3" s="1"/>
  <c r="I34" i="11"/>
  <c r="AA165" i="3"/>
  <c r="AD165" i="3" s="1"/>
  <c r="AG165" i="3" s="1"/>
  <c r="AJ165" i="3" s="1"/>
  <c r="AM165" i="3" s="1"/>
  <c r="I33" i="11"/>
  <c r="L162" i="3"/>
  <c r="L221" i="3" s="1"/>
  <c r="AA189" i="3"/>
  <c r="BB186" i="3"/>
  <c r="AU186" i="3"/>
  <c r="AT186" i="3"/>
  <c r="AJ177" i="3"/>
  <c r="AM177" i="3" s="1"/>
  <c r="F225" i="3"/>
  <c r="F158" i="3"/>
  <c r="L127" i="3" l="1"/>
  <c r="BB168" i="3"/>
  <c r="AP177" i="3"/>
  <c r="BB177" i="3" s="1"/>
  <c r="O162" i="3"/>
  <c r="O221" i="3" s="1"/>
  <c r="AD189" i="3"/>
  <c r="AP165" i="3"/>
  <c r="F132" i="3"/>
  <c r="F52" i="3"/>
  <c r="R162" i="3" l="1"/>
  <c r="R221" i="3" s="1"/>
  <c r="AG189" i="3"/>
  <c r="BB165" i="3"/>
  <c r="F129" i="3"/>
  <c r="F155" i="3"/>
  <c r="F222" i="3"/>
  <c r="F263" i="3"/>
  <c r="U162" i="3" l="1"/>
  <c r="U221" i="3" s="1"/>
  <c r="AJ189" i="3"/>
  <c r="X162" i="3" l="1"/>
  <c r="X221" i="3" s="1"/>
  <c r="AM189" i="3"/>
  <c r="AA162" i="3" l="1"/>
  <c r="AA221" i="3" s="1"/>
  <c r="I32" i="11"/>
  <c r="AP189" i="3"/>
  <c r="AD162" i="3" l="1"/>
  <c r="AD221" i="3" s="1"/>
  <c r="BB189" i="3"/>
  <c r="AE157" i="23"/>
  <c r="AE156" i="23"/>
  <c r="AE155" i="23"/>
  <c r="AE154" i="23"/>
  <c r="AE153" i="23"/>
  <c r="AE152" i="23"/>
  <c r="AE151" i="23"/>
  <c r="AE150" i="23"/>
  <c r="AE149" i="23"/>
  <c r="AE148" i="23"/>
  <c r="AE147" i="23"/>
  <c r="AE146" i="23"/>
  <c r="AE145" i="23"/>
  <c r="AE144" i="23"/>
  <c r="AE143" i="23"/>
  <c r="AE142" i="23"/>
  <c r="AE141" i="23"/>
  <c r="AE140" i="23"/>
  <c r="AE139" i="23"/>
  <c r="AE138" i="23"/>
  <c r="AE137" i="23"/>
  <c r="AE136" i="23"/>
  <c r="AE135" i="23"/>
  <c r="AE134" i="23"/>
  <c r="AE133" i="23"/>
  <c r="AE132" i="23"/>
  <c r="AE131" i="23"/>
  <c r="AE130" i="23"/>
  <c r="AE129" i="23"/>
  <c r="AE128" i="23"/>
  <c r="AE127" i="23"/>
  <c r="AE126" i="23"/>
  <c r="AE125" i="23"/>
  <c r="AE124" i="23"/>
  <c r="AE123" i="23"/>
  <c r="AE122" i="23"/>
  <c r="AE121" i="23"/>
  <c r="AE120" i="23"/>
  <c r="AE119" i="23"/>
  <c r="AE118" i="23"/>
  <c r="AE117" i="23"/>
  <c r="AE116" i="23"/>
  <c r="AE115" i="23"/>
  <c r="AE114" i="23"/>
  <c r="AE113" i="23"/>
  <c r="AE112" i="23"/>
  <c r="AE111" i="23"/>
  <c r="AE110" i="23"/>
  <c r="AE109" i="23"/>
  <c r="AE108" i="23"/>
  <c r="AE107" i="23"/>
  <c r="AE106" i="23"/>
  <c r="AE105" i="23"/>
  <c r="AE104" i="23"/>
  <c r="AE103" i="23"/>
  <c r="AE102" i="23"/>
  <c r="AE101" i="23"/>
  <c r="AE100" i="23"/>
  <c r="AE99" i="23"/>
  <c r="AE98" i="23"/>
  <c r="AE97" i="23"/>
  <c r="AE96" i="23"/>
  <c r="AE95" i="23"/>
  <c r="AE94" i="23"/>
  <c r="AE93" i="23"/>
  <c r="AE92" i="23"/>
  <c r="AE91" i="23"/>
  <c r="AE90" i="23"/>
  <c r="AE89" i="23"/>
  <c r="AE88" i="23"/>
  <c r="AE87" i="23"/>
  <c r="AE86" i="23"/>
  <c r="AE85" i="23"/>
  <c r="AE84" i="23"/>
  <c r="AE83" i="23"/>
  <c r="AE82" i="23"/>
  <c r="AE81" i="23"/>
  <c r="AE80" i="23"/>
  <c r="AE79" i="23"/>
  <c r="AE78" i="23"/>
  <c r="AE77" i="23"/>
  <c r="AE76" i="23"/>
  <c r="AE75" i="23"/>
  <c r="AE74" i="23"/>
  <c r="AE73" i="23"/>
  <c r="AE72" i="23"/>
  <c r="AE71" i="23"/>
  <c r="AE70" i="23"/>
  <c r="AE69" i="23"/>
  <c r="AE68" i="23"/>
  <c r="AE67" i="23"/>
  <c r="AE66" i="23"/>
  <c r="AE65" i="23"/>
  <c r="AE64" i="23"/>
  <c r="AE63" i="23"/>
  <c r="AE62" i="23"/>
  <c r="AE61" i="23"/>
  <c r="AE60" i="23"/>
  <c r="AE59" i="23"/>
  <c r="AE58" i="23"/>
  <c r="AE57" i="23"/>
  <c r="AE56" i="23"/>
  <c r="AE55" i="23"/>
  <c r="AE54" i="23"/>
  <c r="AE53" i="23"/>
  <c r="AE52" i="23"/>
  <c r="AE51" i="23"/>
  <c r="AE50" i="23"/>
  <c r="AE49" i="23"/>
  <c r="AE48" i="23"/>
  <c r="AE47" i="23"/>
  <c r="AE46" i="23"/>
  <c r="AE45" i="23"/>
  <c r="AE44" i="23"/>
  <c r="AE43" i="23"/>
  <c r="AE42" i="23"/>
  <c r="AE41" i="23"/>
  <c r="AE40" i="23"/>
  <c r="AE39" i="23"/>
  <c r="AE38" i="23"/>
  <c r="AE37" i="23"/>
  <c r="AE36" i="23"/>
  <c r="AE35" i="23"/>
  <c r="AE34" i="23"/>
  <c r="AE33" i="23"/>
  <c r="AE32" i="23"/>
  <c r="AE31" i="23"/>
  <c r="AE30" i="23"/>
  <c r="AE29" i="23"/>
  <c r="AE28" i="23"/>
  <c r="AE27" i="23"/>
  <c r="AE26" i="23"/>
  <c r="AE25" i="23"/>
  <c r="AE24" i="23"/>
  <c r="AE23" i="23"/>
  <c r="AE22" i="23"/>
  <c r="AE21" i="23"/>
  <c r="AE20" i="23"/>
  <c r="AE19" i="23"/>
  <c r="AE18" i="23"/>
  <c r="AE17" i="23"/>
  <c r="AE16" i="23"/>
  <c r="AE15" i="23"/>
  <c r="AE14" i="23"/>
  <c r="AG162" i="3" l="1"/>
  <c r="AG221" i="3" s="1"/>
  <c r="E27" i="23"/>
  <c r="AJ7" i="23"/>
  <c r="AE8" i="23"/>
  <c r="AE9" i="23" s="1"/>
  <c r="AE10" i="23" s="1"/>
  <c r="AE11" i="23" s="1"/>
  <c r="AE12" i="23" s="1"/>
  <c r="AE13" i="23" s="1"/>
  <c r="AD8" i="23"/>
  <c r="AD14" i="23"/>
  <c r="AD15" i="23"/>
  <c r="AD16" i="23"/>
  <c r="AD17" i="23"/>
  <c r="AD18" i="23"/>
  <c r="AD19" i="23"/>
  <c r="AD20" i="23"/>
  <c r="AD21" i="23"/>
  <c r="AD22" i="23"/>
  <c r="AD23" i="23"/>
  <c r="AD24" i="23"/>
  <c r="AD25" i="23"/>
  <c r="AD26" i="23"/>
  <c r="AD27" i="23"/>
  <c r="AD28" i="23"/>
  <c r="AD29" i="23"/>
  <c r="AD30" i="23"/>
  <c r="AD31" i="23"/>
  <c r="AD32" i="23"/>
  <c r="AD33" i="23"/>
  <c r="AD34" i="23"/>
  <c r="AD35" i="23"/>
  <c r="AD36" i="23"/>
  <c r="AD37" i="23"/>
  <c r="AD38" i="23"/>
  <c r="AD39" i="23"/>
  <c r="AD40" i="23"/>
  <c r="AD41" i="23"/>
  <c r="AD42" i="23"/>
  <c r="AD43" i="23"/>
  <c r="AD44" i="23"/>
  <c r="AD45" i="23"/>
  <c r="AD46" i="23"/>
  <c r="AD47" i="23"/>
  <c r="AD48" i="23"/>
  <c r="AD49" i="23"/>
  <c r="AD50" i="23"/>
  <c r="AD51" i="23"/>
  <c r="AD52" i="23"/>
  <c r="AD53" i="23"/>
  <c r="AD54" i="23"/>
  <c r="AD55" i="23"/>
  <c r="AD56" i="23"/>
  <c r="AD57" i="23"/>
  <c r="AD58" i="23"/>
  <c r="AD59" i="23"/>
  <c r="AD60" i="23"/>
  <c r="AD61" i="23"/>
  <c r="AD62" i="23"/>
  <c r="AD63" i="23"/>
  <c r="AD64" i="23"/>
  <c r="AD65" i="23"/>
  <c r="AD66" i="23"/>
  <c r="AD67" i="23"/>
  <c r="AD68" i="23"/>
  <c r="AD69" i="23"/>
  <c r="AD70" i="23"/>
  <c r="AD71" i="23"/>
  <c r="AD72" i="23"/>
  <c r="AD73" i="23"/>
  <c r="AD74" i="23"/>
  <c r="AD75" i="23"/>
  <c r="AD76" i="23"/>
  <c r="AD77" i="23"/>
  <c r="AD78" i="23"/>
  <c r="AD79" i="23"/>
  <c r="AD80" i="23"/>
  <c r="AD81" i="23"/>
  <c r="AD82" i="23"/>
  <c r="AD83" i="23"/>
  <c r="AD84" i="23"/>
  <c r="AD85" i="23"/>
  <c r="AD86" i="23"/>
  <c r="AD87" i="23"/>
  <c r="AD88" i="23"/>
  <c r="AD89" i="23"/>
  <c r="AD90" i="23"/>
  <c r="AD91" i="23"/>
  <c r="AD92" i="23"/>
  <c r="AD93" i="23"/>
  <c r="AD94" i="23"/>
  <c r="AD95" i="23"/>
  <c r="AD96" i="23"/>
  <c r="AD97" i="23"/>
  <c r="AD98" i="23"/>
  <c r="AD99" i="23"/>
  <c r="AD100" i="23"/>
  <c r="AD101" i="23"/>
  <c r="AD102" i="23"/>
  <c r="AD103" i="23"/>
  <c r="AD104" i="23"/>
  <c r="AD105" i="23"/>
  <c r="AD106" i="23"/>
  <c r="AD107" i="23"/>
  <c r="AD108" i="23"/>
  <c r="AD109" i="23"/>
  <c r="AD110" i="23"/>
  <c r="AD111" i="23"/>
  <c r="AD112" i="23"/>
  <c r="AD113" i="23"/>
  <c r="AD114" i="23"/>
  <c r="AD115" i="23"/>
  <c r="AD116" i="23"/>
  <c r="AD117" i="23"/>
  <c r="AD118" i="23"/>
  <c r="AD119" i="23"/>
  <c r="AD120" i="23"/>
  <c r="AD121" i="23"/>
  <c r="AD122" i="23"/>
  <c r="AD123" i="23"/>
  <c r="AD124" i="23"/>
  <c r="AD125" i="23"/>
  <c r="AD126" i="23"/>
  <c r="AD127" i="23"/>
  <c r="AD128" i="23"/>
  <c r="AD129" i="23"/>
  <c r="AD130" i="23"/>
  <c r="AD131" i="23"/>
  <c r="AD132" i="23"/>
  <c r="AD133" i="23"/>
  <c r="AD134" i="23"/>
  <c r="AD135" i="23"/>
  <c r="AD136" i="23"/>
  <c r="AD137" i="23"/>
  <c r="AD138" i="23"/>
  <c r="AD139" i="23"/>
  <c r="AD140" i="23"/>
  <c r="AD141" i="23"/>
  <c r="AD142" i="23"/>
  <c r="AD143" i="23"/>
  <c r="AD144" i="23"/>
  <c r="AD145" i="23"/>
  <c r="AD146" i="23"/>
  <c r="AD147" i="23"/>
  <c r="AD148" i="23"/>
  <c r="AD149" i="23"/>
  <c r="AD150" i="23"/>
  <c r="AD151" i="23"/>
  <c r="AD152" i="23"/>
  <c r="AD153" i="23"/>
  <c r="AD154" i="23"/>
  <c r="AD155" i="23"/>
  <c r="AD156" i="23"/>
  <c r="AD157" i="23"/>
  <c r="T9" i="23"/>
  <c r="AY19" i="3"/>
  <c r="AP248" i="3"/>
  <c r="AM248" i="3"/>
  <c r="X248" i="3"/>
  <c r="U248" i="3"/>
  <c r="R248" i="3"/>
  <c r="O248" i="3"/>
  <c r="I153" i="3"/>
  <c r="L153" i="3" s="1"/>
  <c r="O153" i="3" s="1"/>
  <c r="R153" i="3" s="1"/>
  <c r="U153" i="3" s="1"/>
  <c r="X153" i="3" s="1"/>
  <c r="AA153" i="3" s="1"/>
  <c r="AD153" i="3" s="1"/>
  <c r="AG153" i="3" s="1"/>
  <c r="AJ153" i="3" s="1"/>
  <c r="AM153" i="3" s="1"/>
  <c r="AP153" i="3" s="1"/>
  <c r="I151" i="3"/>
  <c r="L151" i="3" s="1"/>
  <c r="O151" i="3" s="1"/>
  <c r="R151" i="3" s="1"/>
  <c r="U151" i="3" s="1"/>
  <c r="X151" i="3" s="1"/>
  <c r="AA151" i="3" s="1"/>
  <c r="AD151" i="3" s="1"/>
  <c r="AG151" i="3" s="1"/>
  <c r="AJ151" i="3" s="1"/>
  <c r="AM151" i="3" s="1"/>
  <c r="AP151" i="3" s="1"/>
  <c r="I149" i="3"/>
  <c r="L149" i="3" s="1"/>
  <c r="O149" i="3" s="1"/>
  <c r="R149" i="3" s="1"/>
  <c r="U149" i="3" s="1"/>
  <c r="X149" i="3" s="1"/>
  <c r="AA149" i="3" s="1"/>
  <c r="AD149" i="3" s="1"/>
  <c r="AG149" i="3" s="1"/>
  <c r="AJ149" i="3" s="1"/>
  <c r="AM149" i="3" s="1"/>
  <c r="AP149" i="3" s="1"/>
  <c r="I147" i="3"/>
  <c r="L147" i="3" s="1"/>
  <c r="O147" i="3" s="1"/>
  <c r="R147" i="3" s="1"/>
  <c r="U147" i="3" s="1"/>
  <c r="X147" i="3" s="1"/>
  <c r="AA147" i="3" s="1"/>
  <c r="AD147" i="3" s="1"/>
  <c r="AG147" i="3" s="1"/>
  <c r="AJ147" i="3" s="1"/>
  <c r="AM147" i="3" s="1"/>
  <c r="AP147" i="3" s="1"/>
  <c r="I145" i="3"/>
  <c r="L145" i="3" s="1"/>
  <c r="O145" i="3" s="1"/>
  <c r="R145" i="3" s="1"/>
  <c r="U145" i="3" s="1"/>
  <c r="X145" i="3" s="1"/>
  <c r="AA145" i="3" s="1"/>
  <c r="AD145" i="3" s="1"/>
  <c r="AG145" i="3" s="1"/>
  <c r="AJ145" i="3" s="1"/>
  <c r="AM145" i="3" s="1"/>
  <c r="AP145" i="3" s="1"/>
  <c r="I143" i="3"/>
  <c r="L143" i="3" s="1"/>
  <c r="O143" i="3" s="1"/>
  <c r="R143" i="3" s="1"/>
  <c r="U143" i="3" s="1"/>
  <c r="X143" i="3" s="1"/>
  <c r="AA143" i="3" s="1"/>
  <c r="AD143" i="3" s="1"/>
  <c r="AG143" i="3" s="1"/>
  <c r="AJ143" i="3" s="1"/>
  <c r="AM143" i="3" s="1"/>
  <c r="AP143" i="3" s="1"/>
  <c r="I139" i="3"/>
  <c r="L139" i="3" s="1"/>
  <c r="O139" i="3" s="1"/>
  <c r="R139" i="3" s="1"/>
  <c r="U139" i="3" s="1"/>
  <c r="X139" i="3" s="1"/>
  <c r="AA139" i="3" s="1"/>
  <c r="AD139" i="3" s="1"/>
  <c r="AG139" i="3" s="1"/>
  <c r="AJ139" i="3" s="1"/>
  <c r="AM139" i="3" s="1"/>
  <c r="AP139" i="3" s="1"/>
  <c r="I137" i="3"/>
  <c r="L137" i="3" s="1"/>
  <c r="O137" i="3" s="1"/>
  <c r="R137" i="3" s="1"/>
  <c r="U137" i="3" s="1"/>
  <c r="X137" i="3" s="1"/>
  <c r="AA137" i="3" s="1"/>
  <c r="AD137" i="3" s="1"/>
  <c r="AG137" i="3" s="1"/>
  <c r="AJ137" i="3" s="1"/>
  <c r="AM137" i="3" s="1"/>
  <c r="AP137" i="3" s="1"/>
  <c r="I135" i="3"/>
  <c r="L135" i="3" s="1"/>
  <c r="O135" i="3" s="1"/>
  <c r="R135" i="3" s="1"/>
  <c r="U135" i="3" s="1"/>
  <c r="X135" i="3" s="1"/>
  <c r="AA135" i="3" s="1"/>
  <c r="AD135" i="3" s="1"/>
  <c r="AG135" i="3" s="1"/>
  <c r="AJ135" i="3" s="1"/>
  <c r="AM135" i="3" s="1"/>
  <c r="AP135" i="3" s="1"/>
  <c r="I141" i="3"/>
  <c r="L141" i="3" s="1"/>
  <c r="O141" i="3" s="1"/>
  <c r="R141" i="3" s="1"/>
  <c r="U141" i="3" s="1"/>
  <c r="X141" i="3" s="1"/>
  <c r="AA141" i="3" s="1"/>
  <c r="AD141" i="3" s="1"/>
  <c r="AG141" i="3" s="1"/>
  <c r="AJ141" i="3" s="1"/>
  <c r="AM141" i="3" s="1"/>
  <c r="AP141" i="3" s="1"/>
  <c r="AN20" i="23"/>
  <c r="AN12" i="23"/>
  <c r="AN13" i="23"/>
  <c r="AN14" i="23"/>
  <c r="AN15" i="23"/>
  <c r="AN16" i="23"/>
  <c r="AN17" i="23"/>
  <c r="AN18" i="23"/>
  <c r="AN19" i="23"/>
  <c r="AN21" i="23"/>
  <c r="AN22" i="23"/>
  <c r="AN23" i="23"/>
  <c r="AN24" i="23"/>
  <c r="AN25" i="23"/>
  <c r="AN26" i="23"/>
  <c r="AN27" i="23"/>
  <c r="AN28" i="23"/>
  <c r="AN29" i="23"/>
  <c r="AN30" i="23"/>
  <c r="AN31" i="23"/>
  <c r="AN32" i="23"/>
  <c r="AN33" i="23"/>
  <c r="AN34" i="23"/>
  <c r="AN35" i="23"/>
  <c r="AN36" i="23"/>
  <c r="AN37" i="23"/>
  <c r="AN38" i="23"/>
  <c r="AN39" i="23"/>
  <c r="AN40" i="23"/>
  <c r="AN41" i="23"/>
  <c r="AN42" i="23"/>
  <c r="AN43" i="23"/>
  <c r="AN44" i="23"/>
  <c r="AN45" i="23"/>
  <c r="AN46" i="23"/>
  <c r="AN47" i="23"/>
  <c r="AN48" i="23"/>
  <c r="AN49" i="23"/>
  <c r="AN50" i="23"/>
  <c r="AN51" i="23"/>
  <c r="AN52" i="23"/>
  <c r="AN53" i="23"/>
  <c r="AN54" i="23"/>
  <c r="AN55" i="23"/>
  <c r="AN56" i="23"/>
  <c r="AN57" i="23"/>
  <c r="AN58" i="23"/>
  <c r="AN59" i="23"/>
  <c r="AN60" i="23"/>
  <c r="AN61" i="23"/>
  <c r="AN62" i="23"/>
  <c r="AN63" i="23"/>
  <c r="AN64" i="23"/>
  <c r="AN65" i="23"/>
  <c r="AN66" i="23"/>
  <c r="AN67" i="23"/>
  <c r="AN68" i="23"/>
  <c r="AN69" i="23"/>
  <c r="AN70" i="23"/>
  <c r="AN71" i="23"/>
  <c r="AN72" i="23"/>
  <c r="AN73" i="23"/>
  <c r="AN74" i="23"/>
  <c r="AN75" i="23"/>
  <c r="AN76" i="23"/>
  <c r="AN77" i="23"/>
  <c r="AN78" i="23"/>
  <c r="AN79" i="23"/>
  <c r="AN80" i="23"/>
  <c r="AN81" i="23"/>
  <c r="AN82" i="23"/>
  <c r="AN83" i="23"/>
  <c r="AN84" i="23"/>
  <c r="AN85" i="23"/>
  <c r="AN86" i="23"/>
  <c r="AN87" i="23"/>
  <c r="AN88" i="23"/>
  <c r="AN89" i="23"/>
  <c r="AN90" i="23"/>
  <c r="AN91" i="23"/>
  <c r="AN92" i="23"/>
  <c r="AN93" i="23"/>
  <c r="AN94" i="23"/>
  <c r="AN95" i="23"/>
  <c r="AN96" i="23"/>
  <c r="AN97" i="23"/>
  <c r="AN98" i="23"/>
  <c r="AN99" i="23"/>
  <c r="AN100" i="23"/>
  <c r="AN101" i="23"/>
  <c r="AN102" i="23"/>
  <c r="AN103" i="23"/>
  <c r="AN104" i="23"/>
  <c r="AN105" i="23"/>
  <c r="AN106" i="23"/>
  <c r="AN107" i="23"/>
  <c r="AN108" i="23"/>
  <c r="AN109" i="23"/>
  <c r="AN110" i="23"/>
  <c r="AN111" i="23"/>
  <c r="AN112" i="23"/>
  <c r="AN113" i="23"/>
  <c r="AN114" i="23"/>
  <c r="AN115" i="23"/>
  <c r="AN116" i="23"/>
  <c r="AN117" i="23"/>
  <c r="AN118" i="23"/>
  <c r="AN119" i="23"/>
  <c r="AN120" i="23"/>
  <c r="AN121" i="23"/>
  <c r="AN122" i="23"/>
  <c r="AN123" i="23"/>
  <c r="AN124" i="23"/>
  <c r="AN125" i="23"/>
  <c r="AN126" i="23"/>
  <c r="AN127" i="23"/>
  <c r="AN128" i="23"/>
  <c r="AN129" i="23"/>
  <c r="AN130" i="23"/>
  <c r="AN131" i="23"/>
  <c r="AN132" i="23"/>
  <c r="AN133" i="23"/>
  <c r="AN134" i="23"/>
  <c r="AN135" i="23"/>
  <c r="AN136" i="23"/>
  <c r="AN137" i="23"/>
  <c r="AN138" i="23"/>
  <c r="AN139" i="23"/>
  <c r="AN140" i="23"/>
  <c r="AN141" i="23"/>
  <c r="AN142" i="23"/>
  <c r="AN143" i="23"/>
  <c r="AN144" i="23"/>
  <c r="AN145" i="23"/>
  <c r="AN146" i="23"/>
  <c r="AN147" i="23"/>
  <c r="AN148" i="23"/>
  <c r="AN149" i="23"/>
  <c r="AN150" i="23"/>
  <c r="AN151" i="23"/>
  <c r="AN152" i="23"/>
  <c r="AN153" i="23"/>
  <c r="AN154" i="23"/>
  <c r="AN155" i="23"/>
  <c r="AN156" i="23"/>
  <c r="AN157" i="23"/>
  <c r="AN158" i="23"/>
  <c r="AN159" i="23"/>
  <c r="AN160" i="23"/>
  <c r="AN11" i="23"/>
  <c r="AH12" i="23"/>
  <c r="AH13" i="23"/>
  <c r="AH14" i="23"/>
  <c r="AH15" i="23"/>
  <c r="AH16" i="23" s="1"/>
  <c r="AH17" i="23" s="1"/>
  <c r="AH18" i="23" s="1"/>
  <c r="AH19" i="23" s="1"/>
  <c r="AH20" i="23" s="1"/>
  <c r="AH21" i="23" s="1"/>
  <c r="AH22" i="23" s="1"/>
  <c r="AH23" i="23" s="1"/>
  <c r="AH24" i="23" s="1"/>
  <c r="AH25" i="23" s="1"/>
  <c r="AH26" i="23" s="1"/>
  <c r="AH27" i="23" s="1"/>
  <c r="AH28" i="23" s="1"/>
  <c r="AH29" i="23" s="1"/>
  <c r="AH30" i="23" s="1"/>
  <c r="AH31" i="23" s="1"/>
  <c r="AH32" i="23" s="1"/>
  <c r="AH33" i="23" s="1"/>
  <c r="AH34" i="23" s="1"/>
  <c r="AH35" i="23" s="1"/>
  <c r="AH36" i="23" s="1"/>
  <c r="AH37" i="23" s="1"/>
  <c r="AH38" i="23" s="1"/>
  <c r="AH39" i="23" s="1"/>
  <c r="AH40" i="23" s="1"/>
  <c r="AH41" i="23" s="1"/>
  <c r="AH42" i="23" s="1"/>
  <c r="AH43" i="23" s="1"/>
  <c r="AH44" i="23" s="1"/>
  <c r="AH45" i="23" s="1"/>
  <c r="AH46" i="23" s="1"/>
  <c r="AH47" i="23" s="1"/>
  <c r="AH48" i="23" s="1"/>
  <c r="AH49" i="23" s="1"/>
  <c r="AH50" i="23" s="1"/>
  <c r="AH51" i="23" s="1"/>
  <c r="AH52" i="23" s="1"/>
  <c r="AH53" i="23" s="1"/>
  <c r="AH54" i="23" s="1"/>
  <c r="AH55" i="23" s="1"/>
  <c r="AH56" i="23" s="1"/>
  <c r="AH57" i="23" s="1"/>
  <c r="AH58" i="23" s="1"/>
  <c r="AH59" i="23" s="1"/>
  <c r="AH60" i="23" s="1"/>
  <c r="AH61" i="23" s="1"/>
  <c r="AH62" i="23" s="1"/>
  <c r="AH63" i="23" s="1"/>
  <c r="AH64" i="23" s="1"/>
  <c r="AH65" i="23" s="1"/>
  <c r="AH66" i="23" s="1"/>
  <c r="AH67" i="23" s="1"/>
  <c r="AH68" i="23" s="1"/>
  <c r="AH69" i="23" s="1"/>
  <c r="AH70" i="23" s="1"/>
  <c r="AH71" i="23" s="1"/>
  <c r="AH72" i="23" s="1"/>
  <c r="AH73" i="23" s="1"/>
  <c r="AH74" i="23" s="1"/>
  <c r="AH75" i="23" s="1"/>
  <c r="AH76" i="23" s="1"/>
  <c r="AH77" i="23" s="1"/>
  <c r="AH78" i="23" s="1"/>
  <c r="AH79" i="23" s="1"/>
  <c r="AH80" i="23" s="1"/>
  <c r="AH81" i="23" s="1"/>
  <c r="AH82" i="23" s="1"/>
  <c r="AH83" i="23" s="1"/>
  <c r="AH84" i="23" s="1"/>
  <c r="AH85" i="23" s="1"/>
  <c r="AH86" i="23" s="1"/>
  <c r="AH87" i="23" s="1"/>
  <c r="AH88" i="23" s="1"/>
  <c r="AH89" i="23" s="1"/>
  <c r="AH90" i="23" s="1"/>
  <c r="AH91" i="23" s="1"/>
  <c r="AH92" i="23" s="1"/>
  <c r="AH93" i="23" s="1"/>
  <c r="AH94" i="23" s="1"/>
  <c r="AH95" i="23" s="1"/>
  <c r="AH96" i="23" s="1"/>
  <c r="AH97" i="23" s="1"/>
  <c r="AH98" i="23" s="1"/>
  <c r="AH99" i="23" s="1"/>
  <c r="AH100" i="23" s="1"/>
  <c r="AH101" i="23" s="1"/>
  <c r="AH102" i="23" s="1"/>
  <c r="AH103" i="23" s="1"/>
  <c r="AH104" i="23" s="1"/>
  <c r="AH105" i="23" s="1"/>
  <c r="AH106" i="23" s="1"/>
  <c r="AH107" i="23" s="1"/>
  <c r="AH108" i="23" s="1"/>
  <c r="AH109" i="23" s="1"/>
  <c r="AH110" i="23" s="1"/>
  <c r="AH111" i="23" s="1"/>
  <c r="AH112" i="23" s="1"/>
  <c r="AH113" i="23" s="1"/>
  <c r="AH114" i="23" s="1"/>
  <c r="AH115" i="23" s="1"/>
  <c r="AH116" i="23" s="1"/>
  <c r="AH117" i="23" s="1"/>
  <c r="AH118" i="23" s="1"/>
  <c r="AH119" i="23" s="1"/>
  <c r="AH120" i="23" s="1"/>
  <c r="AH121" i="23" s="1"/>
  <c r="AH122" i="23" s="1"/>
  <c r="AH123" i="23" s="1"/>
  <c r="AH124" i="23" s="1"/>
  <c r="AH125" i="23" s="1"/>
  <c r="AH126" i="23" s="1"/>
  <c r="AH127" i="23" s="1"/>
  <c r="AH128" i="23" s="1"/>
  <c r="AH129" i="23" s="1"/>
  <c r="AH130" i="23" s="1"/>
  <c r="AH131" i="23" s="1"/>
  <c r="AH132" i="23" s="1"/>
  <c r="AH133" i="23" s="1"/>
  <c r="AH134" i="23" s="1"/>
  <c r="AH135" i="23" s="1"/>
  <c r="AH136" i="23" s="1"/>
  <c r="AH137" i="23" s="1"/>
  <c r="AH138" i="23" s="1"/>
  <c r="AH139" i="23" s="1"/>
  <c r="AH140" i="23" s="1"/>
  <c r="AH141" i="23" s="1"/>
  <c r="AH142" i="23" s="1"/>
  <c r="AH143" i="23" s="1"/>
  <c r="AH144" i="23" s="1"/>
  <c r="AH145" i="23" s="1"/>
  <c r="AH146" i="23" s="1"/>
  <c r="AH147" i="23" s="1"/>
  <c r="AH148" i="23" s="1"/>
  <c r="AH149" i="23" s="1"/>
  <c r="AH150" i="23" s="1"/>
  <c r="AH151" i="23" s="1"/>
  <c r="AH152" i="23" s="1"/>
  <c r="AH153" i="23" s="1"/>
  <c r="AH154" i="23" s="1"/>
  <c r="AH155" i="23" s="1"/>
  <c r="AH156" i="23" s="1"/>
  <c r="AH157" i="23" s="1"/>
  <c r="AH158" i="23" s="1"/>
  <c r="AH159" i="23" s="1"/>
  <c r="AH160" i="23" s="1"/>
  <c r="X9" i="23"/>
  <c r="X10" i="23"/>
  <c r="X11" i="23" s="1"/>
  <c r="X12" i="23" s="1"/>
  <c r="X13" i="23" s="1"/>
  <c r="X14" i="23" s="1"/>
  <c r="X15" i="23" s="1"/>
  <c r="X16" i="23" s="1"/>
  <c r="X17" i="23" s="1"/>
  <c r="X18" i="23" s="1"/>
  <c r="X19" i="23" s="1"/>
  <c r="X20" i="23" s="1"/>
  <c r="X21" i="23" s="1"/>
  <c r="X22" i="23" s="1"/>
  <c r="X23" i="23" s="1"/>
  <c r="X24" i="23" s="1"/>
  <c r="X25" i="23" s="1"/>
  <c r="X26" i="23" s="1"/>
  <c r="X27" i="23" s="1"/>
  <c r="X28" i="23" s="1"/>
  <c r="X29" i="23" s="1"/>
  <c r="X30" i="23" s="1"/>
  <c r="X31" i="23" s="1"/>
  <c r="X32" i="23" s="1"/>
  <c r="X33" i="23" s="1"/>
  <c r="X34" i="23" s="1"/>
  <c r="X35" i="23" s="1"/>
  <c r="X36" i="23" s="1"/>
  <c r="X37" i="23" s="1"/>
  <c r="X38" i="23" s="1"/>
  <c r="X39" i="23" s="1"/>
  <c r="X40" i="23" s="1"/>
  <c r="X41" i="23" s="1"/>
  <c r="X42" i="23" s="1"/>
  <c r="X43" i="23" s="1"/>
  <c r="X44" i="23" s="1"/>
  <c r="X45" i="23" s="1"/>
  <c r="X46" i="23" s="1"/>
  <c r="X47" i="23" s="1"/>
  <c r="X48" i="23" s="1"/>
  <c r="X49" i="23" s="1"/>
  <c r="X50" i="23" s="1"/>
  <c r="X51" i="23" s="1"/>
  <c r="X52" i="23" s="1"/>
  <c r="X53" i="23" s="1"/>
  <c r="X54" i="23" s="1"/>
  <c r="X55" i="23" s="1"/>
  <c r="X56" i="23" s="1"/>
  <c r="X57" i="23" s="1"/>
  <c r="X58" i="23" s="1"/>
  <c r="X59" i="23" s="1"/>
  <c r="X60" i="23" s="1"/>
  <c r="X61" i="23" s="1"/>
  <c r="X62" i="23" s="1"/>
  <c r="X63" i="23" s="1"/>
  <c r="X64" i="23" s="1"/>
  <c r="X65" i="23" s="1"/>
  <c r="X66" i="23" s="1"/>
  <c r="X67" i="23" s="1"/>
  <c r="X68" i="23" s="1"/>
  <c r="X69" i="23" s="1"/>
  <c r="X70" i="23" s="1"/>
  <c r="X71" i="23" s="1"/>
  <c r="X72" i="23" s="1"/>
  <c r="X73" i="23" s="1"/>
  <c r="X74" i="23" s="1"/>
  <c r="X75" i="23" s="1"/>
  <c r="X76" i="23" s="1"/>
  <c r="X77" i="23" s="1"/>
  <c r="X78" i="23" s="1"/>
  <c r="X79" i="23" s="1"/>
  <c r="X80" i="23" s="1"/>
  <c r="X81" i="23" s="1"/>
  <c r="X82" i="23" s="1"/>
  <c r="X83" i="23" s="1"/>
  <c r="X84" i="23" s="1"/>
  <c r="X85" i="23" s="1"/>
  <c r="X86" i="23" s="1"/>
  <c r="X87" i="23" s="1"/>
  <c r="X88" i="23" s="1"/>
  <c r="X89" i="23" s="1"/>
  <c r="X90" i="23" s="1"/>
  <c r="X91" i="23" s="1"/>
  <c r="X92" i="23" s="1"/>
  <c r="X93" i="23" s="1"/>
  <c r="X94" i="23" s="1"/>
  <c r="X95" i="23" s="1"/>
  <c r="X96" i="23" s="1"/>
  <c r="X97" i="23" s="1"/>
  <c r="X98" i="23" s="1"/>
  <c r="X99" i="23" s="1"/>
  <c r="X100" i="23" s="1"/>
  <c r="X101" i="23" s="1"/>
  <c r="X102" i="23" s="1"/>
  <c r="X103" i="23" s="1"/>
  <c r="X104" i="23" s="1"/>
  <c r="X105" i="23" s="1"/>
  <c r="X106" i="23" s="1"/>
  <c r="X107" i="23" s="1"/>
  <c r="X108" i="23" s="1"/>
  <c r="X109" i="23" s="1"/>
  <c r="X110" i="23" s="1"/>
  <c r="X111" i="23" s="1"/>
  <c r="X112" i="23" s="1"/>
  <c r="X113" i="23" s="1"/>
  <c r="X114" i="23" s="1"/>
  <c r="X115" i="23" s="1"/>
  <c r="X116" i="23" s="1"/>
  <c r="X117" i="23" s="1"/>
  <c r="X118" i="23" s="1"/>
  <c r="X119" i="23" s="1"/>
  <c r="X120" i="23" s="1"/>
  <c r="X121" i="23" s="1"/>
  <c r="X122" i="23" s="1"/>
  <c r="X123" i="23" s="1"/>
  <c r="X124" i="23" s="1"/>
  <c r="X125" i="23" s="1"/>
  <c r="X126" i="23" s="1"/>
  <c r="X127" i="23" s="1"/>
  <c r="X128" i="23" s="1"/>
  <c r="X129" i="23" s="1"/>
  <c r="X130" i="23" s="1"/>
  <c r="X131" i="23" s="1"/>
  <c r="X132" i="23" s="1"/>
  <c r="X133" i="23" s="1"/>
  <c r="X134" i="23" s="1"/>
  <c r="X135" i="23" s="1"/>
  <c r="X136" i="23" s="1"/>
  <c r="X137" i="23" s="1"/>
  <c r="X138" i="23" s="1"/>
  <c r="X139" i="23" s="1"/>
  <c r="X140" i="23" s="1"/>
  <c r="X141" i="23" s="1"/>
  <c r="X142" i="23" s="1"/>
  <c r="X143" i="23" s="1"/>
  <c r="X144" i="23" s="1"/>
  <c r="X145" i="23" s="1"/>
  <c r="X146" i="23" s="1"/>
  <c r="X147" i="23" s="1"/>
  <c r="X148" i="23" s="1"/>
  <c r="X149" i="23" s="1"/>
  <c r="X150" i="23" s="1"/>
  <c r="X151" i="23" s="1"/>
  <c r="X152" i="23" s="1"/>
  <c r="X153" i="23" s="1"/>
  <c r="X154" i="23" s="1"/>
  <c r="X155" i="23" s="1"/>
  <c r="X156" i="23" s="1"/>
  <c r="X157" i="23" s="1"/>
  <c r="C5" i="23"/>
  <c r="E16" i="25"/>
  <c r="T10" i="23"/>
  <c r="T11" i="23"/>
  <c r="T12" i="23"/>
  <c r="T13" i="23"/>
  <c r="T14" i="23"/>
  <c r="T15" i="23"/>
  <c r="T16" i="23"/>
  <c r="T17" i="23"/>
  <c r="T18" i="23"/>
  <c r="T20" i="23"/>
  <c r="T21" i="23"/>
  <c r="T22" i="23"/>
  <c r="T23" i="23"/>
  <c r="T24" i="23"/>
  <c r="T25" i="23"/>
  <c r="T26" i="23"/>
  <c r="T30" i="23"/>
  <c r="T31" i="23"/>
  <c r="T32" i="23"/>
  <c r="T33" i="23"/>
  <c r="T34" i="23"/>
  <c r="T35" i="23"/>
  <c r="T36" i="23"/>
  <c r="T37" i="23"/>
  <c r="T38" i="23"/>
  <c r="T39" i="23"/>
  <c r="T40" i="23"/>
  <c r="T44" i="23"/>
  <c r="T45" i="23"/>
  <c r="T46" i="23"/>
  <c r="T47" i="23"/>
  <c r="T48" i="23"/>
  <c r="T49" i="23"/>
  <c r="T50" i="23"/>
  <c r="T51" i="23"/>
  <c r="T52" i="23"/>
  <c r="T53" i="23"/>
  <c r="T54" i="23"/>
  <c r="T58" i="23"/>
  <c r="T59" i="23"/>
  <c r="T60" i="23"/>
  <c r="T61" i="23"/>
  <c r="T62" i="23"/>
  <c r="T63" i="23"/>
  <c r="T64" i="23"/>
  <c r="T68" i="23"/>
  <c r="T69" i="23"/>
  <c r="T70" i="23"/>
  <c r="G9" i="23"/>
  <c r="G10" i="23"/>
  <c r="G12" i="23"/>
  <c r="G13" i="23"/>
  <c r="G15" i="23"/>
  <c r="G16" i="23"/>
  <c r="G20" i="23"/>
  <c r="G21" i="23"/>
  <c r="G22" i="23"/>
  <c r="G70" i="23"/>
  <c r="G69" i="23"/>
  <c r="G68" i="23"/>
  <c r="G71" i="23" s="1"/>
  <c r="G64" i="23"/>
  <c r="G63" i="23"/>
  <c r="G62" i="23"/>
  <c r="G61" i="23"/>
  <c r="G60" i="23"/>
  <c r="G59" i="23"/>
  <c r="G58" i="23"/>
  <c r="G54" i="23"/>
  <c r="G53" i="23"/>
  <c r="G52" i="23"/>
  <c r="G51" i="23"/>
  <c r="G50" i="23"/>
  <c r="G49" i="23"/>
  <c r="G48" i="23"/>
  <c r="G47" i="23"/>
  <c r="G46" i="23"/>
  <c r="G45" i="23"/>
  <c r="G44" i="23"/>
  <c r="G40" i="23"/>
  <c r="G39" i="23"/>
  <c r="G38" i="23"/>
  <c r="G37" i="23"/>
  <c r="G36" i="23"/>
  <c r="G35" i="23"/>
  <c r="G34" i="23"/>
  <c r="G33" i="23"/>
  <c r="G32" i="23"/>
  <c r="G31" i="23"/>
  <c r="G30" i="23"/>
  <c r="G41" i="23" s="1"/>
  <c r="G26" i="23"/>
  <c r="G25" i="23"/>
  <c r="G24" i="23"/>
  <c r="G23" i="23"/>
  <c r="G18" i="23"/>
  <c r="G17" i="23"/>
  <c r="G14" i="23"/>
  <c r="G11" i="23"/>
  <c r="J4" i="22"/>
  <c r="J4" i="21"/>
  <c r="J4" i="20"/>
  <c r="K4" i="24"/>
  <c r="S4" i="3"/>
  <c r="G5" i="19"/>
  <c r="E4" i="25"/>
  <c r="L5" i="23"/>
  <c r="R7" i="23"/>
  <c r="R29" i="23" s="1"/>
  <c r="Q7" i="23"/>
  <c r="Q29" i="23" s="1"/>
  <c r="C3" i="23"/>
  <c r="E41" i="23"/>
  <c r="E55" i="23"/>
  <c r="E65" i="23"/>
  <c r="E71" i="23"/>
  <c r="T43" i="23"/>
  <c r="T57" i="23"/>
  <c r="T67" i="23"/>
  <c r="N65" i="23"/>
  <c r="L65" i="23"/>
  <c r="J65" i="23"/>
  <c r="J55" i="23"/>
  <c r="N71" i="23"/>
  <c r="L71" i="23"/>
  <c r="J71" i="23"/>
  <c r="N55" i="23"/>
  <c r="L55" i="23"/>
  <c r="J27" i="23"/>
  <c r="J41" i="23"/>
  <c r="N41" i="23"/>
  <c r="L41" i="23"/>
  <c r="N27" i="23"/>
  <c r="L27" i="23"/>
  <c r="D37" i="22"/>
  <c r="G37" i="22" s="1"/>
  <c r="J37" i="22" s="1"/>
  <c r="M37" i="22" s="1"/>
  <c r="P37" i="22" s="1"/>
  <c r="S37" i="22" s="1"/>
  <c r="V37" i="22" s="1"/>
  <c r="Y37" i="22" s="1"/>
  <c r="AB37" i="22" s="1"/>
  <c r="AE37" i="22" s="1"/>
  <c r="AH37" i="22" s="1"/>
  <c r="AK37" i="22" s="1"/>
  <c r="AL34" i="22"/>
  <c r="AK34" i="22"/>
  <c r="AK35" i="22" s="1"/>
  <c r="AI34" i="22"/>
  <c r="AH34" i="22"/>
  <c r="AH35" i="22" s="1"/>
  <c r="AF34" i="22"/>
  <c r="AE34" i="22"/>
  <c r="AC34" i="22"/>
  <c r="AB34" i="22"/>
  <c r="AB35" i="22" s="1"/>
  <c r="Z34" i="22"/>
  <c r="Y34" i="22"/>
  <c r="Y35" i="22"/>
  <c r="W34" i="22"/>
  <c r="V34" i="22"/>
  <c r="V35" i="22" s="1"/>
  <c r="T34" i="22"/>
  <c r="S34" i="22"/>
  <c r="S35" i="22" s="1"/>
  <c r="Q34" i="22"/>
  <c r="P34" i="22"/>
  <c r="P35" i="22" s="1"/>
  <c r="N34" i="22"/>
  <c r="M34" i="22"/>
  <c r="M35" i="22"/>
  <c r="K34" i="22"/>
  <c r="J34" i="22"/>
  <c r="J35" i="22" s="1"/>
  <c r="H34" i="22"/>
  <c r="G34" i="22"/>
  <c r="G35" i="22"/>
  <c r="E34" i="22"/>
  <c r="D34" i="22"/>
  <c r="D35" i="22"/>
  <c r="AQ33" i="22"/>
  <c r="AP33" i="22"/>
  <c r="AQ32" i="22"/>
  <c r="AP32" i="22"/>
  <c r="AQ31" i="22"/>
  <c r="AP31" i="22"/>
  <c r="AQ30" i="22"/>
  <c r="AP30" i="22"/>
  <c r="AQ29" i="22"/>
  <c r="AP29" i="22"/>
  <c r="AQ28" i="22"/>
  <c r="AP28" i="22"/>
  <c r="AQ27" i="22"/>
  <c r="AP27" i="22"/>
  <c r="AQ26" i="22"/>
  <c r="AP26" i="22"/>
  <c r="AQ25" i="22"/>
  <c r="AP25" i="22"/>
  <c r="AQ24" i="22"/>
  <c r="AP24" i="22"/>
  <c r="AQ23" i="22"/>
  <c r="AP23" i="22"/>
  <c r="AQ22" i="22"/>
  <c r="AQ34" i="22"/>
  <c r="AP22" i="22"/>
  <c r="D20" i="22"/>
  <c r="G20" i="22" s="1"/>
  <c r="J20" i="22" s="1"/>
  <c r="M20" i="22" s="1"/>
  <c r="P20" i="22" s="1"/>
  <c r="S20" i="22" s="1"/>
  <c r="V20" i="22" s="1"/>
  <c r="Y20" i="22" s="1"/>
  <c r="AB20" i="22" s="1"/>
  <c r="AE20" i="22" s="1"/>
  <c r="AH20" i="22" s="1"/>
  <c r="AK20" i="22" s="1"/>
  <c r="AL17" i="22"/>
  <c r="AL39" i="22" s="1"/>
  <c r="AK17" i="22"/>
  <c r="AK39" i="22" s="1"/>
  <c r="AK18" i="22"/>
  <c r="AI17" i="22"/>
  <c r="AI39" i="22" s="1"/>
  <c r="AH17" i="22"/>
  <c r="AF17" i="22"/>
  <c r="AE17" i="22"/>
  <c r="AE18" i="22" s="1"/>
  <c r="AC17" i="22"/>
  <c r="AC39" i="22" s="1"/>
  <c r="AB17" i="22"/>
  <c r="AB18" i="22" s="1"/>
  <c r="AB39" i="22"/>
  <c r="Z17" i="22"/>
  <c r="Z39" i="22" s="1"/>
  <c r="Y17" i="22"/>
  <c r="W17" i="22"/>
  <c r="V17" i="22"/>
  <c r="V39" i="22" s="1"/>
  <c r="T17" i="22"/>
  <c r="T39" i="22" s="1"/>
  <c r="S17" i="22"/>
  <c r="S18" i="22" s="1"/>
  <c r="S39" i="22"/>
  <c r="Q17" i="22"/>
  <c r="Q39" i="22" s="1"/>
  <c r="P17" i="22"/>
  <c r="P39" i="22" s="1"/>
  <c r="P18" i="22"/>
  <c r="N17" i="22"/>
  <c r="N39" i="22"/>
  <c r="M17" i="22"/>
  <c r="M18" i="22" s="1"/>
  <c r="K17" i="22"/>
  <c r="K39" i="22" s="1"/>
  <c r="J17" i="22"/>
  <c r="J18" i="22" s="1"/>
  <c r="J39" i="22"/>
  <c r="H17" i="22"/>
  <c r="H39" i="22" s="1"/>
  <c r="G17" i="22"/>
  <c r="E17" i="22"/>
  <c r="D17" i="22"/>
  <c r="D18" i="22" s="1"/>
  <c r="AQ16" i="22"/>
  <c r="AP16" i="22"/>
  <c r="AQ15" i="22"/>
  <c r="AP15" i="22"/>
  <c r="AQ14" i="22"/>
  <c r="AP14" i="22"/>
  <c r="AQ13" i="22"/>
  <c r="AP13" i="22"/>
  <c r="AQ12" i="22"/>
  <c r="AP12" i="22"/>
  <c r="AQ11" i="22"/>
  <c r="AP11" i="22"/>
  <c r="AQ10" i="22"/>
  <c r="AP10" i="22"/>
  <c r="D8" i="22"/>
  <c r="G8" i="22" s="1"/>
  <c r="J8" i="22" s="1"/>
  <c r="M8" i="22" s="1"/>
  <c r="P8" i="22" s="1"/>
  <c r="S8" i="22" s="1"/>
  <c r="V8" i="22" s="1"/>
  <c r="Y8" i="22" s="1"/>
  <c r="AB8" i="22" s="1"/>
  <c r="AE8" i="22" s="1"/>
  <c r="AH8" i="22" s="1"/>
  <c r="AK8" i="22" s="1"/>
  <c r="D37" i="21"/>
  <c r="G37" i="21" s="1"/>
  <c r="J37" i="21" s="1"/>
  <c r="M37" i="21" s="1"/>
  <c r="P37" i="21" s="1"/>
  <c r="S37" i="21" s="1"/>
  <c r="V37" i="21" s="1"/>
  <c r="Y37" i="21" s="1"/>
  <c r="AB37" i="21" s="1"/>
  <c r="AE37" i="21" s="1"/>
  <c r="AH37" i="21" s="1"/>
  <c r="AK37" i="21" s="1"/>
  <c r="AL34" i="21"/>
  <c r="AK34" i="21"/>
  <c r="AK35" i="21" s="1"/>
  <c r="AI34" i="21"/>
  <c r="AH34" i="21"/>
  <c r="AH35" i="21" s="1"/>
  <c r="AF34" i="21"/>
  <c r="AE34" i="21"/>
  <c r="AE35" i="21" s="1"/>
  <c r="AC34" i="21"/>
  <c r="AB34" i="21"/>
  <c r="AB35" i="21" s="1"/>
  <c r="Z34" i="21"/>
  <c r="Y34" i="21"/>
  <c r="Y35" i="21" s="1"/>
  <c r="W34" i="21"/>
  <c r="V34" i="21"/>
  <c r="V35" i="21" s="1"/>
  <c r="T34" i="21"/>
  <c r="S34" i="21"/>
  <c r="S35" i="21" s="1"/>
  <c r="Q34" i="21"/>
  <c r="P34" i="21"/>
  <c r="P35" i="21" s="1"/>
  <c r="N34" i="21"/>
  <c r="M34" i="21"/>
  <c r="M35" i="21" s="1"/>
  <c r="K34" i="21"/>
  <c r="J34" i="21"/>
  <c r="J35" i="21" s="1"/>
  <c r="H34" i="21"/>
  <c r="G34" i="21"/>
  <c r="G35" i="21" s="1"/>
  <c r="E34" i="21"/>
  <c r="D34" i="21"/>
  <c r="D35" i="21" s="1"/>
  <c r="AQ33" i="21"/>
  <c r="AP33" i="21"/>
  <c r="AQ32" i="21"/>
  <c r="AP32" i="21"/>
  <c r="AQ31" i="21"/>
  <c r="AP31" i="21"/>
  <c r="AQ30" i="21"/>
  <c r="AP30" i="21"/>
  <c r="AQ29" i="21"/>
  <c r="AP29" i="21"/>
  <c r="AQ28" i="21"/>
  <c r="AP28" i="21"/>
  <c r="AQ27" i="21"/>
  <c r="AP27" i="21"/>
  <c r="AQ26" i="21"/>
  <c r="AP26" i="21"/>
  <c r="AQ25" i="21"/>
  <c r="AP25" i="21"/>
  <c r="AQ24" i="21"/>
  <c r="AP24" i="21"/>
  <c r="AQ23" i="21"/>
  <c r="AP23" i="21"/>
  <c r="AQ22" i="21"/>
  <c r="AQ34" i="21" s="1"/>
  <c r="AP22" i="21"/>
  <c r="D20" i="21"/>
  <c r="G20" i="21" s="1"/>
  <c r="J20" i="21" s="1"/>
  <c r="M20" i="21" s="1"/>
  <c r="P20" i="21" s="1"/>
  <c r="S20" i="21" s="1"/>
  <c r="V20" i="21" s="1"/>
  <c r="Y20" i="21" s="1"/>
  <c r="AB20" i="21" s="1"/>
  <c r="AE20" i="21" s="1"/>
  <c r="AH20" i="21" s="1"/>
  <c r="AK20" i="21" s="1"/>
  <c r="AL17" i="21"/>
  <c r="AK17" i="21"/>
  <c r="AK39" i="21" s="1"/>
  <c r="AI17" i="21"/>
  <c r="AI39" i="21" s="1"/>
  <c r="AH17" i="21"/>
  <c r="AF17" i="21"/>
  <c r="AF39" i="21"/>
  <c r="AE17" i="21"/>
  <c r="AE18" i="21" s="1"/>
  <c r="AC17" i="21"/>
  <c r="AB17" i="21"/>
  <c r="AB18" i="21" s="1"/>
  <c r="Z17" i="21"/>
  <c r="Z39" i="21"/>
  <c r="Y17" i="21"/>
  <c r="W17" i="21"/>
  <c r="W39" i="21" s="1"/>
  <c r="V17" i="21"/>
  <c r="T17" i="21"/>
  <c r="S17" i="21"/>
  <c r="Q17" i="21"/>
  <c r="Q39" i="21"/>
  <c r="P17" i="21"/>
  <c r="P18" i="21" s="1"/>
  <c r="P39" i="21"/>
  <c r="N17" i="21"/>
  <c r="N39" i="21"/>
  <c r="M17" i="21"/>
  <c r="M18" i="21" s="1"/>
  <c r="K17" i="21"/>
  <c r="J17" i="21"/>
  <c r="J18" i="21" s="1"/>
  <c r="J39" i="21"/>
  <c r="H17" i="21"/>
  <c r="G17" i="21"/>
  <c r="G39" i="21" s="1"/>
  <c r="E17" i="21"/>
  <c r="E39" i="21"/>
  <c r="D42" i="21" s="1"/>
  <c r="D17" i="21"/>
  <c r="AQ16" i="21"/>
  <c r="AP16" i="21"/>
  <c r="AQ15" i="21"/>
  <c r="AP15" i="21"/>
  <c r="AQ14" i="21"/>
  <c r="AP14" i="21"/>
  <c r="AQ13" i="21"/>
  <c r="AP13" i="21"/>
  <c r="AQ12" i="21"/>
  <c r="AP12" i="21"/>
  <c r="AQ11" i="21"/>
  <c r="AP11" i="21"/>
  <c r="AQ10" i="21"/>
  <c r="AQ17" i="21" s="1"/>
  <c r="AP10" i="21"/>
  <c r="D8" i="21"/>
  <c r="G8" i="21" s="1"/>
  <c r="J8" i="21" s="1"/>
  <c r="M8" i="21" s="1"/>
  <c r="P8" i="21" s="1"/>
  <c r="S8" i="21" s="1"/>
  <c r="V8" i="21" s="1"/>
  <c r="Y8" i="21" s="1"/>
  <c r="AB8" i="21" s="1"/>
  <c r="AE8" i="21" s="1"/>
  <c r="AH8" i="21" s="1"/>
  <c r="AK8" i="21" s="1"/>
  <c r="AQ13" i="20"/>
  <c r="AQ12" i="20"/>
  <c r="AQ27" i="20"/>
  <c r="AP13" i="20"/>
  <c r="AP12" i="20"/>
  <c r="AP27" i="20"/>
  <c r="D8" i="20"/>
  <c r="G8" i="20" s="1"/>
  <c r="J8" i="20" s="1"/>
  <c r="M8" i="20" s="1"/>
  <c r="P8" i="20" s="1"/>
  <c r="S8" i="20" s="1"/>
  <c r="V8" i="20" s="1"/>
  <c r="Y8" i="20" s="1"/>
  <c r="AB8" i="20" s="1"/>
  <c r="AE8" i="20" s="1"/>
  <c r="AH8" i="20" s="1"/>
  <c r="AK8" i="20" s="1"/>
  <c r="D37" i="20"/>
  <c r="G37" i="20" s="1"/>
  <c r="J37" i="20" s="1"/>
  <c r="M37" i="20" s="1"/>
  <c r="P37" i="20" s="1"/>
  <c r="S37" i="20" s="1"/>
  <c r="V37" i="20" s="1"/>
  <c r="Y37" i="20" s="1"/>
  <c r="AB37" i="20" s="1"/>
  <c r="AE37" i="20" s="1"/>
  <c r="AH37" i="20" s="1"/>
  <c r="AK37" i="20" s="1"/>
  <c r="D20" i="20"/>
  <c r="G20" i="20" s="1"/>
  <c r="J20" i="20" s="1"/>
  <c r="M20" i="20" s="1"/>
  <c r="P20" i="20" s="1"/>
  <c r="S20" i="20" s="1"/>
  <c r="V20" i="20" s="1"/>
  <c r="Y20" i="20" s="1"/>
  <c r="AB20" i="20" s="1"/>
  <c r="AE20" i="20" s="1"/>
  <c r="AH20" i="20" s="1"/>
  <c r="AK20" i="20" s="1"/>
  <c r="I37" i="3"/>
  <c r="AK34" i="20"/>
  <c r="AK35" i="20" s="1"/>
  <c r="AH34" i="20"/>
  <c r="AH35" i="20"/>
  <c r="AE34" i="20"/>
  <c r="AE35" i="20" s="1"/>
  <c r="AB34" i="20"/>
  <c r="AB35" i="20"/>
  <c r="Y34" i="20"/>
  <c r="Y35" i="20" s="1"/>
  <c r="V34" i="20"/>
  <c r="V35" i="20"/>
  <c r="S34" i="20"/>
  <c r="S35" i="20" s="1"/>
  <c r="P34" i="20"/>
  <c r="P35" i="20"/>
  <c r="M34" i="20"/>
  <c r="M35" i="20" s="1"/>
  <c r="J34" i="20"/>
  <c r="J35" i="20"/>
  <c r="G34" i="20"/>
  <c r="G35" i="20" s="1"/>
  <c r="D34" i="20"/>
  <c r="D35" i="20"/>
  <c r="AQ33" i="20"/>
  <c r="AP33" i="20"/>
  <c r="AQ32" i="20"/>
  <c r="AP32" i="20"/>
  <c r="AQ31" i="20"/>
  <c r="AP31" i="20"/>
  <c r="AQ30" i="20"/>
  <c r="AP30" i="20"/>
  <c r="AQ29" i="20"/>
  <c r="AP29" i="20"/>
  <c r="AQ28" i="20"/>
  <c r="AP28" i="20"/>
  <c r="AQ26" i="20"/>
  <c r="AP26" i="20"/>
  <c r="AQ25" i="20"/>
  <c r="AP25" i="20"/>
  <c r="AQ24" i="20"/>
  <c r="AP24" i="20"/>
  <c r="AQ23" i="20"/>
  <c r="AP23" i="20"/>
  <c r="AP22" i="20"/>
  <c r="AL34" i="20"/>
  <c r="AI34" i="20"/>
  <c r="AF34" i="20"/>
  <c r="AC34" i="20"/>
  <c r="Z34" i="20"/>
  <c r="W34" i="20"/>
  <c r="T34" i="20"/>
  <c r="Q34" i="20"/>
  <c r="N34" i="20"/>
  <c r="K34" i="20"/>
  <c r="H34" i="20"/>
  <c r="E34" i="20"/>
  <c r="AL17" i="20"/>
  <c r="AK17" i="20"/>
  <c r="AK39" i="20" s="1"/>
  <c r="AI17" i="20"/>
  <c r="AH17" i="20"/>
  <c r="AH18" i="20"/>
  <c r="AF17" i="20"/>
  <c r="AE17" i="20"/>
  <c r="AE39" i="20" s="1"/>
  <c r="AC17" i="20"/>
  <c r="AB17" i="20"/>
  <c r="Z17" i="20"/>
  <c r="Z39" i="20" s="1"/>
  <c r="Y17" i="20"/>
  <c r="Y39" i="20" s="1"/>
  <c r="W17" i="20"/>
  <c r="V17" i="20"/>
  <c r="T17" i="20"/>
  <c r="S17" i="20"/>
  <c r="Q17" i="20"/>
  <c r="P17" i="20"/>
  <c r="N17" i="20"/>
  <c r="N39" i="20" s="1"/>
  <c r="M17" i="20"/>
  <c r="M39" i="20" s="1"/>
  <c r="K17" i="20"/>
  <c r="J17" i="20"/>
  <c r="H17" i="20"/>
  <c r="G17" i="20"/>
  <c r="G39" i="20"/>
  <c r="E17" i="20"/>
  <c r="D17" i="20"/>
  <c r="D39" i="20" s="1"/>
  <c r="AQ16" i="20"/>
  <c r="AP16" i="20"/>
  <c r="AQ15" i="20"/>
  <c r="AP15" i="20"/>
  <c r="AQ14" i="20"/>
  <c r="AP14" i="20"/>
  <c r="AQ11" i="20"/>
  <c r="AP11" i="20"/>
  <c r="AQ10" i="20"/>
  <c r="AQ17" i="20" s="1"/>
  <c r="AP10" i="20"/>
  <c r="J39" i="20"/>
  <c r="V39" i="20"/>
  <c r="AH39" i="20"/>
  <c r="W39" i="20"/>
  <c r="P18" i="20"/>
  <c r="K39" i="20"/>
  <c r="AI39" i="20"/>
  <c r="J18" i="20"/>
  <c r="AK18" i="20"/>
  <c r="S39" i="20"/>
  <c r="AL39" i="20"/>
  <c r="S18" i="20"/>
  <c r="E39" i="20"/>
  <c r="D42" i="20"/>
  <c r="AB18" i="20"/>
  <c r="G18" i="20"/>
  <c r="AE18" i="20"/>
  <c r="AQ22" i="20"/>
  <c r="AQ34" i="20" s="1"/>
  <c r="V18" i="20"/>
  <c r="C43" i="5"/>
  <c r="C42" i="5"/>
  <c r="C41" i="5"/>
  <c r="C40" i="5"/>
  <c r="C39" i="5"/>
  <c r="C38" i="5"/>
  <c r="C37" i="5"/>
  <c r="C36" i="5"/>
  <c r="C35" i="5"/>
  <c r="C34" i="5"/>
  <c r="C33" i="5"/>
  <c r="C32" i="5"/>
  <c r="C23" i="5"/>
  <c r="C22" i="5"/>
  <c r="C21" i="5"/>
  <c r="C20" i="5"/>
  <c r="C19" i="5"/>
  <c r="C18" i="5"/>
  <c r="C17" i="5"/>
  <c r="C16" i="5"/>
  <c r="C15" i="5"/>
  <c r="C14" i="5"/>
  <c r="C13" i="5"/>
  <c r="C12" i="5"/>
  <c r="C11" i="5"/>
  <c r="C10" i="5"/>
  <c r="C9" i="5"/>
  <c r="C8" i="5"/>
  <c r="E8" i="16"/>
  <c r="E9" i="16"/>
  <c r="E10" i="16"/>
  <c r="E11" i="16"/>
  <c r="E12" i="16"/>
  <c r="E13" i="16"/>
  <c r="E14" i="16"/>
  <c r="E15" i="16"/>
  <c r="E16" i="16"/>
  <c r="E17" i="16"/>
  <c r="E18" i="16"/>
  <c r="E19" i="16"/>
  <c r="E20" i="16"/>
  <c r="E21" i="16"/>
  <c r="E22" i="16"/>
  <c r="E23" i="16"/>
  <c r="E32" i="16"/>
  <c r="E33" i="16"/>
  <c r="E34" i="16"/>
  <c r="E35" i="16"/>
  <c r="E36" i="16"/>
  <c r="E37" i="16"/>
  <c r="E38" i="16"/>
  <c r="E39" i="16"/>
  <c r="E40" i="16"/>
  <c r="E41" i="16"/>
  <c r="E42" i="16"/>
  <c r="E43" i="16"/>
  <c r="O68" i="3"/>
  <c r="I16" i="7"/>
  <c r="I17" i="5"/>
  <c r="I32" i="7"/>
  <c r="I33" i="5"/>
  <c r="A9" i="7"/>
  <c r="A10" i="7" s="1"/>
  <c r="A11" i="7" s="1"/>
  <c r="A12" i="7" s="1"/>
  <c r="A13" i="7" s="1"/>
  <c r="A14" i="7" s="1"/>
  <c r="A15" i="7" s="1"/>
  <c r="A16" i="7" s="1"/>
  <c r="A17" i="7" s="1"/>
  <c r="A18" i="7" s="1"/>
  <c r="A19" i="7" s="1"/>
  <c r="A20" i="7" s="1"/>
  <c r="A21" i="7" s="1"/>
  <c r="A22" i="7" s="1"/>
  <c r="A23" i="7" s="1"/>
  <c r="F4" i="3"/>
  <c r="D11" i="19"/>
  <c r="E11" i="19"/>
  <c r="E12" i="19" s="1"/>
  <c r="E13" i="19" s="1"/>
  <c r="E14" i="19" s="1"/>
  <c r="E15" i="19" s="1"/>
  <c r="E16" i="19" s="1"/>
  <c r="E17" i="19" s="1"/>
  <c r="E18" i="19" s="1"/>
  <c r="E19" i="19" s="1"/>
  <c r="E20" i="19" s="1"/>
  <c r="E21" i="19" s="1"/>
  <c r="E22" i="19" s="1"/>
  <c r="E23" i="19" s="1"/>
  <c r="E24" i="19" s="1"/>
  <c r="E25" i="19" s="1"/>
  <c r="E26" i="19" s="1"/>
  <c r="E27" i="19" s="1"/>
  <c r="E28" i="19" s="1"/>
  <c r="E29" i="19" s="1"/>
  <c r="E30" i="19" s="1"/>
  <c r="E31" i="19" s="1"/>
  <c r="E32" i="19" s="1"/>
  <c r="E33" i="19" s="1"/>
  <c r="E34" i="19" s="1"/>
  <c r="E35" i="19" s="1"/>
  <c r="E36" i="19" s="1"/>
  <c r="E37" i="19" s="1"/>
  <c r="E38" i="19" s="1"/>
  <c r="E39" i="19" s="1"/>
  <c r="E40" i="19" s="1"/>
  <c r="C31" i="19"/>
  <c r="C32" i="19"/>
  <c r="C33" i="19"/>
  <c r="C34" i="19"/>
  <c r="C35" i="19"/>
  <c r="C36" i="19"/>
  <c r="C37" i="19"/>
  <c r="C38" i="19"/>
  <c r="C39" i="19"/>
  <c r="C40" i="19"/>
  <c r="J7" i="2"/>
  <c r="F43" i="17"/>
  <c r="F42" i="17"/>
  <c r="F41" i="17"/>
  <c r="F40" i="17"/>
  <c r="F39" i="17"/>
  <c r="F38" i="17"/>
  <c r="F37" i="17"/>
  <c r="F36" i="17"/>
  <c r="F35" i="17"/>
  <c r="F34" i="17"/>
  <c r="F33" i="17"/>
  <c r="F32" i="17"/>
  <c r="F23" i="17"/>
  <c r="F22" i="17"/>
  <c r="F21" i="17"/>
  <c r="F20" i="17"/>
  <c r="F19" i="17"/>
  <c r="F18" i="17"/>
  <c r="F17" i="17"/>
  <c r="F16" i="17"/>
  <c r="F15" i="17"/>
  <c r="F14" i="17"/>
  <c r="F13" i="17"/>
  <c r="F12" i="17"/>
  <c r="F11" i="17"/>
  <c r="F10" i="17"/>
  <c r="F9" i="17"/>
  <c r="E43" i="17"/>
  <c r="E42" i="17"/>
  <c r="E41" i="17"/>
  <c r="E40" i="17"/>
  <c r="E39" i="17"/>
  <c r="E38" i="17"/>
  <c r="E37" i="17"/>
  <c r="E36" i="17"/>
  <c r="E35" i="17"/>
  <c r="E34" i="17"/>
  <c r="E33" i="17"/>
  <c r="E32" i="17"/>
  <c r="E23" i="17"/>
  <c r="E22" i="17"/>
  <c r="E21" i="17"/>
  <c r="E20" i="17"/>
  <c r="E19" i="17"/>
  <c r="E18" i="17"/>
  <c r="E17" i="17"/>
  <c r="E16" i="17"/>
  <c r="E15" i="17"/>
  <c r="E14" i="17"/>
  <c r="E13" i="17"/>
  <c r="E12" i="17"/>
  <c r="E11" i="17"/>
  <c r="E10" i="17"/>
  <c r="E9" i="17"/>
  <c r="F8" i="17"/>
  <c r="E8"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F43" i="16"/>
  <c r="F42" i="16"/>
  <c r="F41" i="16"/>
  <c r="F40" i="16"/>
  <c r="F39" i="16"/>
  <c r="F38" i="16"/>
  <c r="F37" i="16"/>
  <c r="F36" i="16"/>
  <c r="F35" i="16"/>
  <c r="F34" i="16"/>
  <c r="F33" i="16"/>
  <c r="F32" i="16"/>
  <c r="F23" i="16"/>
  <c r="F22" i="16"/>
  <c r="F21" i="16"/>
  <c r="F20" i="16"/>
  <c r="F19" i="16"/>
  <c r="F18" i="16"/>
  <c r="F17" i="16"/>
  <c r="F16" i="16"/>
  <c r="F15" i="16"/>
  <c r="F14" i="16"/>
  <c r="F13" i="16"/>
  <c r="F12" i="16"/>
  <c r="F11" i="16"/>
  <c r="F10" i="16"/>
  <c r="F9" i="16"/>
  <c r="F8"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F43" i="15"/>
  <c r="F42" i="15"/>
  <c r="F41" i="15"/>
  <c r="F40" i="15"/>
  <c r="F39" i="15"/>
  <c r="F38" i="15"/>
  <c r="F37" i="15"/>
  <c r="F36" i="15"/>
  <c r="F35" i="15"/>
  <c r="F34" i="15"/>
  <c r="F33" i="15"/>
  <c r="F32" i="15"/>
  <c r="F23" i="15"/>
  <c r="F22" i="15"/>
  <c r="F21" i="15"/>
  <c r="F20" i="15"/>
  <c r="F19" i="15"/>
  <c r="F18" i="15"/>
  <c r="F17" i="15"/>
  <c r="F16" i="15"/>
  <c r="E43" i="15"/>
  <c r="E42" i="15"/>
  <c r="E41" i="15"/>
  <c r="E40" i="15"/>
  <c r="E39" i="15"/>
  <c r="E38" i="15"/>
  <c r="E37" i="15"/>
  <c r="E36" i="15"/>
  <c r="E35" i="15"/>
  <c r="E34" i="15"/>
  <c r="E33" i="15"/>
  <c r="E32" i="15"/>
  <c r="E23" i="15"/>
  <c r="E22" i="15"/>
  <c r="E21" i="15"/>
  <c r="E20" i="15"/>
  <c r="E19" i="15"/>
  <c r="E18" i="15"/>
  <c r="E17" i="15"/>
  <c r="E16" i="15"/>
  <c r="E15" i="15"/>
  <c r="E14" i="15"/>
  <c r="E13" i="15"/>
  <c r="E12" i="15"/>
  <c r="F15" i="15"/>
  <c r="F14" i="15"/>
  <c r="F13" i="15"/>
  <c r="F12" i="15"/>
  <c r="F11" i="15"/>
  <c r="E11" i="15"/>
  <c r="F10" i="15"/>
  <c r="F9" i="15"/>
  <c r="E10" i="15"/>
  <c r="E9" i="15"/>
  <c r="F8" i="15"/>
  <c r="E8" i="15"/>
  <c r="B61" i="15"/>
  <c r="B62" i="15"/>
  <c r="B63" i="15"/>
  <c r="B64" i="15" s="1"/>
  <c r="B65" i="15" s="1"/>
  <c r="B66" i="15" s="1"/>
  <c r="B67" i="15" s="1"/>
  <c r="B68" i="15" s="1"/>
  <c r="B69" i="15" s="1"/>
  <c r="B70" i="15" s="1"/>
  <c r="B71" i="15" s="1"/>
  <c r="B72" i="15" s="1"/>
  <c r="B73" i="15" s="1"/>
  <c r="B74" i="15" s="1"/>
  <c r="B75" i="15" s="1"/>
  <c r="B76" i="15" s="1"/>
  <c r="B77" i="15" s="1"/>
  <c r="B78" i="15" s="1"/>
  <c r="B79" i="15" s="1"/>
  <c r="B80" i="15" s="1"/>
  <c r="B81" i="15" s="1"/>
  <c r="B82" i="15" s="1"/>
  <c r="B83" i="15" s="1"/>
  <c r="B84" i="15" s="1"/>
  <c r="B85" i="15" s="1"/>
  <c r="B86" i="15" s="1"/>
  <c r="B87" i="15" s="1"/>
  <c r="B88" i="15" s="1"/>
  <c r="B89" i="15" s="1"/>
  <c r="F43" i="14"/>
  <c r="F42" i="14"/>
  <c r="F41" i="14"/>
  <c r="F40" i="14"/>
  <c r="F39" i="14"/>
  <c r="F38" i="14"/>
  <c r="F37" i="14"/>
  <c r="F36" i="14"/>
  <c r="F35" i="14"/>
  <c r="F34" i="14"/>
  <c r="F33" i="14"/>
  <c r="F32" i="14"/>
  <c r="F23" i="14"/>
  <c r="F22" i="14"/>
  <c r="F21" i="14"/>
  <c r="F20" i="14"/>
  <c r="F19" i="14"/>
  <c r="F18" i="14"/>
  <c r="F17" i="14"/>
  <c r="F16" i="14"/>
  <c r="F15" i="14"/>
  <c r="F14" i="14"/>
  <c r="F13" i="14"/>
  <c r="F12" i="14"/>
  <c r="F11" i="14"/>
  <c r="F10" i="14"/>
  <c r="E43" i="14"/>
  <c r="E42" i="14"/>
  <c r="E41" i="14"/>
  <c r="E40" i="14"/>
  <c r="E39" i="14"/>
  <c r="E38" i="14"/>
  <c r="E37" i="14"/>
  <c r="E36" i="14"/>
  <c r="E35" i="14"/>
  <c r="E34" i="14"/>
  <c r="E33" i="14"/>
  <c r="E32" i="14"/>
  <c r="E23" i="14"/>
  <c r="E22" i="14"/>
  <c r="E21" i="14"/>
  <c r="E20" i="14"/>
  <c r="E19" i="14"/>
  <c r="E18" i="14"/>
  <c r="E17" i="14"/>
  <c r="E16" i="14"/>
  <c r="E15" i="14"/>
  <c r="E14" i="14"/>
  <c r="E13" i="14"/>
  <c r="E12" i="14"/>
  <c r="E11" i="14"/>
  <c r="E10" i="14"/>
  <c r="F9" i="14"/>
  <c r="F8" i="14"/>
  <c r="E9" i="14"/>
  <c r="E8"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E43" i="13"/>
  <c r="E42" i="13"/>
  <c r="E41" i="13"/>
  <c r="E40" i="13"/>
  <c r="E39" i="13"/>
  <c r="E38" i="13"/>
  <c r="E37" i="13"/>
  <c r="E36" i="13"/>
  <c r="E35" i="13"/>
  <c r="E34" i="13"/>
  <c r="E33" i="13"/>
  <c r="E32" i="13"/>
  <c r="E23" i="13"/>
  <c r="E22" i="13"/>
  <c r="E21" i="13"/>
  <c r="E20" i="13"/>
  <c r="E19" i="13"/>
  <c r="E18" i="13"/>
  <c r="E17" i="13"/>
  <c r="E16" i="13"/>
  <c r="E15" i="13"/>
  <c r="E14" i="13"/>
  <c r="E13" i="13"/>
  <c r="F43" i="13"/>
  <c r="F42" i="13"/>
  <c r="F41" i="13"/>
  <c r="F40" i="13"/>
  <c r="F39" i="13"/>
  <c r="F38" i="13"/>
  <c r="F37" i="13"/>
  <c r="F36" i="13"/>
  <c r="F35" i="13"/>
  <c r="F34" i="13"/>
  <c r="F33" i="13"/>
  <c r="F32" i="13"/>
  <c r="F23" i="13"/>
  <c r="F22" i="13"/>
  <c r="F21" i="13"/>
  <c r="F20" i="13"/>
  <c r="F19" i="13"/>
  <c r="F18" i="13"/>
  <c r="F17" i="13"/>
  <c r="F16" i="13"/>
  <c r="F15" i="13"/>
  <c r="F14" i="13"/>
  <c r="F13" i="13"/>
  <c r="F12" i="13"/>
  <c r="F11" i="13"/>
  <c r="F10" i="13"/>
  <c r="F9" i="13"/>
  <c r="F8" i="13"/>
  <c r="E12" i="13"/>
  <c r="E11" i="13"/>
  <c r="E10" i="13"/>
  <c r="E9" i="13"/>
  <c r="E8"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F43" i="12"/>
  <c r="F42" i="12"/>
  <c r="F41" i="12"/>
  <c r="F40" i="12"/>
  <c r="F39" i="12"/>
  <c r="F38" i="12"/>
  <c r="F37" i="12"/>
  <c r="F36" i="12"/>
  <c r="F35" i="12"/>
  <c r="F34" i="12"/>
  <c r="F33" i="12"/>
  <c r="F32" i="12"/>
  <c r="F23" i="12"/>
  <c r="F22" i="12"/>
  <c r="F21" i="12"/>
  <c r="F20" i="12"/>
  <c r="F19" i="12"/>
  <c r="F18" i="12"/>
  <c r="F17" i="12"/>
  <c r="F16" i="12"/>
  <c r="F15" i="12"/>
  <c r="F14" i="12"/>
  <c r="F13" i="12"/>
  <c r="F12" i="12"/>
  <c r="F11" i="12"/>
  <c r="F10" i="12"/>
  <c r="E43" i="12"/>
  <c r="E42" i="12"/>
  <c r="E41" i="12"/>
  <c r="E40" i="12"/>
  <c r="E39" i="12"/>
  <c r="E38" i="12"/>
  <c r="E37" i="12"/>
  <c r="E36" i="12"/>
  <c r="E35" i="12"/>
  <c r="E34" i="12"/>
  <c r="E33" i="12"/>
  <c r="E32" i="12"/>
  <c r="E23" i="12"/>
  <c r="E22" i="12"/>
  <c r="E21" i="12"/>
  <c r="E20" i="12"/>
  <c r="E19" i="12"/>
  <c r="E18" i="12"/>
  <c r="E17" i="12"/>
  <c r="E16" i="12"/>
  <c r="E15" i="12"/>
  <c r="E14" i="12"/>
  <c r="E13" i="12"/>
  <c r="E12" i="12"/>
  <c r="E11" i="12"/>
  <c r="E10" i="12"/>
  <c r="F9" i="12"/>
  <c r="E9" i="12"/>
  <c r="F8" i="12"/>
  <c r="E8" i="12"/>
  <c r="B61" i="12"/>
  <c r="B62" i="12"/>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A9" i="5"/>
  <c r="A10" i="5" s="1"/>
  <c r="A11" i="5" s="1"/>
  <c r="A12" i="5" s="1"/>
  <c r="A13" i="5" s="1"/>
  <c r="A14" i="5" s="1"/>
  <c r="A15" i="5" s="1"/>
  <c r="A16" i="5" s="1"/>
  <c r="A17" i="5" s="1"/>
  <c r="A18" i="5" s="1"/>
  <c r="A19" i="5" s="1"/>
  <c r="A20" i="5" s="1"/>
  <c r="A21" i="5" s="1"/>
  <c r="A22" i="5" s="1"/>
  <c r="A23" i="5" s="1"/>
  <c r="A24" i="5" s="1"/>
  <c r="A25" i="5" s="1"/>
  <c r="A26" i="5" s="1"/>
  <c r="A27" i="5" s="1"/>
  <c r="F43" i="11"/>
  <c r="F42" i="11"/>
  <c r="F41" i="11"/>
  <c r="F40" i="11"/>
  <c r="F39" i="11"/>
  <c r="F38" i="11"/>
  <c r="F37" i="11"/>
  <c r="F36" i="11"/>
  <c r="F23" i="11"/>
  <c r="F22" i="11"/>
  <c r="F21" i="11"/>
  <c r="F20" i="11"/>
  <c r="F19" i="11"/>
  <c r="F18" i="11"/>
  <c r="F17" i="11"/>
  <c r="F16" i="11"/>
  <c r="F15" i="11"/>
  <c r="F14" i="11"/>
  <c r="F13" i="11"/>
  <c r="F12" i="11"/>
  <c r="F11" i="11"/>
  <c r="F10" i="11"/>
  <c r="F9" i="11"/>
  <c r="E43" i="11"/>
  <c r="E42" i="11"/>
  <c r="E41" i="11"/>
  <c r="E40" i="11"/>
  <c r="E39" i="11"/>
  <c r="E38" i="11"/>
  <c r="E37" i="11"/>
  <c r="E36" i="11"/>
  <c r="E23" i="11"/>
  <c r="E22" i="11"/>
  <c r="E21" i="11"/>
  <c r="E20" i="11"/>
  <c r="E19" i="11"/>
  <c r="E18" i="11"/>
  <c r="E17" i="11"/>
  <c r="E16" i="11"/>
  <c r="E15" i="11"/>
  <c r="E14" i="11"/>
  <c r="E13" i="11"/>
  <c r="E12" i="11"/>
  <c r="E11" i="11"/>
  <c r="E10" i="11"/>
  <c r="E9" i="11"/>
  <c r="E8" i="11"/>
  <c r="F8" i="11"/>
  <c r="B61" i="11"/>
  <c r="B62" i="11"/>
  <c r="B63" i="1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F43" i="10"/>
  <c r="F42" i="10"/>
  <c r="F41" i="10"/>
  <c r="F40" i="10"/>
  <c r="F39" i="10"/>
  <c r="F38" i="10"/>
  <c r="F37" i="10"/>
  <c r="F36" i="10"/>
  <c r="F35" i="10"/>
  <c r="F34" i="10"/>
  <c r="F33" i="10"/>
  <c r="F32" i="10"/>
  <c r="F23" i="10"/>
  <c r="F22" i="10"/>
  <c r="F21" i="10"/>
  <c r="F20" i="10"/>
  <c r="F19" i="10"/>
  <c r="F18" i="10"/>
  <c r="F17" i="10"/>
  <c r="F16" i="10"/>
  <c r="F15" i="10"/>
  <c r="F14" i="10"/>
  <c r="F13" i="10"/>
  <c r="F12" i="10"/>
  <c r="F11" i="10"/>
  <c r="F10" i="10"/>
  <c r="F9" i="10"/>
  <c r="E43" i="10"/>
  <c r="E42" i="10"/>
  <c r="E41" i="10"/>
  <c r="E40" i="10"/>
  <c r="E39" i="10"/>
  <c r="E38" i="10"/>
  <c r="E37" i="10"/>
  <c r="E36" i="10"/>
  <c r="E35" i="10"/>
  <c r="E34" i="10"/>
  <c r="E33" i="10"/>
  <c r="E32" i="10"/>
  <c r="E23" i="10"/>
  <c r="E22" i="10"/>
  <c r="E21" i="10"/>
  <c r="E20" i="10"/>
  <c r="E19" i="10"/>
  <c r="E18" i="10"/>
  <c r="E17" i="10"/>
  <c r="E16" i="10"/>
  <c r="E15" i="10"/>
  <c r="E14" i="10"/>
  <c r="E13" i="10"/>
  <c r="E12" i="10"/>
  <c r="E11" i="10"/>
  <c r="E10" i="10"/>
  <c r="E9" i="10"/>
  <c r="F8" i="10"/>
  <c r="E8"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F43" i="9"/>
  <c r="F42" i="9"/>
  <c r="F41" i="9"/>
  <c r="F40" i="9"/>
  <c r="F39" i="9"/>
  <c r="F38" i="9"/>
  <c r="F37" i="9"/>
  <c r="F36" i="9"/>
  <c r="F35" i="9"/>
  <c r="F34" i="9"/>
  <c r="F33" i="9"/>
  <c r="F32" i="9"/>
  <c r="F23" i="9"/>
  <c r="F22" i="9"/>
  <c r="F21" i="9"/>
  <c r="F20" i="9"/>
  <c r="F19" i="9"/>
  <c r="F18" i="9"/>
  <c r="F17" i="9"/>
  <c r="F16" i="9"/>
  <c r="F15" i="9"/>
  <c r="F14" i="9"/>
  <c r="F13" i="9"/>
  <c r="F12" i="9"/>
  <c r="F11" i="9"/>
  <c r="F10" i="9"/>
  <c r="F9" i="9"/>
  <c r="F8" i="9"/>
  <c r="E43" i="9"/>
  <c r="E42" i="9"/>
  <c r="E41" i="9"/>
  <c r="E40" i="9"/>
  <c r="E39" i="9"/>
  <c r="E38" i="9"/>
  <c r="E37" i="9"/>
  <c r="E36" i="9"/>
  <c r="E35" i="9"/>
  <c r="E34" i="9"/>
  <c r="E33" i="9"/>
  <c r="E32" i="9"/>
  <c r="E23" i="9"/>
  <c r="E22" i="9"/>
  <c r="E21" i="9"/>
  <c r="E20" i="9"/>
  <c r="E19" i="9"/>
  <c r="E18" i="9"/>
  <c r="E17" i="9"/>
  <c r="E16" i="9"/>
  <c r="E15" i="9"/>
  <c r="E14" i="9"/>
  <c r="E13" i="9"/>
  <c r="E12" i="9"/>
  <c r="E11" i="9"/>
  <c r="E10" i="9"/>
  <c r="E9" i="9"/>
  <c r="E8"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F43" i="8"/>
  <c r="F42" i="8"/>
  <c r="F41" i="8"/>
  <c r="F40" i="8"/>
  <c r="F39" i="8"/>
  <c r="F38" i="8"/>
  <c r="F37" i="8"/>
  <c r="F36" i="8"/>
  <c r="F35" i="8"/>
  <c r="F34" i="8"/>
  <c r="F33" i="8"/>
  <c r="F32" i="8"/>
  <c r="F23" i="8"/>
  <c r="F22" i="8"/>
  <c r="F21" i="8"/>
  <c r="F20" i="8"/>
  <c r="F19" i="8"/>
  <c r="F18" i="8"/>
  <c r="F16" i="5"/>
  <c r="F16" i="7"/>
  <c r="F17" i="8"/>
  <c r="F16" i="8"/>
  <c r="F15" i="8"/>
  <c r="F14" i="8"/>
  <c r="F13" i="8"/>
  <c r="F12" i="8"/>
  <c r="F11" i="8"/>
  <c r="F10" i="8"/>
  <c r="F9" i="8"/>
  <c r="F8" i="8"/>
  <c r="E43" i="8"/>
  <c r="E42" i="8"/>
  <c r="E41" i="8"/>
  <c r="E40" i="8"/>
  <c r="E39" i="8"/>
  <c r="E38" i="8"/>
  <c r="E37" i="8"/>
  <c r="E36" i="8"/>
  <c r="E35" i="8"/>
  <c r="E34" i="8"/>
  <c r="E33" i="8"/>
  <c r="E32" i="8"/>
  <c r="E23" i="8"/>
  <c r="E22" i="8"/>
  <c r="E21" i="8"/>
  <c r="E20" i="8"/>
  <c r="E19" i="8"/>
  <c r="E18" i="8"/>
  <c r="E17" i="8"/>
  <c r="E16" i="8"/>
  <c r="E15" i="8"/>
  <c r="E14" i="8"/>
  <c r="E13" i="8"/>
  <c r="E12" i="8"/>
  <c r="E11" i="8"/>
  <c r="E10" i="8"/>
  <c r="E9" i="8"/>
  <c r="E8"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E8" i="7"/>
  <c r="E9" i="7"/>
  <c r="E35" i="7"/>
  <c r="E32" i="7"/>
  <c r="C60" i="7"/>
  <c r="E10" i="7"/>
  <c r="E11" i="7"/>
  <c r="E12" i="7"/>
  <c r="E13" i="7"/>
  <c r="E14" i="7"/>
  <c r="E15" i="7"/>
  <c r="E16" i="7"/>
  <c r="E17" i="7"/>
  <c r="E18" i="7"/>
  <c r="E19" i="7"/>
  <c r="E20" i="7"/>
  <c r="E21" i="7"/>
  <c r="E22" i="7"/>
  <c r="E23" i="7"/>
  <c r="E33" i="7"/>
  <c r="E34" i="7"/>
  <c r="E36" i="7"/>
  <c r="E37" i="7"/>
  <c r="E38" i="7"/>
  <c r="E39" i="7"/>
  <c r="E40" i="7"/>
  <c r="E41" i="7"/>
  <c r="E42" i="7"/>
  <c r="E43" i="7"/>
  <c r="F43" i="7"/>
  <c r="F42" i="7"/>
  <c r="F41" i="7"/>
  <c r="F40" i="7"/>
  <c r="F39" i="7"/>
  <c r="F38" i="7"/>
  <c r="F37" i="7"/>
  <c r="F36" i="7"/>
  <c r="F35" i="7"/>
  <c r="F34" i="7"/>
  <c r="F33" i="7"/>
  <c r="F32" i="7"/>
  <c r="F23" i="7"/>
  <c r="F22" i="7"/>
  <c r="F21" i="7"/>
  <c r="F20" i="7"/>
  <c r="F19" i="7"/>
  <c r="F18" i="7"/>
  <c r="F17" i="7"/>
  <c r="F15" i="7"/>
  <c r="F14" i="7"/>
  <c r="F13" i="7"/>
  <c r="F12" i="7"/>
  <c r="F11" i="7"/>
  <c r="F10" i="7"/>
  <c r="F9" i="7"/>
  <c r="F8" i="7"/>
  <c r="C89"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89" i="5"/>
  <c r="E8" i="5"/>
  <c r="E9" i="5"/>
  <c r="E10" i="5"/>
  <c r="E11" i="5"/>
  <c r="E12" i="5"/>
  <c r="E13" i="5"/>
  <c r="E14" i="5"/>
  <c r="E15" i="5"/>
  <c r="E16" i="5"/>
  <c r="E17" i="5"/>
  <c r="E18" i="5"/>
  <c r="E19" i="5"/>
  <c r="E20" i="5"/>
  <c r="E21" i="5"/>
  <c r="E22" i="5"/>
  <c r="E23" i="5"/>
  <c r="E32" i="5"/>
  <c r="E33" i="5"/>
  <c r="E34" i="5"/>
  <c r="E35" i="5"/>
  <c r="E36" i="5"/>
  <c r="E37" i="5"/>
  <c r="E38" i="5"/>
  <c r="E39" i="5"/>
  <c r="E40" i="5"/>
  <c r="E41" i="5"/>
  <c r="E42" i="5"/>
  <c r="E43" i="5"/>
  <c r="F8" i="5"/>
  <c r="F9" i="5"/>
  <c r="F10" i="5"/>
  <c r="F11" i="5"/>
  <c r="F12" i="5"/>
  <c r="F13" i="5"/>
  <c r="F14" i="5"/>
  <c r="F15" i="5"/>
  <c r="F17" i="5"/>
  <c r="F18" i="5"/>
  <c r="F19" i="5"/>
  <c r="F20" i="5"/>
  <c r="F21" i="5"/>
  <c r="F22" i="5"/>
  <c r="F23" i="5"/>
  <c r="F32" i="5"/>
  <c r="F33" i="5"/>
  <c r="F34" i="5"/>
  <c r="F35" i="5"/>
  <c r="F36" i="5"/>
  <c r="F37" i="5"/>
  <c r="F38" i="5"/>
  <c r="F39" i="5"/>
  <c r="F40" i="5"/>
  <c r="F41" i="5"/>
  <c r="F42" i="5"/>
  <c r="F43"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I10" i="5"/>
  <c r="I12" i="5"/>
  <c r="I15" i="5"/>
  <c r="I21" i="5"/>
  <c r="I34" i="5"/>
  <c r="I37" i="5"/>
  <c r="I38" i="5"/>
  <c r="I40" i="5"/>
  <c r="I42" i="5"/>
  <c r="J13" i="2"/>
  <c r="J12" i="2"/>
  <c r="J11" i="2"/>
  <c r="J10" i="2"/>
  <c r="J9" i="2"/>
  <c r="J8" i="2"/>
  <c r="C11" i="4"/>
  <c r="C12" i="4"/>
  <c r="C13" i="4" s="1"/>
  <c r="C14" i="4" s="1"/>
  <c r="C15" i="4" s="1"/>
  <c r="C16" i="4" s="1"/>
  <c r="C17" i="4" s="1"/>
  <c r="C18" i="4" s="1"/>
  <c r="C19" i="4" s="1"/>
  <c r="AP154" i="3"/>
  <c r="AP261" i="3"/>
  <c r="AP28" i="3"/>
  <c r="AM154" i="3"/>
  <c r="AM261" i="3"/>
  <c r="AM28" i="3"/>
  <c r="AJ154" i="3"/>
  <c r="AJ248" i="3"/>
  <c r="AJ261" i="3"/>
  <c r="AJ28" i="3"/>
  <c r="AG154" i="3"/>
  <c r="AG248" i="3"/>
  <c r="AG261" i="3"/>
  <c r="AG28" i="3"/>
  <c r="AD154" i="3"/>
  <c r="AD248" i="3"/>
  <c r="AD261" i="3"/>
  <c r="AD28" i="3"/>
  <c r="AA154" i="3"/>
  <c r="AA248" i="3"/>
  <c r="AA261" i="3"/>
  <c r="AA28" i="3"/>
  <c r="X154" i="3"/>
  <c r="X261" i="3"/>
  <c r="X28" i="3"/>
  <c r="U154" i="3"/>
  <c r="U261" i="3"/>
  <c r="U28" i="3"/>
  <c r="R154" i="3"/>
  <c r="R261" i="3"/>
  <c r="R28" i="3"/>
  <c r="R47" i="3" s="1"/>
  <c r="O154" i="3"/>
  <c r="O261" i="3"/>
  <c r="O28" i="3"/>
  <c r="O47" i="3" s="1"/>
  <c r="L154" i="3"/>
  <c r="L248" i="3"/>
  <c r="L261" i="3"/>
  <c r="L28" i="3"/>
  <c r="I154" i="3"/>
  <c r="I261" i="3"/>
  <c r="I28" i="3"/>
  <c r="I47" i="3" s="1"/>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F100" i="3"/>
  <c r="F97" i="3"/>
  <c r="F94" i="3"/>
  <c r="F91" i="3"/>
  <c r="F88" i="3"/>
  <c r="F85" i="3"/>
  <c r="F82" i="3"/>
  <c r="F79" i="3"/>
  <c r="F76" i="3"/>
  <c r="F73" i="3"/>
  <c r="F70" i="3"/>
  <c r="F64" i="3"/>
  <c r="F61" i="3"/>
  <c r="AY101" i="3"/>
  <c r="AY99" i="3"/>
  <c r="AY98" i="3"/>
  <c r="AY96" i="3"/>
  <c r="AY95" i="3"/>
  <c r="AY93" i="3"/>
  <c r="AY92" i="3"/>
  <c r="AY90" i="3"/>
  <c r="AY89" i="3"/>
  <c r="AY87" i="3"/>
  <c r="AY86" i="3"/>
  <c r="AY84" i="3"/>
  <c r="AY83" i="3"/>
  <c r="AY81" i="3"/>
  <c r="AY80" i="3"/>
  <c r="AY78" i="3"/>
  <c r="AY77" i="3"/>
  <c r="AY75" i="3"/>
  <c r="AY74" i="3"/>
  <c r="AY72" i="3"/>
  <c r="AY71" i="3"/>
  <c r="AY69" i="3"/>
  <c r="AY68" i="3"/>
  <c r="AY66" i="3"/>
  <c r="AY65" i="3"/>
  <c r="AY63" i="3"/>
  <c r="AY62" i="3"/>
  <c r="AY60" i="3"/>
  <c r="AY59" i="3"/>
  <c r="F58" i="3"/>
  <c r="AY57" i="3"/>
  <c r="AY56" i="3"/>
  <c r="AY54" i="3"/>
  <c r="F55" i="3"/>
  <c r="BB152" i="3"/>
  <c r="BB150" i="3"/>
  <c r="BB148" i="3"/>
  <c r="BB146" i="3"/>
  <c r="BB144" i="3"/>
  <c r="BB142" i="3"/>
  <c r="BB140" i="3"/>
  <c r="BB138" i="3"/>
  <c r="BB136" i="3"/>
  <c r="BB134" i="3"/>
  <c r="AY195" i="3"/>
  <c r="AY193" i="3"/>
  <c r="AY192" i="3"/>
  <c r="AY190" i="3"/>
  <c r="AY189" i="3"/>
  <c r="AY187" i="3"/>
  <c r="AY186" i="3"/>
  <c r="AY184" i="3"/>
  <c r="AY183" i="3"/>
  <c r="AY181" i="3"/>
  <c r="AY180" i="3"/>
  <c r="AY178" i="3"/>
  <c r="AY177" i="3"/>
  <c r="AY175" i="3"/>
  <c r="AY174" i="3"/>
  <c r="AY172" i="3"/>
  <c r="AY171" i="3"/>
  <c r="AY169" i="3"/>
  <c r="AY168" i="3"/>
  <c r="AY166" i="3"/>
  <c r="AY165" i="3"/>
  <c r="AY163" i="3"/>
  <c r="AY162" i="3"/>
  <c r="AY160" i="3"/>
  <c r="AY260" i="3"/>
  <c r="AY259" i="3"/>
  <c r="AY258" i="3"/>
  <c r="AY257" i="3"/>
  <c r="AY256" i="3"/>
  <c r="AY255" i="3"/>
  <c r="AY254" i="3"/>
  <c r="AY253" i="3"/>
  <c r="AY252" i="3"/>
  <c r="AY251" i="3"/>
  <c r="AY250" i="3"/>
  <c r="AY249" i="3"/>
  <c r="AY247" i="3"/>
  <c r="AY246" i="3"/>
  <c r="AY245" i="3"/>
  <c r="AY244" i="3"/>
  <c r="AY243" i="3"/>
  <c r="AY242" i="3"/>
  <c r="AY241" i="3"/>
  <c r="AY240" i="3"/>
  <c r="AY239" i="3"/>
  <c r="AY238" i="3"/>
  <c r="AY237" i="3"/>
  <c r="AY236" i="3"/>
  <c r="AY235" i="3"/>
  <c r="AY234" i="3"/>
  <c r="AY233" i="3"/>
  <c r="AY232" i="3"/>
  <c r="AY231" i="3"/>
  <c r="AY230" i="3"/>
  <c r="AY229" i="3"/>
  <c r="AY228" i="3"/>
  <c r="AY227" i="3"/>
  <c r="AY152" i="3"/>
  <c r="AY150" i="3"/>
  <c r="AY148" i="3"/>
  <c r="AY146" i="3"/>
  <c r="AY144" i="3"/>
  <c r="AY142" i="3"/>
  <c r="AY140" i="3"/>
  <c r="AY134" i="3"/>
  <c r="AY138" i="3"/>
  <c r="AY136" i="3"/>
  <c r="AY10" i="3"/>
  <c r="AY27" i="3"/>
  <c r="AY24" i="3"/>
  <c r="AY23" i="3"/>
  <c r="AY22" i="3"/>
  <c r="AY21" i="3"/>
  <c r="AY20" i="3"/>
  <c r="AY18" i="3"/>
  <c r="AY17" i="3"/>
  <c r="AY15" i="3"/>
  <c r="AY14" i="3"/>
  <c r="AY13" i="3"/>
  <c r="AY12" i="3"/>
  <c r="BB27" i="3"/>
  <c r="AY11" i="3"/>
  <c r="B6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C27" i="4"/>
  <c r="C28" i="4"/>
  <c r="C29" i="4"/>
  <c r="C30" i="4"/>
  <c r="C31" i="4"/>
  <c r="C32" i="4"/>
  <c r="C33" i="4"/>
  <c r="C34" i="4"/>
  <c r="C35" i="4"/>
  <c r="C36" i="4"/>
  <c r="C37" i="4"/>
  <c r="C38" i="4"/>
  <c r="C39" i="4"/>
  <c r="C40" i="4"/>
  <c r="C41" i="4"/>
  <c r="C42" i="4"/>
  <c r="C43" i="4"/>
  <c r="C44" i="4"/>
  <c r="C45" i="4"/>
  <c r="C46" i="4"/>
  <c r="C47" i="4"/>
  <c r="C48" i="4"/>
  <c r="C49" i="4"/>
  <c r="C50" i="4"/>
  <c r="C51" i="4"/>
  <c r="C52" i="4"/>
  <c r="C53" i="4"/>
  <c r="A77" i="2"/>
  <c r="A78" i="2"/>
  <c r="A79" i="2"/>
  <c r="A80" i="2"/>
  <c r="A81" i="2"/>
  <c r="A82" i="2"/>
  <c r="A83" i="2"/>
  <c r="A84" i="2"/>
  <c r="A85" i="2"/>
  <c r="A86" i="2"/>
  <c r="A87" i="2"/>
  <c r="A88" i="2"/>
  <c r="A89" i="2"/>
  <c r="A90" i="2"/>
  <c r="A91" i="2"/>
  <c r="A92" i="2"/>
  <c r="A93" i="2"/>
  <c r="A94" i="2"/>
  <c r="D250" i="3"/>
  <c r="D251" i="3" s="1"/>
  <c r="D252" i="3" s="1"/>
  <c r="D253" i="3" s="1"/>
  <c r="D254" i="3" s="1"/>
  <c r="D255" i="3" s="1"/>
  <c r="D256" i="3" s="1"/>
  <c r="D257" i="3" s="1"/>
  <c r="D258" i="3" s="1"/>
  <c r="D259" i="3" s="1"/>
  <c r="D260" i="3" s="1"/>
  <c r="D228" i="3"/>
  <c r="D229" i="3" s="1"/>
  <c r="D230" i="3" s="1"/>
  <c r="D231" i="3" s="1"/>
  <c r="D232" i="3" s="1"/>
  <c r="D233" i="3" s="1"/>
  <c r="D234" i="3" s="1"/>
  <c r="D235" i="3" s="1"/>
  <c r="D236" i="3" s="1"/>
  <c r="D237" i="3" s="1"/>
  <c r="D238" i="3" s="1"/>
  <c r="D239" i="3" s="1"/>
  <c r="D240" i="3" s="1"/>
  <c r="D241" i="3" s="1"/>
  <c r="D242" i="3" s="1"/>
  <c r="D243" i="3" s="1"/>
  <c r="D244" i="3" s="1"/>
  <c r="D245" i="3" s="1"/>
  <c r="D246" i="3" s="1"/>
  <c r="D247" i="3" s="1"/>
  <c r="D163" i="3"/>
  <c r="D166" i="3" s="1"/>
  <c r="D169" i="3" s="1"/>
  <c r="D172" i="3" s="1"/>
  <c r="D175" i="3" s="1"/>
  <c r="D178" i="3" s="1"/>
  <c r="D181" i="3" s="1"/>
  <c r="D184" i="3" s="1"/>
  <c r="D187" i="3" s="1"/>
  <c r="D190" i="3" s="1"/>
  <c r="D193" i="3" s="1"/>
  <c r="D196" i="3" s="1"/>
  <c r="D199" i="3" s="1"/>
  <c r="D202" i="3" s="1"/>
  <c r="D205" i="3" s="1"/>
  <c r="D208" i="3" s="1"/>
  <c r="D211" i="3" s="1"/>
  <c r="D214" i="3" s="1"/>
  <c r="D217" i="3" s="1"/>
  <c r="D137" i="3"/>
  <c r="D139" i="3" s="1"/>
  <c r="D141" i="3" s="1"/>
  <c r="D143" i="3" s="1"/>
  <c r="D145" i="3" s="1"/>
  <c r="D147" i="3" s="1"/>
  <c r="D149" i="3" s="1"/>
  <c r="D151" i="3" s="1"/>
  <c r="D153" i="3" s="1"/>
  <c r="D57" i="3"/>
  <c r="D60" i="3" s="1"/>
  <c r="D63" i="3" s="1"/>
  <c r="D66" i="3" s="1"/>
  <c r="D69" i="3" s="1"/>
  <c r="D72" i="3" s="1"/>
  <c r="D75" i="3" s="1"/>
  <c r="D78" i="3" s="1"/>
  <c r="D81" i="3" s="1"/>
  <c r="D84" i="3" s="1"/>
  <c r="D87" i="3" s="1"/>
  <c r="D90" i="3" s="1"/>
  <c r="D93" i="3" s="1"/>
  <c r="D96" i="3" s="1"/>
  <c r="D99" i="3" s="1"/>
  <c r="D102" i="3" s="1"/>
  <c r="D105" i="3" s="1"/>
  <c r="D108" i="3" s="1"/>
  <c r="D111" i="3" s="1"/>
  <c r="D114" i="3" s="1"/>
  <c r="D117" i="3" s="1"/>
  <c r="D120" i="3" s="1"/>
  <c r="D123" i="3" s="1"/>
  <c r="D12" i="3"/>
  <c r="D13" i="3" s="1"/>
  <c r="D14" i="3" s="1"/>
  <c r="D15" i="3" s="1"/>
  <c r="D16" i="3" s="1"/>
  <c r="D17" i="3" s="1"/>
  <c r="D18" i="3" s="1"/>
  <c r="D19" i="3" s="1"/>
  <c r="D20" i="3" s="1"/>
  <c r="D21" i="3" s="1"/>
  <c r="D22" i="3" s="1"/>
  <c r="D23" i="3" s="1"/>
  <c r="D24" i="3" s="1"/>
  <c r="D25" i="3" s="1"/>
  <c r="D26" i="3" s="1"/>
  <c r="D27" i="3" s="1"/>
  <c r="G65" i="23" l="1"/>
  <c r="G55" i="23"/>
  <c r="AL39" i="21"/>
  <c r="T39" i="21"/>
  <c r="K39" i="21"/>
  <c r="H39" i="21"/>
  <c r="AF39" i="22"/>
  <c r="AE39" i="22"/>
  <c r="M39" i="22"/>
  <c r="P39" i="20"/>
  <c r="AF39" i="20"/>
  <c r="AC39" i="20"/>
  <c r="T39" i="20"/>
  <c r="Q39" i="20"/>
  <c r="H39" i="20"/>
  <c r="G42" i="20" s="1"/>
  <c r="J42" i="20" s="1"/>
  <c r="M42" i="20" s="1"/>
  <c r="P42" i="20" s="1"/>
  <c r="S42" i="20" s="1"/>
  <c r="V42" i="20" s="1"/>
  <c r="Y42" i="20" s="1"/>
  <c r="AB42" i="20" s="1"/>
  <c r="AE42" i="20" s="1"/>
  <c r="AH42" i="20" s="1"/>
  <c r="AK42" i="20" s="1"/>
  <c r="AQ42" i="20" s="1"/>
  <c r="F11" i="19"/>
  <c r="E5" i="23"/>
  <c r="E73" i="23" s="1"/>
  <c r="AH39" i="22"/>
  <c r="AH18" i="22"/>
  <c r="Y39" i="22"/>
  <c r="Y18" i="22"/>
  <c r="G39" i="22"/>
  <c r="G18" i="22"/>
  <c r="AH39" i="21"/>
  <c r="AH18" i="21"/>
  <c r="Y39" i="21"/>
  <c r="Y18" i="21"/>
  <c r="V18" i="21"/>
  <c r="V39" i="21"/>
  <c r="D39" i="21"/>
  <c r="D18" i="21"/>
  <c r="F89" i="7"/>
  <c r="E89" i="7"/>
  <c r="I89" i="7"/>
  <c r="E68" i="9"/>
  <c r="E67" i="9"/>
  <c r="E63" i="9"/>
  <c r="E65" i="9"/>
  <c r="E64" i="9"/>
  <c r="E79" i="9"/>
  <c r="E85" i="9"/>
  <c r="E88" i="9"/>
  <c r="E86" i="9"/>
  <c r="E77" i="9"/>
  <c r="E84" i="9"/>
  <c r="E83" i="9"/>
  <c r="E82" i="9"/>
  <c r="E74" i="9"/>
  <c r="E80" i="9"/>
  <c r="E78" i="9"/>
  <c r="E76" i="9"/>
  <c r="E75" i="9"/>
  <c r="E81" i="9"/>
  <c r="E71" i="9"/>
  <c r="E73" i="9"/>
  <c r="E72" i="9"/>
  <c r="E69" i="9"/>
  <c r="E87" i="9"/>
  <c r="E70" i="9"/>
  <c r="E60" i="9"/>
  <c r="E62" i="9"/>
  <c r="E61" i="9"/>
  <c r="E66" i="9"/>
  <c r="E75" i="15"/>
  <c r="E84" i="15"/>
  <c r="E65" i="15"/>
  <c r="E76" i="15"/>
  <c r="E81" i="15"/>
  <c r="E83" i="15"/>
  <c r="E85" i="15"/>
  <c r="E80" i="15"/>
  <c r="E72" i="15"/>
  <c r="E88" i="15"/>
  <c r="E62" i="15"/>
  <c r="E70" i="15"/>
  <c r="E86" i="15"/>
  <c r="E66" i="15"/>
  <c r="E82" i="15"/>
  <c r="E77" i="15"/>
  <c r="E74" i="15"/>
  <c r="E79" i="15"/>
  <c r="E68" i="15"/>
  <c r="E71" i="15"/>
  <c r="E87" i="15"/>
  <c r="E60" i="15"/>
  <c r="E67" i="15"/>
  <c r="E73" i="15"/>
  <c r="E78" i="15"/>
  <c r="E69" i="15"/>
  <c r="E61" i="15"/>
  <c r="E63" i="15"/>
  <c r="E64" i="15"/>
  <c r="E67" i="8"/>
  <c r="E72" i="8"/>
  <c r="E77" i="8"/>
  <c r="E87" i="8"/>
  <c r="E74" i="8"/>
  <c r="E63" i="8"/>
  <c r="E68" i="8"/>
  <c r="E73" i="8"/>
  <c r="E78" i="8"/>
  <c r="E83" i="8"/>
  <c r="E88" i="8"/>
  <c r="E64" i="8"/>
  <c r="E69" i="8"/>
  <c r="E79" i="8"/>
  <c r="E84" i="8"/>
  <c r="E65" i="8"/>
  <c r="E70" i="8"/>
  <c r="E75" i="8"/>
  <c r="E80" i="8"/>
  <c r="E85" i="8"/>
  <c r="E66" i="8"/>
  <c r="E86" i="8"/>
  <c r="E81" i="8"/>
  <c r="E62" i="8"/>
  <c r="E60" i="8"/>
  <c r="E71" i="8"/>
  <c r="E61" i="8"/>
  <c r="E76" i="8"/>
  <c r="E82" i="8"/>
  <c r="E80" i="12"/>
  <c r="E85" i="12"/>
  <c r="E87" i="12"/>
  <c r="E68" i="12"/>
  <c r="E63" i="12"/>
  <c r="E82" i="12"/>
  <c r="E73" i="12"/>
  <c r="E72" i="12"/>
  <c r="E77" i="12"/>
  <c r="E78" i="12"/>
  <c r="E84" i="12"/>
  <c r="E79" i="12"/>
  <c r="E83" i="12"/>
  <c r="E88" i="12"/>
  <c r="E67" i="12"/>
  <c r="E70" i="12"/>
  <c r="E64" i="12"/>
  <c r="E65" i="12"/>
  <c r="E62" i="12"/>
  <c r="E71" i="12"/>
  <c r="E61" i="12"/>
  <c r="E86" i="12"/>
  <c r="E75" i="12"/>
  <c r="E74" i="12"/>
  <c r="E69" i="12"/>
  <c r="E81" i="12"/>
  <c r="E66" i="12"/>
  <c r="E60" i="12"/>
  <c r="E76" i="12"/>
  <c r="F65" i="15"/>
  <c r="F70" i="15"/>
  <c r="F72" i="15"/>
  <c r="F81" i="15"/>
  <c r="F86" i="15"/>
  <c r="F73" i="15"/>
  <c r="F78" i="15"/>
  <c r="F88" i="15"/>
  <c r="F83" i="15"/>
  <c r="F74" i="15"/>
  <c r="F85" i="15"/>
  <c r="F63" i="15"/>
  <c r="F68" i="15"/>
  <c r="F84" i="15"/>
  <c r="F79" i="15"/>
  <c r="F80" i="15"/>
  <c r="F60" i="15"/>
  <c r="F75" i="15"/>
  <c r="F77" i="15"/>
  <c r="F67" i="15"/>
  <c r="F69" i="15"/>
  <c r="F76" i="15"/>
  <c r="F71" i="15"/>
  <c r="F66" i="15"/>
  <c r="F82" i="15"/>
  <c r="F61" i="15"/>
  <c r="F64" i="15"/>
  <c r="F87" i="15"/>
  <c r="F62" i="15"/>
  <c r="E77" i="11"/>
  <c r="E82" i="11"/>
  <c r="E83" i="11"/>
  <c r="E84" i="11"/>
  <c r="E88" i="11"/>
  <c r="E80" i="11"/>
  <c r="E65" i="11"/>
  <c r="E81" i="11"/>
  <c r="E72" i="11"/>
  <c r="E69" i="11"/>
  <c r="E74" i="11"/>
  <c r="E79" i="11"/>
  <c r="E70" i="11"/>
  <c r="E86" i="11"/>
  <c r="E76" i="11"/>
  <c r="E75" i="11"/>
  <c r="E63" i="11"/>
  <c r="E85" i="11"/>
  <c r="E64" i="11"/>
  <c r="E66" i="11"/>
  <c r="E73" i="11"/>
  <c r="E61" i="11"/>
  <c r="E62" i="11"/>
  <c r="E78" i="11"/>
  <c r="E71" i="11"/>
  <c r="E87" i="11"/>
  <c r="E67" i="11"/>
  <c r="E68" i="11"/>
  <c r="E60" i="11"/>
  <c r="E65" i="14"/>
  <c r="E70" i="14"/>
  <c r="E82" i="14"/>
  <c r="E72" i="14"/>
  <c r="E75" i="14"/>
  <c r="E66" i="14"/>
  <c r="E81" i="14"/>
  <c r="E86" i="14"/>
  <c r="E76" i="14"/>
  <c r="E71" i="14"/>
  <c r="E87" i="14"/>
  <c r="E69" i="14"/>
  <c r="E88" i="14"/>
  <c r="E85" i="14"/>
  <c r="E64" i="14"/>
  <c r="E67" i="14"/>
  <c r="E73" i="14"/>
  <c r="E78" i="14"/>
  <c r="E68" i="14"/>
  <c r="E63" i="14"/>
  <c r="E83" i="14"/>
  <c r="E74" i="14"/>
  <c r="E80" i="14"/>
  <c r="E62" i="14"/>
  <c r="E60" i="14"/>
  <c r="E84" i="14"/>
  <c r="E61" i="14"/>
  <c r="E79" i="14"/>
  <c r="E77" i="14"/>
  <c r="E64" i="7"/>
  <c r="E69" i="7"/>
  <c r="E74" i="7"/>
  <c r="E63" i="7"/>
  <c r="E84" i="7"/>
  <c r="E71" i="7"/>
  <c r="E65" i="7"/>
  <c r="E70" i="7"/>
  <c r="E75" i="7"/>
  <c r="E80" i="7"/>
  <c r="E85" i="7"/>
  <c r="E66" i="7"/>
  <c r="E76" i="7"/>
  <c r="E81" i="7"/>
  <c r="E86" i="7"/>
  <c r="E79" i="7"/>
  <c r="E67" i="7"/>
  <c r="E72" i="7"/>
  <c r="E77" i="7"/>
  <c r="E82" i="7"/>
  <c r="E87" i="7"/>
  <c r="E68" i="7"/>
  <c r="E73" i="7"/>
  <c r="E78" i="7"/>
  <c r="E83" i="7"/>
  <c r="E88" i="7"/>
  <c r="F65" i="7"/>
  <c r="F70" i="7"/>
  <c r="F75" i="7"/>
  <c r="F80" i="7"/>
  <c r="F85" i="7"/>
  <c r="F66" i="7"/>
  <c r="F71" i="7"/>
  <c r="F81" i="7"/>
  <c r="F86" i="7"/>
  <c r="F68" i="7"/>
  <c r="F67" i="7"/>
  <c r="F72" i="7"/>
  <c r="F77" i="7"/>
  <c r="F82" i="7"/>
  <c r="F87" i="7"/>
  <c r="F63" i="7"/>
  <c r="F73" i="7"/>
  <c r="F78" i="7"/>
  <c r="F83" i="7"/>
  <c r="F88" i="7"/>
  <c r="F76" i="7"/>
  <c r="F64" i="7"/>
  <c r="F69" i="7"/>
  <c r="F74" i="7"/>
  <c r="F79" i="7"/>
  <c r="F84" i="7"/>
  <c r="F84" i="9"/>
  <c r="F63" i="9"/>
  <c r="F67" i="9"/>
  <c r="F66" i="9"/>
  <c r="F85" i="9"/>
  <c r="F65" i="9"/>
  <c r="F64" i="9"/>
  <c r="F87" i="9"/>
  <c r="F88" i="9"/>
  <c r="F77" i="9"/>
  <c r="F80" i="9"/>
  <c r="F83" i="9"/>
  <c r="F82" i="9"/>
  <c r="F81" i="9"/>
  <c r="F86" i="9"/>
  <c r="F76" i="9"/>
  <c r="F74" i="9"/>
  <c r="F79" i="9"/>
  <c r="F71" i="9"/>
  <c r="F75" i="9"/>
  <c r="F73" i="9"/>
  <c r="F72" i="9"/>
  <c r="F70" i="9"/>
  <c r="F60" i="9"/>
  <c r="F62" i="9"/>
  <c r="F68" i="9"/>
  <c r="F61" i="9"/>
  <c r="F78" i="9"/>
  <c r="F69" i="9"/>
  <c r="E60" i="5"/>
  <c r="F68" i="8"/>
  <c r="F73" i="8"/>
  <c r="F78" i="8"/>
  <c r="F83" i="8"/>
  <c r="F88" i="8"/>
  <c r="F79" i="8"/>
  <c r="F64" i="8"/>
  <c r="F69" i="8"/>
  <c r="F74" i="8"/>
  <c r="F84" i="8"/>
  <c r="F65" i="8"/>
  <c r="F70" i="8"/>
  <c r="F75" i="8"/>
  <c r="F80" i="8"/>
  <c r="F85" i="8"/>
  <c r="F66" i="8"/>
  <c r="F76" i="8"/>
  <c r="F81" i="8"/>
  <c r="F86" i="8"/>
  <c r="F71" i="8"/>
  <c r="F67" i="8"/>
  <c r="F72" i="8"/>
  <c r="F77" i="8"/>
  <c r="F82" i="8"/>
  <c r="F87" i="8"/>
  <c r="F62" i="8"/>
  <c r="F61" i="8"/>
  <c r="F63" i="8"/>
  <c r="F60" i="8"/>
  <c r="E74" i="10"/>
  <c r="E79" i="10"/>
  <c r="E65" i="10"/>
  <c r="E70" i="10"/>
  <c r="E86" i="10"/>
  <c r="E68" i="10"/>
  <c r="E81" i="10"/>
  <c r="E84" i="10"/>
  <c r="E75" i="10"/>
  <c r="E64" i="10"/>
  <c r="E66" i="10"/>
  <c r="E71" i="10"/>
  <c r="E80" i="10"/>
  <c r="E69" i="10"/>
  <c r="E85" i="10"/>
  <c r="E82" i="10"/>
  <c r="E87" i="10"/>
  <c r="E73" i="10"/>
  <c r="E78" i="10"/>
  <c r="E72" i="10"/>
  <c r="E63" i="10"/>
  <c r="E67" i="10"/>
  <c r="E83" i="10"/>
  <c r="E88" i="10"/>
  <c r="E61" i="10"/>
  <c r="E60" i="10"/>
  <c r="E77" i="10"/>
  <c r="E62" i="10"/>
  <c r="E76" i="10"/>
  <c r="F86" i="14"/>
  <c r="F73" i="14"/>
  <c r="F84" i="14"/>
  <c r="F79" i="14"/>
  <c r="F67" i="14"/>
  <c r="F69" i="14"/>
  <c r="F64" i="14"/>
  <c r="F80" i="14"/>
  <c r="F78" i="14"/>
  <c r="F83" i="14"/>
  <c r="F76" i="14"/>
  <c r="F71" i="14"/>
  <c r="F66" i="14"/>
  <c r="F82" i="14"/>
  <c r="F85" i="14"/>
  <c r="F81" i="14"/>
  <c r="F87" i="14"/>
  <c r="F65" i="14"/>
  <c r="F75" i="14"/>
  <c r="F63" i="14"/>
  <c r="F88" i="14"/>
  <c r="F62" i="14"/>
  <c r="F68" i="14"/>
  <c r="F77" i="14"/>
  <c r="F70" i="14"/>
  <c r="F60" i="14"/>
  <c r="F72" i="14"/>
  <c r="F74" i="14"/>
  <c r="F61" i="14"/>
  <c r="F84" i="16"/>
  <c r="F75" i="16"/>
  <c r="F71" i="16"/>
  <c r="F87" i="16"/>
  <c r="F73" i="16"/>
  <c r="F64" i="16"/>
  <c r="F60" i="16"/>
  <c r="F61" i="16"/>
  <c r="F80" i="16"/>
  <c r="F62" i="16"/>
  <c r="F82" i="16"/>
  <c r="F65" i="16"/>
  <c r="F78" i="16"/>
  <c r="F69" i="16"/>
  <c r="F85" i="16"/>
  <c r="F70" i="16"/>
  <c r="F76" i="16"/>
  <c r="F67" i="16"/>
  <c r="F63" i="16"/>
  <c r="F74" i="16"/>
  <c r="F68" i="16"/>
  <c r="F81" i="16"/>
  <c r="F79" i="16"/>
  <c r="F86" i="16"/>
  <c r="F66" i="16"/>
  <c r="F83" i="16"/>
  <c r="F88" i="16"/>
  <c r="F72" i="16"/>
  <c r="F77" i="16"/>
  <c r="F68" i="12"/>
  <c r="F65" i="12"/>
  <c r="F81" i="12"/>
  <c r="F88" i="12"/>
  <c r="F87" i="12"/>
  <c r="F77" i="12"/>
  <c r="F82" i="12"/>
  <c r="F86" i="12"/>
  <c r="F63" i="12"/>
  <c r="F83" i="12"/>
  <c r="F84" i="12"/>
  <c r="F64" i="12"/>
  <c r="F79" i="12"/>
  <c r="F75" i="12"/>
  <c r="F70" i="12"/>
  <c r="F69" i="12"/>
  <c r="F74" i="12"/>
  <c r="F73" i="12"/>
  <c r="F80" i="12"/>
  <c r="F76" i="12"/>
  <c r="F78" i="12"/>
  <c r="F71" i="12"/>
  <c r="F67" i="12"/>
  <c r="F72" i="12"/>
  <c r="F62" i="12"/>
  <c r="F85" i="12"/>
  <c r="F66" i="12"/>
  <c r="F60" i="12"/>
  <c r="F61" i="12"/>
  <c r="F86" i="10"/>
  <c r="F83" i="10"/>
  <c r="F65" i="10"/>
  <c r="F81" i="10"/>
  <c r="F72" i="10"/>
  <c r="F67" i="10"/>
  <c r="F71" i="10"/>
  <c r="F76" i="10"/>
  <c r="F88" i="10"/>
  <c r="F77" i="10"/>
  <c r="F66" i="10"/>
  <c r="F82" i="10"/>
  <c r="F87" i="10"/>
  <c r="F78" i="10"/>
  <c r="F63" i="10"/>
  <c r="F68" i="10"/>
  <c r="F75" i="10"/>
  <c r="F73" i="10"/>
  <c r="F64" i="10"/>
  <c r="F80" i="10"/>
  <c r="F69" i="10"/>
  <c r="F85" i="10"/>
  <c r="F79" i="10"/>
  <c r="F84" i="10"/>
  <c r="F70" i="10"/>
  <c r="F74" i="10"/>
  <c r="F60" i="10"/>
  <c r="F61" i="10"/>
  <c r="F62" i="10"/>
  <c r="E83" i="13"/>
  <c r="E88" i="13"/>
  <c r="E69" i="13"/>
  <c r="E85" i="13"/>
  <c r="E76" i="13"/>
  <c r="E71" i="13"/>
  <c r="E87" i="13"/>
  <c r="E70" i="13"/>
  <c r="E64" i="13"/>
  <c r="E65" i="13"/>
  <c r="E81" i="13"/>
  <c r="E66" i="13"/>
  <c r="E86" i="13"/>
  <c r="E75" i="13"/>
  <c r="E80" i="13"/>
  <c r="E63" i="13"/>
  <c r="E82" i="13"/>
  <c r="E77" i="13"/>
  <c r="E68" i="13"/>
  <c r="E79" i="13"/>
  <c r="E73" i="13"/>
  <c r="E84" i="13"/>
  <c r="E67" i="13"/>
  <c r="E62" i="13"/>
  <c r="E72" i="13"/>
  <c r="E74" i="13"/>
  <c r="E60" i="13"/>
  <c r="E61" i="13"/>
  <c r="E78" i="13"/>
  <c r="E87" i="17"/>
  <c r="E66" i="17"/>
  <c r="E82" i="17"/>
  <c r="E63" i="17"/>
  <c r="E68" i="17"/>
  <c r="E61" i="17"/>
  <c r="E65" i="17"/>
  <c r="E78" i="17"/>
  <c r="E70" i="17"/>
  <c r="E73" i="17"/>
  <c r="E64" i="17"/>
  <c r="E76" i="17"/>
  <c r="E81" i="17"/>
  <c r="E79" i="17"/>
  <c r="E84" i="17"/>
  <c r="E69" i="17"/>
  <c r="E85" i="17"/>
  <c r="E80" i="17"/>
  <c r="E88" i="17"/>
  <c r="E71" i="17"/>
  <c r="E72" i="17"/>
  <c r="E86" i="17"/>
  <c r="E74" i="17"/>
  <c r="E83" i="17"/>
  <c r="E67" i="17"/>
  <c r="E62" i="17"/>
  <c r="E75" i="17"/>
  <c r="E60" i="17"/>
  <c r="E77" i="17"/>
  <c r="E63" i="16"/>
  <c r="E69" i="16"/>
  <c r="E72" i="16"/>
  <c r="E73" i="16"/>
  <c r="E68" i="16"/>
  <c r="E74" i="16"/>
  <c r="E79" i="16"/>
  <c r="E70" i="16"/>
  <c r="E67" i="16"/>
  <c r="E85" i="16"/>
  <c r="E61" i="16"/>
  <c r="E76" i="16"/>
  <c r="E80" i="16"/>
  <c r="E64" i="16"/>
  <c r="E84" i="16"/>
  <c r="E83" i="16"/>
  <c r="E65" i="16"/>
  <c r="E81" i="16"/>
  <c r="E60" i="16"/>
  <c r="E78" i="16"/>
  <c r="E86" i="16"/>
  <c r="E88" i="16"/>
  <c r="E77" i="16"/>
  <c r="E87" i="16"/>
  <c r="E71" i="16"/>
  <c r="E66" i="16"/>
  <c r="E82" i="16"/>
  <c r="E75" i="16"/>
  <c r="E62" i="16"/>
  <c r="F65" i="11"/>
  <c r="F85" i="11"/>
  <c r="F80" i="11"/>
  <c r="F74" i="11"/>
  <c r="F79" i="11"/>
  <c r="F78" i="11"/>
  <c r="F81" i="11"/>
  <c r="F83" i="11"/>
  <c r="F76" i="11"/>
  <c r="F75" i="11"/>
  <c r="F77" i="11"/>
  <c r="F72" i="11"/>
  <c r="F67" i="11"/>
  <c r="F66" i="11"/>
  <c r="F71" i="11"/>
  <c r="F73" i="11"/>
  <c r="F70" i="11"/>
  <c r="F86" i="11"/>
  <c r="F68" i="11"/>
  <c r="F88" i="11"/>
  <c r="F82" i="11"/>
  <c r="F87" i="11"/>
  <c r="F64" i="11"/>
  <c r="F69" i="11"/>
  <c r="F61" i="11"/>
  <c r="F62" i="11"/>
  <c r="F60" i="11"/>
  <c r="F84" i="11"/>
  <c r="F63" i="11"/>
  <c r="F71" i="13"/>
  <c r="F80" i="13"/>
  <c r="F85" i="13"/>
  <c r="F67" i="13"/>
  <c r="F83" i="13"/>
  <c r="F65" i="13"/>
  <c r="F87" i="13"/>
  <c r="F76" i="13"/>
  <c r="F63" i="13"/>
  <c r="F81" i="13"/>
  <c r="F74" i="13"/>
  <c r="F82" i="13"/>
  <c r="F72" i="13"/>
  <c r="F77" i="13"/>
  <c r="F86" i="13"/>
  <c r="F70" i="13"/>
  <c r="F79" i="13"/>
  <c r="F75" i="13"/>
  <c r="F68" i="13"/>
  <c r="F66" i="13"/>
  <c r="F64" i="13"/>
  <c r="F78" i="13"/>
  <c r="F84" i="13"/>
  <c r="F88" i="13"/>
  <c r="F62" i="13"/>
  <c r="F60" i="13"/>
  <c r="F69" i="13"/>
  <c r="F61" i="13"/>
  <c r="F73" i="13"/>
  <c r="F75" i="17"/>
  <c r="F72" i="17"/>
  <c r="F61" i="17"/>
  <c r="F74" i="17"/>
  <c r="F79" i="17"/>
  <c r="F63" i="17"/>
  <c r="F84" i="17"/>
  <c r="F70" i="17"/>
  <c r="F86" i="17"/>
  <c r="F77" i="17"/>
  <c r="F88" i="17"/>
  <c r="F71" i="17"/>
  <c r="F65" i="17"/>
  <c r="F66" i="17"/>
  <c r="F82" i="17"/>
  <c r="F67" i="17"/>
  <c r="F87" i="17"/>
  <c r="F60" i="17"/>
  <c r="F76" i="17"/>
  <c r="F81" i="17"/>
  <c r="F64" i="17"/>
  <c r="F80" i="17"/>
  <c r="F73" i="17"/>
  <c r="F83" i="17"/>
  <c r="F78" i="17"/>
  <c r="F69" i="17"/>
  <c r="F85" i="17"/>
  <c r="F62" i="17"/>
  <c r="F68" i="17"/>
  <c r="F86" i="5"/>
  <c r="F82" i="5"/>
  <c r="E86" i="5"/>
  <c r="E63" i="5"/>
  <c r="F85" i="5"/>
  <c r="F88" i="5"/>
  <c r="F84" i="5"/>
  <c r="E88" i="5"/>
  <c r="E84" i="5"/>
  <c r="E77" i="5"/>
  <c r="F87" i="5"/>
  <c r="F80" i="5"/>
  <c r="F76" i="5"/>
  <c r="F72" i="5"/>
  <c r="F68" i="5"/>
  <c r="F64" i="5"/>
  <c r="F71" i="5"/>
  <c r="E75" i="5"/>
  <c r="E74" i="5"/>
  <c r="E73" i="5"/>
  <c r="E65" i="5"/>
  <c r="E87" i="5"/>
  <c r="E80" i="5"/>
  <c r="E76" i="5"/>
  <c r="E72" i="5"/>
  <c r="E68" i="5"/>
  <c r="E64" i="5"/>
  <c r="F79" i="5"/>
  <c r="F67" i="5"/>
  <c r="F83" i="5"/>
  <c r="E71" i="5"/>
  <c r="E82" i="5"/>
  <c r="E70" i="5"/>
  <c r="F81" i="5"/>
  <c r="F69" i="5"/>
  <c r="E81" i="5"/>
  <c r="E85" i="5"/>
  <c r="F75" i="5"/>
  <c r="F63" i="5"/>
  <c r="E79" i="5"/>
  <c r="E67" i="5"/>
  <c r="E78" i="5"/>
  <c r="E66" i="5"/>
  <c r="F89" i="5"/>
  <c r="E83" i="5"/>
  <c r="F78" i="5"/>
  <c r="F74" i="5"/>
  <c r="F70" i="5"/>
  <c r="F66" i="5"/>
  <c r="F77" i="5"/>
  <c r="F73" i="5"/>
  <c r="F65" i="5"/>
  <c r="E69" i="5"/>
  <c r="E89" i="5"/>
  <c r="I89" i="5"/>
  <c r="F61" i="7"/>
  <c r="E61" i="7"/>
  <c r="F62" i="7"/>
  <c r="E62" i="7"/>
  <c r="F60" i="7"/>
  <c r="E60" i="7"/>
  <c r="F62" i="5"/>
  <c r="E62" i="5"/>
  <c r="E61" i="5"/>
  <c r="F61" i="5"/>
  <c r="F60" i="5"/>
  <c r="A28" i="5"/>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A34" i="3"/>
  <c r="AA265" i="3" s="1"/>
  <c r="AA280" i="3" s="1"/>
  <c r="AA47" i="3"/>
  <c r="AG34" i="3"/>
  <c r="AG265" i="3" s="1"/>
  <c r="AG279" i="3" s="1"/>
  <c r="AG47" i="3"/>
  <c r="AM34" i="3"/>
  <c r="AM265" i="3" s="1"/>
  <c r="AM47" i="3"/>
  <c r="X34" i="3"/>
  <c r="X265" i="3" s="1"/>
  <c r="X280" i="3" s="1"/>
  <c r="X47" i="3"/>
  <c r="AP34" i="3"/>
  <c r="AP265" i="3" s="1"/>
  <c r="AP47" i="3"/>
  <c r="AD34" i="3"/>
  <c r="AD265" i="3" s="1"/>
  <c r="AD279" i="3" s="1"/>
  <c r="AD47" i="3"/>
  <c r="AJ34" i="3"/>
  <c r="AJ265" i="3" s="1"/>
  <c r="AJ277" i="3" s="1"/>
  <c r="AJ47" i="3"/>
  <c r="R34" i="3"/>
  <c r="R265" i="3" s="1"/>
  <c r="R279" i="3" s="1"/>
  <c r="L34" i="3"/>
  <c r="L265" i="3" s="1"/>
  <c r="L278" i="3" s="1"/>
  <c r="L47" i="3"/>
  <c r="U34" i="3"/>
  <c r="U265" i="3" s="1"/>
  <c r="U278" i="3" s="1"/>
  <c r="U47" i="3"/>
  <c r="O34" i="3"/>
  <c r="O265" i="3" s="1"/>
  <c r="O276" i="3" s="1"/>
  <c r="D12" i="19"/>
  <c r="AJ162" i="3"/>
  <c r="AJ221" i="3" s="1"/>
  <c r="BD27" i="3"/>
  <c r="BE10" i="3" s="1"/>
  <c r="BF10" i="3" s="1"/>
  <c r="BB28" i="3"/>
  <c r="BB29" i="3" s="1"/>
  <c r="BB261" i="3"/>
  <c r="BD261" i="3" s="1"/>
  <c r="A24" i="7"/>
  <c r="A25" i="7" s="1"/>
  <c r="A26" i="7" s="1"/>
  <c r="A27" i="7" s="1"/>
  <c r="I29" i="3"/>
  <c r="L29" i="3" s="1"/>
  <c r="I34" i="3"/>
  <c r="I265" i="3" s="1"/>
  <c r="I277" i="3" s="1"/>
  <c r="G37" i="16"/>
  <c r="H37" i="16" s="1"/>
  <c r="G33" i="16"/>
  <c r="H33" i="16" s="1"/>
  <c r="E58" i="3"/>
  <c r="E55" i="3"/>
  <c r="I14" i="5"/>
  <c r="I11" i="5"/>
  <c r="I51" i="3"/>
  <c r="I35" i="5"/>
  <c r="I22" i="5"/>
  <c r="G19" i="7"/>
  <c r="H19" i="7" s="1"/>
  <c r="AU84" i="3"/>
  <c r="AT84" i="3"/>
  <c r="AT63" i="3"/>
  <c r="AU63" i="3"/>
  <c r="AU75" i="3"/>
  <c r="AT75" i="3"/>
  <c r="AU87" i="3"/>
  <c r="AT87" i="3"/>
  <c r="AU99" i="3"/>
  <c r="AT99" i="3"/>
  <c r="F170" i="3"/>
  <c r="AT169" i="3"/>
  <c r="AU169" i="3"/>
  <c r="F182" i="3"/>
  <c r="AU181" i="3"/>
  <c r="AT181" i="3"/>
  <c r="F194" i="3"/>
  <c r="AU193" i="3"/>
  <c r="AT193" i="3"/>
  <c r="F167" i="3"/>
  <c r="AU166" i="3"/>
  <c r="AT166" i="3"/>
  <c r="AU72" i="3"/>
  <c r="AT72" i="3"/>
  <c r="AT54" i="3"/>
  <c r="AU54" i="3"/>
  <c r="F67" i="3"/>
  <c r="AU66" i="3"/>
  <c r="AT66" i="3"/>
  <c r="AU78" i="3"/>
  <c r="AT78" i="3"/>
  <c r="AT90" i="3"/>
  <c r="AU90" i="3"/>
  <c r="F161" i="3"/>
  <c r="AU160" i="3"/>
  <c r="AT160" i="3"/>
  <c r="F173" i="3"/>
  <c r="AU172" i="3"/>
  <c r="AT172" i="3"/>
  <c r="F185" i="3"/>
  <c r="I43" i="5"/>
  <c r="AU96" i="3"/>
  <c r="AT96" i="3"/>
  <c r="AT57" i="3"/>
  <c r="AU57" i="3"/>
  <c r="I19" i="5"/>
  <c r="I12" i="7"/>
  <c r="F179" i="3"/>
  <c r="AU178" i="3"/>
  <c r="AT178" i="3"/>
  <c r="AU69" i="3"/>
  <c r="AT69" i="3"/>
  <c r="AT93" i="3"/>
  <c r="AU93" i="3"/>
  <c r="F164" i="3"/>
  <c r="AU163" i="3"/>
  <c r="AT163" i="3"/>
  <c r="F176" i="3"/>
  <c r="AU175" i="3"/>
  <c r="AT175" i="3"/>
  <c r="F188" i="3"/>
  <c r="AT187" i="3"/>
  <c r="AU187" i="3"/>
  <c r="E61" i="3"/>
  <c r="AT60" i="3"/>
  <c r="AU60" i="3"/>
  <c r="F191" i="3"/>
  <c r="AU190" i="3"/>
  <c r="AT190" i="3"/>
  <c r="AU81" i="3"/>
  <c r="AT81" i="3"/>
  <c r="D10" i="24"/>
  <c r="I272" i="3"/>
  <c r="G36" i="7"/>
  <c r="H36" i="7" s="1"/>
  <c r="G36" i="8"/>
  <c r="H36" i="8" s="1"/>
  <c r="G32" i="9"/>
  <c r="H32" i="9" s="1"/>
  <c r="G14" i="17"/>
  <c r="H14" i="17" s="1"/>
  <c r="G15" i="10"/>
  <c r="H15" i="10" s="1"/>
  <c r="G39" i="10"/>
  <c r="H39" i="10" s="1"/>
  <c r="G13" i="12"/>
  <c r="H13" i="12" s="1"/>
  <c r="G21" i="12"/>
  <c r="H21" i="12" s="1"/>
  <c r="G37" i="12"/>
  <c r="H37" i="12" s="1"/>
  <c r="G19" i="16"/>
  <c r="H19" i="16" s="1"/>
  <c r="G43" i="16"/>
  <c r="H43" i="16" s="1"/>
  <c r="E70" i="3"/>
  <c r="E82" i="3"/>
  <c r="E94" i="3"/>
  <c r="E176" i="3"/>
  <c r="E188" i="3"/>
  <c r="G10" i="13"/>
  <c r="H10" i="13" s="1"/>
  <c r="R262" i="3"/>
  <c r="AP262" i="3"/>
  <c r="U262" i="3"/>
  <c r="E73" i="3"/>
  <c r="E85" i="3"/>
  <c r="E97" i="3"/>
  <c r="E167" i="3"/>
  <c r="E179" i="3"/>
  <c r="E191" i="3"/>
  <c r="AD262" i="3"/>
  <c r="G17" i="11"/>
  <c r="H17" i="11" s="1"/>
  <c r="G20" i="9"/>
  <c r="H20" i="9" s="1"/>
  <c r="G36" i="9"/>
  <c r="H36" i="9" s="1"/>
  <c r="G16" i="9"/>
  <c r="H16" i="9" s="1"/>
  <c r="E64" i="3"/>
  <c r="E76" i="3"/>
  <c r="E88" i="3"/>
  <c r="E100" i="3"/>
  <c r="E170" i="3"/>
  <c r="E182" i="3"/>
  <c r="E194" i="3"/>
  <c r="AA262" i="3"/>
  <c r="G13" i="16"/>
  <c r="H13" i="16" s="1"/>
  <c r="E67" i="3"/>
  <c r="E79" i="3"/>
  <c r="E91" i="3"/>
  <c r="E161" i="3"/>
  <c r="E173" i="3"/>
  <c r="E185" i="3"/>
  <c r="G35" i="8"/>
  <c r="H35" i="8" s="1"/>
  <c r="G12" i="12"/>
  <c r="H12" i="12" s="1"/>
  <c r="G20" i="12"/>
  <c r="H20" i="12" s="1"/>
  <c r="G18" i="8"/>
  <c r="H18" i="8" s="1"/>
  <c r="G18" i="14"/>
  <c r="H18" i="14" s="1"/>
  <c r="G42" i="14"/>
  <c r="H42" i="14" s="1"/>
  <c r="G12" i="15"/>
  <c r="H12" i="15" s="1"/>
  <c r="G19" i="12"/>
  <c r="H19" i="12" s="1"/>
  <c r="G8" i="17"/>
  <c r="H8" i="17" s="1"/>
  <c r="G15" i="13"/>
  <c r="H15" i="13" s="1"/>
  <c r="G38" i="15"/>
  <c r="H38" i="15" s="1"/>
  <c r="G32" i="17"/>
  <c r="H32" i="17" s="1"/>
  <c r="G40" i="17"/>
  <c r="H40" i="17" s="1"/>
  <c r="G35" i="7"/>
  <c r="H35" i="7" s="1"/>
  <c r="G43" i="7"/>
  <c r="H43" i="7" s="1"/>
  <c r="G32" i="15"/>
  <c r="H32" i="15" s="1"/>
  <c r="G12" i="16"/>
  <c r="H12" i="16" s="1"/>
  <c r="G20" i="16"/>
  <c r="H20" i="16" s="1"/>
  <c r="G36" i="16"/>
  <c r="H36" i="16" s="1"/>
  <c r="G13" i="17"/>
  <c r="H13" i="17" s="1"/>
  <c r="G21" i="17"/>
  <c r="H21" i="17" s="1"/>
  <c r="G37" i="17"/>
  <c r="H37" i="17" s="1"/>
  <c r="G38" i="5"/>
  <c r="H38" i="5" s="1"/>
  <c r="G22" i="5"/>
  <c r="H22" i="5" s="1"/>
  <c r="G19" i="13"/>
  <c r="H19" i="13" s="1"/>
  <c r="G43" i="13"/>
  <c r="H43" i="13" s="1"/>
  <c r="G35" i="14"/>
  <c r="H35" i="14" s="1"/>
  <c r="G38" i="11"/>
  <c r="H38" i="11" s="1"/>
  <c r="G8" i="8"/>
  <c r="H8" i="8" s="1"/>
  <c r="G32" i="7"/>
  <c r="H32" i="7" s="1"/>
  <c r="G42" i="15"/>
  <c r="H42" i="15" s="1"/>
  <c r="G14" i="10"/>
  <c r="H14" i="10" s="1"/>
  <c r="G38" i="10"/>
  <c r="H38" i="10" s="1"/>
  <c r="G13" i="13"/>
  <c r="H13" i="13" s="1"/>
  <c r="G37" i="13"/>
  <c r="H37" i="13" s="1"/>
  <c r="G10" i="14"/>
  <c r="H10" i="14" s="1"/>
  <c r="G41" i="16"/>
  <c r="H41" i="16" s="1"/>
  <c r="G20" i="5"/>
  <c r="H20" i="5" s="1"/>
  <c r="G13" i="10"/>
  <c r="H13" i="10" s="1"/>
  <c r="G21" i="10"/>
  <c r="H21" i="10" s="1"/>
  <c r="G37" i="10"/>
  <c r="H37" i="10" s="1"/>
  <c r="G12" i="11"/>
  <c r="H12" i="11" s="1"/>
  <c r="G15" i="16"/>
  <c r="H15" i="16" s="1"/>
  <c r="G20" i="8"/>
  <c r="H20" i="8" s="1"/>
  <c r="G22" i="8"/>
  <c r="H22" i="8" s="1"/>
  <c r="G8" i="12"/>
  <c r="H8" i="12" s="1"/>
  <c r="G17" i="13"/>
  <c r="H17" i="13" s="1"/>
  <c r="G33" i="13"/>
  <c r="H33" i="13" s="1"/>
  <c r="G41" i="13"/>
  <c r="H41" i="13" s="1"/>
  <c r="G22" i="17"/>
  <c r="H22" i="17" s="1"/>
  <c r="G21" i="16"/>
  <c r="H21" i="16" s="1"/>
  <c r="G21" i="14"/>
  <c r="H21" i="14" s="1"/>
  <c r="G9" i="15"/>
  <c r="H9" i="15" s="1"/>
  <c r="G21" i="7"/>
  <c r="H21" i="7" s="1"/>
  <c r="G21" i="15"/>
  <c r="H21" i="15" s="1"/>
  <c r="G41" i="15"/>
  <c r="H41" i="15" s="1"/>
  <c r="G11" i="7"/>
  <c r="H11" i="7" s="1"/>
  <c r="G18" i="7"/>
  <c r="H18" i="7" s="1"/>
  <c r="G34" i="8"/>
  <c r="H34" i="8" s="1"/>
  <c r="G42" i="8"/>
  <c r="H42" i="8" s="1"/>
  <c r="G8" i="10"/>
  <c r="H8" i="10" s="1"/>
  <c r="G32" i="10"/>
  <c r="H32" i="10" s="1"/>
  <c r="G40" i="10"/>
  <c r="H40" i="10" s="1"/>
  <c r="G17" i="14"/>
  <c r="H17" i="14" s="1"/>
  <c r="G33" i="14"/>
  <c r="H33" i="14" s="1"/>
  <c r="G41" i="14"/>
  <c r="H41" i="14" s="1"/>
  <c r="G19" i="17"/>
  <c r="H19" i="17" s="1"/>
  <c r="G35" i="17"/>
  <c r="H35" i="17" s="1"/>
  <c r="G43" i="17"/>
  <c r="H43" i="17" s="1"/>
  <c r="G37" i="7"/>
  <c r="H37" i="7" s="1"/>
  <c r="G34" i="7"/>
  <c r="H34" i="7" s="1"/>
  <c r="G11" i="13"/>
  <c r="H11" i="13" s="1"/>
  <c r="G39" i="13"/>
  <c r="H39" i="13" s="1"/>
  <c r="G41" i="17"/>
  <c r="H41" i="17" s="1"/>
  <c r="G42" i="7"/>
  <c r="H42" i="7" s="1"/>
  <c r="G21" i="8"/>
  <c r="H21" i="8" s="1"/>
  <c r="G15" i="9"/>
  <c r="H15" i="9" s="1"/>
  <c r="G39" i="9"/>
  <c r="H39" i="9" s="1"/>
  <c r="G35" i="10"/>
  <c r="H35" i="10" s="1"/>
  <c r="G8" i="13"/>
  <c r="H8" i="13" s="1"/>
  <c r="G37" i="5"/>
  <c r="H37" i="5" s="1"/>
  <c r="G12" i="13"/>
  <c r="H12" i="13" s="1"/>
  <c r="G23" i="15"/>
  <c r="H23" i="15" s="1"/>
  <c r="G43" i="15"/>
  <c r="H43" i="15" s="1"/>
  <c r="G10" i="17"/>
  <c r="H10" i="17" s="1"/>
  <c r="G12" i="5"/>
  <c r="H12" i="5" s="1"/>
  <c r="G23" i="9"/>
  <c r="H23" i="9" s="1"/>
  <c r="G11" i="9"/>
  <c r="H11" i="9" s="1"/>
  <c r="G40" i="13"/>
  <c r="H40" i="13" s="1"/>
  <c r="G38" i="17"/>
  <c r="H38" i="17" s="1"/>
  <c r="G19" i="5"/>
  <c r="H19" i="5" s="1"/>
  <c r="G11" i="5"/>
  <c r="H11" i="5" s="1"/>
  <c r="G15" i="7"/>
  <c r="H15" i="7" s="1"/>
  <c r="G22" i="7"/>
  <c r="H22" i="7" s="1"/>
  <c r="G14" i="7"/>
  <c r="H14" i="7" s="1"/>
  <c r="G14" i="8"/>
  <c r="H14" i="8" s="1"/>
  <c r="G10" i="8"/>
  <c r="H10" i="8" s="1"/>
  <c r="G40" i="8"/>
  <c r="H40" i="8" s="1"/>
  <c r="G12" i="10"/>
  <c r="H12" i="10" s="1"/>
  <c r="G20" i="10"/>
  <c r="H20" i="10" s="1"/>
  <c r="G36" i="10"/>
  <c r="H36" i="10" s="1"/>
  <c r="G9" i="10"/>
  <c r="H9" i="10" s="1"/>
  <c r="G41" i="10"/>
  <c r="H41" i="10" s="1"/>
  <c r="G18" i="12"/>
  <c r="H18" i="12" s="1"/>
  <c r="G42" i="12"/>
  <c r="H42" i="12" s="1"/>
  <c r="G16" i="12"/>
  <c r="H16" i="12" s="1"/>
  <c r="G9" i="16"/>
  <c r="H9" i="16" s="1"/>
  <c r="G15" i="17"/>
  <c r="H15" i="17" s="1"/>
  <c r="G23" i="17"/>
  <c r="H23" i="17" s="1"/>
  <c r="G39" i="17"/>
  <c r="H39" i="17" s="1"/>
  <c r="G35" i="15"/>
  <c r="H35" i="15" s="1"/>
  <c r="G23" i="5"/>
  <c r="H23" i="5" s="1"/>
  <c r="G14" i="5"/>
  <c r="H14" i="5" s="1"/>
  <c r="G34" i="5"/>
  <c r="H34" i="5" s="1"/>
  <c r="G18" i="5"/>
  <c r="H18" i="5" s="1"/>
  <c r="G10" i="5"/>
  <c r="H10" i="5" s="1"/>
  <c r="G15" i="8"/>
  <c r="H15" i="8" s="1"/>
  <c r="G11" i="8"/>
  <c r="H11" i="8" s="1"/>
  <c r="G39" i="11"/>
  <c r="H39" i="11" s="1"/>
  <c r="G36" i="11"/>
  <c r="H36" i="11" s="1"/>
  <c r="G11" i="12"/>
  <c r="H11" i="12" s="1"/>
  <c r="G35" i="12"/>
  <c r="H35" i="12" s="1"/>
  <c r="G36" i="14"/>
  <c r="H36" i="14" s="1"/>
  <c r="G8" i="9"/>
  <c r="H8" i="9" s="1"/>
  <c r="I8" i="5"/>
  <c r="I33" i="7"/>
  <c r="E164" i="3"/>
  <c r="G32" i="13"/>
  <c r="H32" i="13" s="1"/>
  <c r="G42" i="10"/>
  <c r="H42" i="10" s="1"/>
  <c r="G41" i="9"/>
  <c r="H41" i="9" s="1"/>
  <c r="G37" i="9"/>
  <c r="H37" i="9" s="1"/>
  <c r="G39" i="5"/>
  <c r="H39" i="5" s="1"/>
  <c r="G17" i="7"/>
  <c r="H17" i="7" s="1"/>
  <c r="G33" i="7"/>
  <c r="H33" i="7" s="1"/>
  <c r="G8" i="7"/>
  <c r="H8" i="7" s="1"/>
  <c r="G18" i="9"/>
  <c r="H18" i="9" s="1"/>
  <c r="G34" i="9"/>
  <c r="H34" i="9" s="1"/>
  <c r="G42" i="9"/>
  <c r="H42" i="9" s="1"/>
  <c r="G14" i="9"/>
  <c r="H14" i="9" s="1"/>
  <c r="G22" i="9"/>
  <c r="H22" i="9" s="1"/>
  <c r="G17" i="10"/>
  <c r="H17" i="10" s="1"/>
  <c r="G8" i="11"/>
  <c r="H8" i="11" s="1"/>
  <c r="G16" i="11"/>
  <c r="H16" i="11" s="1"/>
  <c r="G40" i="11"/>
  <c r="H40" i="11" s="1"/>
  <c r="G21" i="11"/>
  <c r="H21" i="11" s="1"/>
  <c r="G37" i="11"/>
  <c r="H37" i="11" s="1"/>
  <c r="G9" i="13"/>
  <c r="H9" i="13" s="1"/>
  <c r="G18" i="13"/>
  <c r="H18" i="13" s="1"/>
  <c r="G34" i="13"/>
  <c r="H34" i="13" s="1"/>
  <c r="G19" i="14"/>
  <c r="H19" i="14" s="1"/>
  <c r="G9" i="9"/>
  <c r="H9" i="9" s="1"/>
  <c r="G33" i="9"/>
  <c r="H33" i="9" s="1"/>
  <c r="G21" i="9"/>
  <c r="H21" i="9" s="1"/>
  <c r="G38" i="16"/>
  <c r="H38" i="16" s="1"/>
  <c r="G10" i="16"/>
  <c r="H10" i="16" s="1"/>
  <c r="G38" i="7"/>
  <c r="H38" i="7" s="1"/>
  <c r="G19" i="8"/>
  <c r="H19" i="8" s="1"/>
  <c r="G43" i="8"/>
  <c r="H43" i="8" s="1"/>
  <c r="G19" i="9"/>
  <c r="H19" i="9" s="1"/>
  <c r="G35" i="9"/>
  <c r="H35" i="9" s="1"/>
  <c r="G43" i="9"/>
  <c r="H43" i="9" s="1"/>
  <c r="G18" i="10"/>
  <c r="H18" i="10" s="1"/>
  <c r="G34" i="10"/>
  <c r="H34" i="10" s="1"/>
  <c r="G32" i="12"/>
  <c r="H32" i="12" s="1"/>
  <c r="G40" i="12"/>
  <c r="H40" i="12" s="1"/>
  <c r="G14" i="12"/>
  <c r="H14" i="12" s="1"/>
  <c r="G22" i="12"/>
  <c r="H22" i="12" s="1"/>
  <c r="G38" i="12"/>
  <c r="H38" i="12" s="1"/>
  <c r="G20" i="14"/>
  <c r="H20" i="14" s="1"/>
  <c r="G40" i="16"/>
  <c r="H40" i="16" s="1"/>
  <c r="G32" i="16"/>
  <c r="H32" i="16" s="1"/>
  <c r="G8" i="16"/>
  <c r="H8" i="16" s="1"/>
  <c r="G40" i="7"/>
  <c r="H40" i="7" s="1"/>
  <c r="G14" i="16"/>
  <c r="H14" i="16" s="1"/>
  <c r="G10" i="11"/>
  <c r="H10" i="11" s="1"/>
  <c r="G18" i="11"/>
  <c r="H18" i="11" s="1"/>
  <c r="G41" i="12"/>
  <c r="H41" i="12" s="1"/>
  <c r="G36" i="13"/>
  <c r="H36" i="13" s="1"/>
  <c r="G37" i="14"/>
  <c r="H37" i="14" s="1"/>
  <c r="G40" i="5"/>
  <c r="H40" i="5" s="1"/>
  <c r="G21" i="13"/>
  <c r="H21" i="13" s="1"/>
  <c r="G22" i="13"/>
  <c r="H22" i="13" s="1"/>
  <c r="G12" i="17"/>
  <c r="H12" i="17" s="1"/>
  <c r="G20" i="17"/>
  <c r="H20" i="17" s="1"/>
  <c r="G36" i="17"/>
  <c r="H36" i="17" s="1"/>
  <c r="G8" i="14"/>
  <c r="H8" i="14" s="1"/>
  <c r="G40" i="14"/>
  <c r="H40" i="14" s="1"/>
  <c r="G33" i="8"/>
  <c r="H33" i="8" s="1"/>
  <c r="G32" i="14"/>
  <c r="H32" i="14" s="1"/>
  <c r="G22" i="14"/>
  <c r="H22" i="14" s="1"/>
  <c r="G13" i="5"/>
  <c r="H13" i="5" s="1"/>
  <c r="G33" i="5"/>
  <c r="H33" i="5" s="1"/>
  <c r="G32" i="8"/>
  <c r="H32" i="8" s="1"/>
  <c r="G23" i="13"/>
  <c r="H23" i="13" s="1"/>
  <c r="G9" i="14"/>
  <c r="H9" i="14" s="1"/>
  <c r="G15" i="14"/>
  <c r="H15" i="14" s="1"/>
  <c r="G23" i="14"/>
  <c r="H23" i="14" s="1"/>
  <c r="G8" i="15"/>
  <c r="H8" i="15" s="1"/>
  <c r="G20" i="15"/>
  <c r="H20" i="15" s="1"/>
  <c r="G36" i="15"/>
  <c r="H36" i="15" s="1"/>
  <c r="G35" i="16"/>
  <c r="H35" i="16" s="1"/>
  <c r="I39" i="5"/>
  <c r="G43" i="5"/>
  <c r="H43" i="5" s="1"/>
  <c r="I32" i="5"/>
  <c r="I18" i="5"/>
  <c r="G35" i="5"/>
  <c r="H35" i="5" s="1"/>
  <c r="G39" i="8"/>
  <c r="H39" i="8" s="1"/>
  <c r="G39" i="12"/>
  <c r="H39" i="12" s="1"/>
  <c r="G39" i="14"/>
  <c r="H39" i="14" s="1"/>
  <c r="G42" i="16"/>
  <c r="H42" i="16" s="1"/>
  <c r="G42" i="11"/>
  <c r="H42" i="11" s="1"/>
  <c r="G32" i="5"/>
  <c r="H32" i="5" s="1"/>
  <c r="G41" i="7"/>
  <c r="H41" i="7" s="1"/>
  <c r="I41" i="5"/>
  <c r="G42" i="5"/>
  <c r="H42" i="5" s="1"/>
  <c r="G34" i="17"/>
  <c r="H34" i="17" s="1"/>
  <c r="G34" i="15"/>
  <c r="H34" i="15" s="1"/>
  <c r="G38" i="9"/>
  <c r="H38" i="9" s="1"/>
  <c r="G38" i="14"/>
  <c r="H38" i="14" s="1"/>
  <c r="G17" i="12"/>
  <c r="H17" i="12" s="1"/>
  <c r="G17" i="16"/>
  <c r="H17" i="16" s="1"/>
  <c r="G17" i="15"/>
  <c r="H17" i="15" s="1"/>
  <c r="G17" i="5"/>
  <c r="H17" i="5" s="1"/>
  <c r="I16" i="5"/>
  <c r="G16" i="5"/>
  <c r="H16" i="5" s="1"/>
  <c r="I40" i="7"/>
  <c r="I9" i="5"/>
  <c r="I36" i="5"/>
  <c r="I42" i="7"/>
  <c r="O98" i="3"/>
  <c r="I22" i="7"/>
  <c r="O74" i="3"/>
  <c r="I14" i="8" s="1"/>
  <c r="I14" i="7"/>
  <c r="G23" i="8"/>
  <c r="H23" i="8" s="1"/>
  <c r="I20" i="7"/>
  <c r="I20" i="5"/>
  <c r="G41" i="5"/>
  <c r="H41" i="5" s="1"/>
  <c r="G23" i="10"/>
  <c r="H23" i="10" s="1"/>
  <c r="G9" i="12"/>
  <c r="H9" i="12" s="1"/>
  <c r="O262" i="3"/>
  <c r="AM262" i="3"/>
  <c r="AJ262" i="3"/>
  <c r="G12" i="7"/>
  <c r="H12" i="7" s="1"/>
  <c r="G16" i="8"/>
  <c r="H16" i="8" s="1"/>
  <c r="G38" i="8"/>
  <c r="H38" i="8" s="1"/>
  <c r="G33" i="10"/>
  <c r="H33" i="10" s="1"/>
  <c r="G22" i="10"/>
  <c r="H22" i="10" s="1"/>
  <c r="G14" i="11"/>
  <c r="H14" i="11" s="1"/>
  <c r="G22" i="11"/>
  <c r="H22" i="11" s="1"/>
  <c r="G42" i="13"/>
  <c r="H42" i="13" s="1"/>
  <c r="G15" i="15"/>
  <c r="H15" i="15" s="1"/>
  <c r="G39" i="15"/>
  <c r="H39" i="15" s="1"/>
  <c r="G19" i="15"/>
  <c r="H19" i="15" s="1"/>
  <c r="G15" i="11"/>
  <c r="H15" i="11" s="1"/>
  <c r="G23" i="11"/>
  <c r="H23" i="11" s="1"/>
  <c r="G33" i="12"/>
  <c r="H33" i="12" s="1"/>
  <c r="X262" i="3"/>
  <c r="L262" i="3"/>
  <c r="AG262" i="3"/>
  <c r="G23" i="7"/>
  <c r="H23" i="7" s="1"/>
  <c r="G39" i="7"/>
  <c r="H39" i="7" s="1"/>
  <c r="G12" i="8"/>
  <c r="H12" i="8" s="1"/>
  <c r="G17" i="9"/>
  <c r="H17" i="9" s="1"/>
  <c r="G16" i="10"/>
  <c r="H16" i="10" s="1"/>
  <c r="G34" i="12"/>
  <c r="H34" i="12" s="1"/>
  <c r="G20" i="13"/>
  <c r="H20" i="13" s="1"/>
  <c r="G34" i="14"/>
  <c r="H34" i="14" s="1"/>
  <c r="G33" i="15"/>
  <c r="H33" i="15" s="1"/>
  <c r="G37" i="15"/>
  <c r="H37" i="15" s="1"/>
  <c r="I17" i="7"/>
  <c r="G39" i="16"/>
  <c r="H39" i="16" s="1"/>
  <c r="G23" i="16"/>
  <c r="H23" i="16" s="1"/>
  <c r="G20" i="7"/>
  <c r="H20" i="7" s="1"/>
  <c r="G17" i="8"/>
  <c r="H17" i="8" s="1"/>
  <c r="G36" i="5"/>
  <c r="H36" i="5" s="1"/>
  <c r="G15" i="5"/>
  <c r="H15" i="5" s="1"/>
  <c r="G41" i="8"/>
  <c r="H41" i="8" s="1"/>
  <c r="G41" i="11"/>
  <c r="H41" i="11" s="1"/>
  <c r="G43" i="12"/>
  <c r="H43" i="12" s="1"/>
  <c r="G43" i="14"/>
  <c r="H43" i="14" s="1"/>
  <c r="G18" i="15"/>
  <c r="H18" i="15" s="1"/>
  <c r="G22" i="15"/>
  <c r="H22" i="15" s="1"/>
  <c r="G33" i="17"/>
  <c r="H33" i="17" s="1"/>
  <c r="G22" i="16"/>
  <c r="H22" i="16" s="1"/>
  <c r="G36" i="12"/>
  <c r="H36" i="12" s="1"/>
  <c r="G38" i="13"/>
  <c r="H38" i="13" s="1"/>
  <c r="G18" i="17"/>
  <c r="H18" i="17" s="1"/>
  <c r="G42" i="17"/>
  <c r="H42" i="17" s="1"/>
  <c r="G21" i="5"/>
  <c r="H21" i="5" s="1"/>
  <c r="G16" i="7"/>
  <c r="H16" i="7" s="1"/>
  <c r="G37" i="8"/>
  <c r="H37" i="8" s="1"/>
  <c r="G40" i="9"/>
  <c r="H40" i="9" s="1"/>
  <c r="G11" i="10"/>
  <c r="H11" i="10" s="1"/>
  <c r="G19" i="10"/>
  <c r="H19" i="10" s="1"/>
  <c r="G43" i="10"/>
  <c r="H43" i="10" s="1"/>
  <c r="G19" i="11"/>
  <c r="H19" i="11" s="1"/>
  <c r="G15" i="12"/>
  <c r="H15" i="12" s="1"/>
  <c r="G16" i="13"/>
  <c r="H16" i="13" s="1"/>
  <c r="G40" i="15"/>
  <c r="H40" i="15" s="1"/>
  <c r="G18" i="16"/>
  <c r="H18" i="16" s="1"/>
  <c r="G34" i="16"/>
  <c r="H34" i="16" s="1"/>
  <c r="I275" i="3"/>
  <c r="E3" i="5"/>
  <c r="L7" i="3"/>
  <c r="L37" i="3" s="1"/>
  <c r="J7" i="5"/>
  <c r="I224" i="3"/>
  <c r="I157" i="3"/>
  <c r="I248" i="3"/>
  <c r="I262" i="3" s="1"/>
  <c r="D18" i="20"/>
  <c r="I43" i="7"/>
  <c r="G43" i="11"/>
  <c r="H43" i="11" s="1"/>
  <c r="I41" i="7"/>
  <c r="I39" i="7"/>
  <c r="I38" i="7"/>
  <c r="I37" i="7"/>
  <c r="I35" i="7"/>
  <c r="G35" i="13"/>
  <c r="H35" i="13" s="1"/>
  <c r="I34" i="7"/>
  <c r="BB154" i="3"/>
  <c r="BB155" i="3" s="1"/>
  <c r="O101" i="3"/>
  <c r="I23" i="7"/>
  <c r="I23" i="5"/>
  <c r="G23" i="12"/>
  <c r="H23" i="12" s="1"/>
  <c r="I21" i="7"/>
  <c r="G20" i="11"/>
  <c r="H20" i="11" s="1"/>
  <c r="O89" i="3"/>
  <c r="I19" i="7"/>
  <c r="I18" i="7"/>
  <c r="O86" i="3"/>
  <c r="G17" i="17"/>
  <c r="H17" i="17" s="1"/>
  <c r="G16" i="15"/>
  <c r="H16" i="15" s="1"/>
  <c r="O80" i="3"/>
  <c r="G16" i="17"/>
  <c r="H16" i="17" s="1"/>
  <c r="G16" i="14"/>
  <c r="H16" i="14" s="1"/>
  <c r="G16" i="16"/>
  <c r="H16" i="16" s="1"/>
  <c r="O77" i="3"/>
  <c r="I15" i="7"/>
  <c r="G14" i="13"/>
  <c r="H14" i="13" s="1"/>
  <c r="G14" i="15"/>
  <c r="H14" i="15" s="1"/>
  <c r="G14" i="14"/>
  <c r="H14" i="14" s="1"/>
  <c r="O71" i="3"/>
  <c r="I13" i="7"/>
  <c r="G13" i="7"/>
  <c r="H13" i="7" s="1"/>
  <c r="G13" i="8"/>
  <c r="H13" i="8" s="1"/>
  <c r="G13" i="9"/>
  <c r="H13" i="9" s="1"/>
  <c r="I13" i="5"/>
  <c r="G13" i="11"/>
  <c r="H13" i="11" s="1"/>
  <c r="G13" i="15"/>
  <c r="H13" i="15" s="1"/>
  <c r="G13" i="14"/>
  <c r="H13" i="14" s="1"/>
  <c r="R68" i="3"/>
  <c r="I12" i="8"/>
  <c r="G12" i="14"/>
  <c r="H12" i="14" s="1"/>
  <c r="G12" i="9"/>
  <c r="H12" i="9" s="1"/>
  <c r="I11" i="7"/>
  <c r="G11" i="16"/>
  <c r="H11" i="16" s="1"/>
  <c r="G11" i="11"/>
  <c r="H11" i="11" s="1"/>
  <c r="G11" i="14"/>
  <c r="H11" i="14" s="1"/>
  <c r="G11" i="17"/>
  <c r="H11" i="17" s="1"/>
  <c r="G11" i="15"/>
  <c r="H11" i="15" s="1"/>
  <c r="I10" i="7"/>
  <c r="O62" i="3"/>
  <c r="G10" i="15"/>
  <c r="H10" i="15" s="1"/>
  <c r="G10" i="7"/>
  <c r="H10" i="7" s="1"/>
  <c r="G10" i="9"/>
  <c r="H10" i="9" s="1"/>
  <c r="G10" i="10"/>
  <c r="H10" i="10" s="1"/>
  <c r="G10" i="12"/>
  <c r="H10" i="12" s="1"/>
  <c r="G9" i="7"/>
  <c r="H9" i="7" s="1"/>
  <c r="G9" i="5"/>
  <c r="H9" i="5" s="1"/>
  <c r="G9" i="8"/>
  <c r="H9" i="8" s="1"/>
  <c r="G9" i="11"/>
  <c r="H9" i="11" s="1"/>
  <c r="G9" i="17"/>
  <c r="H9" i="17" s="1"/>
  <c r="O56" i="3"/>
  <c r="I8" i="7"/>
  <c r="G8" i="5"/>
  <c r="H8" i="5" s="1"/>
  <c r="AD9" i="23"/>
  <c r="AD10" i="23" s="1"/>
  <c r="AD11" i="23" s="1"/>
  <c r="AD12" i="23" s="1"/>
  <c r="AD13" i="23" s="1"/>
  <c r="AM7" i="23"/>
  <c r="T5" i="23"/>
  <c r="T3" i="23"/>
  <c r="G27" i="23"/>
  <c r="G5" i="23" s="1"/>
  <c r="G73" i="23" s="1"/>
  <c r="R43" i="23"/>
  <c r="R57" i="23" s="1"/>
  <c r="R67" i="23" s="1"/>
  <c r="R6" i="23"/>
  <c r="Q6" i="23"/>
  <c r="Q43" i="23"/>
  <c r="Q57" i="23" s="1"/>
  <c r="Q67" i="23" s="1"/>
  <c r="E56" i="5"/>
  <c r="I131" i="3"/>
  <c r="J59" i="5"/>
  <c r="AQ17" i="22"/>
  <c r="AQ39" i="22" s="1"/>
  <c r="AE35" i="22"/>
  <c r="D39" i="22"/>
  <c r="E39" i="22"/>
  <c r="D42" i="22" s="1"/>
  <c r="G42" i="22" s="1"/>
  <c r="J42" i="22" s="1"/>
  <c r="M42" i="22" s="1"/>
  <c r="P42" i="22" s="1"/>
  <c r="S42" i="22" s="1"/>
  <c r="V42" i="22" s="1"/>
  <c r="Y42" i="22" s="1"/>
  <c r="AB42" i="22" s="1"/>
  <c r="AE42" i="22" s="1"/>
  <c r="AH42" i="22" s="1"/>
  <c r="AK42" i="22" s="1"/>
  <c r="AQ42" i="22" s="1"/>
  <c r="W39" i="22"/>
  <c r="G42" i="21"/>
  <c r="J42" i="21" s="1"/>
  <c r="M42" i="21" s="1"/>
  <c r="P42" i="21" s="1"/>
  <c r="S42" i="21" s="1"/>
  <c r="V42" i="21" s="1"/>
  <c r="Y42" i="21" s="1"/>
  <c r="S39" i="21"/>
  <c r="AB39" i="21"/>
  <c r="AQ39" i="21"/>
  <c r="AC39" i="21"/>
  <c r="V18" i="22"/>
  <c r="G18" i="21"/>
  <c r="M39" i="21"/>
  <c r="S18" i="21"/>
  <c r="AK18" i="21"/>
  <c r="AE39" i="21"/>
  <c r="AQ39" i="20"/>
  <c r="AB39" i="20"/>
  <c r="M18" i="20"/>
  <c r="Y18" i="20"/>
  <c r="G60" i="7" l="1"/>
  <c r="H60" i="7" s="1"/>
  <c r="G89" i="7"/>
  <c r="H89" i="7" s="1"/>
  <c r="G61" i="7"/>
  <c r="H61" i="7" s="1"/>
  <c r="G63" i="16"/>
  <c r="H63" i="16" s="1"/>
  <c r="G72" i="16"/>
  <c r="H72" i="16" s="1"/>
  <c r="G73" i="16"/>
  <c r="H73" i="16" s="1"/>
  <c r="G68" i="16"/>
  <c r="H68" i="16" s="1"/>
  <c r="G74" i="16"/>
  <c r="H74" i="16" s="1"/>
  <c r="G79" i="16"/>
  <c r="H79" i="16" s="1"/>
  <c r="G70" i="16"/>
  <c r="H70" i="16" s="1"/>
  <c r="G67" i="16"/>
  <c r="H67" i="16" s="1"/>
  <c r="G85" i="16"/>
  <c r="H85" i="16" s="1"/>
  <c r="G76" i="16"/>
  <c r="H76" i="16" s="1"/>
  <c r="G80" i="16"/>
  <c r="H80" i="16" s="1"/>
  <c r="G84" i="16"/>
  <c r="H84" i="16" s="1"/>
  <c r="G83" i="16"/>
  <c r="H83" i="16" s="1"/>
  <c r="G78" i="16"/>
  <c r="H78" i="16" s="1"/>
  <c r="G86" i="16"/>
  <c r="H86" i="16" s="1"/>
  <c r="G88" i="16"/>
  <c r="H88" i="16" s="1"/>
  <c r="G77" i="16"/>
  <c r="H77" i="16" s="1"/>
  <c r="G71" i="16"/>
  <c r="H71" i="16" s="1"/>
  <c r="G66" i="16"/>
  <c r="H66" i="16" s="1"/>
  <c r="G82" i="16"/>
  <c r="H82" i="16" s="1"/>
  <c r="G75" i="16"/>
  <c r="H75" i="16" s="1"/>
  <c r="G62" i="16"/>
  <c r="H62" i="16" s="1"/>
  <c r="G79" i="8"/>
  <c r="H79" i="8" s="1"/>
  <c r="G84" i="10"/>
  <c r="H84" i="10" s="1"/>
  <c r="G69" i="10"/>
  <c r="H69" i="10" s="1"/>
  <c r="G78" i="13"/>
  <c r="H78" i="13" s="1"/>
  <c r="G75" i="17"/>
  <c r="H75" i="17" s="1"/>
  <c r="G62" i="15"/>
  <c r="H62" i="15" s="1"/>
  <c r="G62" i="11"/>
  <c r="H62" i="11" s="1"/>
  <c r="G65" i="15"/>
  <c r="H65" i="15" s="1"/>
  <c r="G68" i="15"/>
  <c r="H68" i="15" s="1"/>
  <c r="G64" i="16"/>
  <c r="H64" i="16" s="1"/>
  <c r="G61" i="15"/>
  <c r="H61" i="15" s="1"/>
  <c r="G61" i="16"/>
  <c r="H61" i="16" s="1"/>
  <c r="G60" i="16"/>
  <c r="H60" i="16" s="1"/>
  <c r="G78" i="9"/>
  <c r="H78" i="9" s="1"/>
  <c r="G87" i="9"/>
  <c r="H87" i="9" s="1"/>
  <c r="G63" i="8"/>
  <c r="H63" i="8" s="1"/>
  <c r="G71" i="7"/>
  <c r="H71" i="7" s="1"/>
  <c r="G86" i="7"/>
  <c r="H86" i="7" s="1"/>
  <c r="G78" i="17"/>
  <c r="H78" i="17" s="1"/>
  <c r="G67" i="17"/>
  <c r="H67" i="17" s="1"/>
  <c r="G77" i="17"/>
  <c r="H77" i="17" s="1"/>
  <c r="G71" i="14"/>
  <c r="H71" i="14" s="1"/>
  <c r="G76" i="7"/>
  <c r="H76" i="7" s="1"/>
  <c r="G68" i="10"/>
  <c r="H68" i="10" s="1"/>
  <c r="G88" i="10"/>
  <c r="H88" i="10" s="1"/>
  <c r="G64" i="17"/>
  <c r="H64" i="17" s="1"/>
  <c r="G69" i="17"/>
  <c r="H69" i="17" s="1"/>
  <c r="G76" i="13"/>
  <c r="H76" i="13" s="1"/>
  <c r="G86" i="13"/>
  <c r="H86" i="13" s="1"/>
  <c r="G73" i="13"/>
  <c r="H73" i="13" s="1"/>
  <c r="G64" i="12"/>
  <c r="H64" i="12" s="1"/>
  <c r="G87" i="7"/>
  <c r="H87" i="7" s="1"/>
  <c r="G67" i="10"/>
  <c r="H67" i="10" s="1"/>
  <c r="I72" i="5"/>
  <c r="I87" i="5"/>
  <c r="G69" i="12"/>
  <c r="H69" i="12" s="1"/>
  <c r="G69" i="7"/>
  <c r="H69" i="7" s="1"/>
  <c r="G88" i="17"/>
  <c r="H88" i="17" s="1"/>
  <c r="AB42" i="21"/>
  <c r="AE42" i="21" s="1"/>
  <c r="AH42" i="21" s="1"/>
  <c r="AK42" i="21" s="1"/>
  <c r="AQ42" i="21" s="1"/>
  <c r="G77" i="12"/>
  <c r="H77" i="12" s="1"/>
  <c r="G82" i="7"/>
  <c r="H82" i="7" s="1"/>
  <c r="G72" i="17"/>
  <c r="H72" i="17" s="1"/>
  <c r="G80" i="12"/>
  <c r="H80" i="12" s="1"/>
  <c r="G84" i="7"/>
  <c r="H84" i="7" s="1"/>
  <c r="G68" i="7"/>
  <c r="H68" i="7" s="1"/>
  <c r="G82" i="17"/>
  <c r="H82" i="17" s="1"/>
  <c r="G83" i="17"/>
  <c r="H83" i="17" s="1"/>
  <c r="G84" i="14"/>
  <c r="H84" i="14" s="1"/>
  <c r="G65" i="7"/>
  <c r="H65" i="7" s="1"/>
  <c r="G66" i="7"/>
  <c r="H66" i="7" s="1"/>
  <c r="G73" i="7"/>
  <c r="H73" i="7" s="1"/>
  <c r="G70" i="17"/>
  <c r="H70" i="17" s="1"/>
  <c r="AM277" i="3"/>
  <c r="AM279" i="3"/>
  <c r="AM280" i="3"/>
  <c r="AP280" i="3"/>
  <c r="AP279" i="3"/>
  <c r="AP277" i="3"/>
  <c r="F12" i="19"/>
  <c r="D13" i="19"/>
  <c r="G79" i="14"/>
  <c r="H79" i="14" s="1"/>
  <c r="G63" i="14"/>
  <c r="H63" i="14" s="1"/>
  <c r="I77" i="5"/>
  <c r="G80" i="13"/>
  <c r="H80" i="13" s="1"/>
  <c r="G87" i="13"/>
  <c r="H87" i="13" s="1"/>
  <c r="G84" i="13"/>
  <c r="H84" i="13" s="1"/>
  <c r="R56" i="3"/>
  <c r="I63" i="5"/>
  <c r="G70" i="14"/>
  <c r="H70" i="14" s="1"/>
  <c r="G76" i="11"/>
  <c r="H76" i="11" s="1"/>
  <c r="G65" i="11"/>
  <c r="H65" i="11" s="1"/>
  <c r="G86" i="8"/>
  <c r="H86" i="8" s="1"/>
  <c r="G88" i="9"/>
  <c r="H88" i="9" s="1"/>
  <c r="I73" i="5"/>
  <c r="I80" i="5"/>
  <c r="I84" i="5"/>
  <c r="G78" i="14"/>
  <c r="H78" i="14" s="1"/>
  <c r="I82" i="5"/>
  <c r="I83" i="5"/>
  <c r="I70" i="5"/>
  <c r="G81" i="16"/>
  <c r="H81" i="16" s="1"/>
  <c r="G69" i="16"/>
  <c r="H69" i="16" s="1"/>
  <c r="G74" i="17"/>
  <c r="H74" i="17" s="1"/>
  <c r="G84" i="17"/>
  <c r="H84" i="17" s="1"/>
  <c r="G65" i="17"/>
  <c r="H65" i="17" s="1"/>
  <c r="G61" i="13"/>
  <c r="H61" i="13" s="1"/>
  <c r="G79" i="13"/>
  <c r="H79" i="13" s="1"/>
  <c r="G66" i="13"/>
  <c r="H66" i="13" s="1"/>
  <c r="G85" i="13"/>
  <c r="H85" i="13" s="1"/>
  <c r="G76" i="10"/>
  <c r="H76" i="10" s="1"/>
  <c r="G63" i="10"/>
  <c r="H63" i="10" s="1"/>
  <c r="G80" i="10"/>
  <c r="H80" i="10" s="1"/>
  <c r="G86" i="10"/>
  <c r="H86" i="10" s="1"/>
  <c r="G63" i="7"/>
  <c r="H63" i="7" s="1"/>
  <c r="G60" i="14"/>
  <c r="H60" i="14" s="1"/>
  <c r="G73" i="14"/>
  <c r="H73" i="14" s="1"/>
  <c r="G76" i="14"/>
  <c r="H76" i="14" s="1"/>
  <c r="G65" i="14"/>
  <c r="H65" i="14" s="1"/>
  <c r="G61" i="11"/>
  <c r="H61" i="11" s="1"/>
  <c r="G86" i="11"/>
  <c r="H86" i="11" s="1"/>
  <c r="G80" i="11"/>
  <c r="H80" i="11" s="1"/>
  <c r="G74" i="12"/>
  <c r="H74" i="12" s="1"/>
  <c r="G70" i="12"/>
  <c r="H70" i="12" s="1"/>
  <c r="G72" i="12"/>
  <c r="H72" i="12" s="1"/>
  <c r="G82" i="8"/>
  <c r="H82" i="8" s="1"/>
  <c r="G66" i="8"/>
  <c r="H66" i="8" s="1"/>
  <c r="G69" i="8"/>
  <c r="H69" i="8" s="1"/>
  <c r="G74" i="8"/>
  <c r="H74" i="8" s="1"/>
  <c r="G69" i="15"/>
  <c r="H69" i="15" s="1"/>
  <c r="G79" i="15"/>
  <c r="H79" i="15" s="1"/>
  <c r="G88" i="15"/>
  <c r="H88" i="15" s="1"/>
  <c r="G84" i="15"/>
  <c r="H84" i="15" s="1"/>
  <c r="G69" i="9"/>
  <c r="H69" i="9" s="1"/>
  <c r="G80" i="9"/>
  <c r="H80" i="9" s="1"/>
  <c r="G85" i="9"/>
  <c r="H85" i="9" s="1"/>
  <c r="I60" i="5"/>
  <c r="I74" i="5"/>
  <c r="I76" i="5"/>
  <c r="I71" i="5"/>
  <c r="I75" i="5"/>
  <c r="I62" i="5"/>
  <c r="I78" i="5"/>
  <c r="G65" i="16"/>
  <c r="H65" i="16" s="1"/>
  <c r="G86" i="17"/>
  <c r="H86" i="17" s="1"/>
  <c r="G79" i="17"/>
  <c r="H79" i="17" s="1"/>
  <c r="G61" i="17"/>
  <c r="H61" i="17" s="1"/>
  <c r="G60" i="13"/>
  <c r="H60" i="13" s="1"/>
  <c r="G68" i="13"/>
  <c r="H68" i="13" s="1"/>
  <c r="G81" i="13"/>
  <c r="H81" i="13" s="1"/>
  <c r="G69" i="13"/>
  <c r="H69" i="13" s="1"/>
  <c r="G62" i="10"/>
  <c r="H62" i="10" s="1"/>
  <c r="G72" i="10"/>
  <c r="H72" i="10" s="1"/>
  <c r="G71" i="10"/>
  <c r="H71" i="10" s="1"/>
  <c r="G70" i="10"/>
  <c r="H70" i="10" s="1"/>
  <c r="G77" i="7"/>
  <c r="H77" i="7" s="1"/>
  <c r="G85" i="7"/>
  <c r="H85" i="7" s="1"/>
  <c r="G74" i="7"/>
  <c r="H74" i="7" s="1"/>
  <c r="G62" i="14"/>
  <c r="H62" i="14" s="1"/>
  <c r="G67" i="14"/>
  <c r="H67" i="14" s="1"/>
  <c r="G86" i="14"/>
  <c r="H86" i="14" s="1"/>
  <c r="G60" i="11"/>
  <c r="H60" i="11" s="1"/>
  <c r="G73" i="11"/>
  <c r="H73" i="11" s="1"/>
  <c r="G70" i="11"/>
  <c r="H70" i="11" s="1"/>
  <c r="G88" i="11"/>
  <c r="H88" i="11" s="1"/>
  <c r="G75" i="12"/>
  <c r="H75" i="12" s="1"/>
  <c r="G67" i="12"/>
  <c r="H67" i="12" s="1"/>
  <c r="G73" i="12"/>
  <c r="H73" i="12" s="1"/>
  <c r="G76" i="8"/>
  <c r="H76" i="8" s="1"/>
  <c r="G85" i="8"/>
  <c r="H85" i="8" s="1"/>
  <c r="G64" i="8"/>
  <c r="H64" i="8" s="1"/>
  <c r="G87" i="8"/>
  <c r="H87" i="8" s="1"/>
  <c r="G78" i="15"/>
  <c r="H78" i="15" s="1"/>
  <c r="G74" i="15"/>
  <c r="H74" i="15" s="1"/>
  <c r="G72" i="15"/>
  <c r="H72" i="15" s="1"/>
  <c r="G75" i="15"/>
  <c r="H75" i="15" s="1"/>
  <c r="G72" i="9"/>
  <c r="H72" i="9" s="1"/>
  <c r="G74" i="9"/>
  <c r="H74" i="9" s="1"/>
  <c r="G79" i="9"/>
  <c r="H79" i="9" s="1"/>
  <c r="I86" i="5"/>
  <c r="I64" i="5"/>
  <c r="G87" i="16"/>
  <c r="H87" i="16" s="1"/>
  <c r="G81" i="17"/>
  <c r="H81" i="17" s="1"/>
  <c r="G68" i="17"/>
  <c r="H68" i="17" s="1"/>
  <c r="G74" i="13"/>
  <c r="H74" i="13" s="1"/>
  <c r="G77" i="13"/>
  <c r="H77" i="13" s="1"/>
  <c r="G65" i="13"/>
  <c r="H65" i="13" s="1"/>
  <c r="G88" i="13"/>
  <c r="H88" i="13" s="1"/>
  <c r="G77" i="10"/>
  <c r="H77" i="10" s="1"/>
  <c r="G78" i="10"/>
  <c r="H78" i="10" s="1"/>
  <c r="G66" i="10"/>
  <c r="H66" i="10" s="1"/>
  <c r="G65" i="10"/>
  <c r="H65" i="10" s="1"/>
  <c r="G88" i="7"/>
  <c r="H88" i="7" s="1"/>
  <c r="G72" i="7"/>
  <c r="H72" i="7" s="1"/>
  <c r="G80" i="7"/>
  <c r="H80" i="7" s="1"/>
  <c r="G80" i="14"/>
  <c r="H80" i="14" s="1"/>
  <c r="G64" i="14"/>
  <c r="H64" i="14" s="1"/>
  <c r="G81" i="14"/>
  <c r="H81" i="14" s="1"/>
  <c r="G68" i="11"/>
  <c r="H68" i="11" s="1"/>
  <c r="G66" i="11"/>
  <c r="H66" i="11" s="1"/>
  <c r="G79" i="11"/>
  <c r="H79" i="11" s="1"/>
  <c r="G84" i="11"/>
  <c r="H84" i="11" s="1"/>
  <c r="G86" i="12"/>
  <c r="H86" i="12" s="1"/>
  <c r="G88" i="12"/>
  <c r="H88" i="12" s="1"/>
  <c r="G82" i="12"/>
  <c r="H82" i="12" s="1"/>
  <c r="G61" i="8"/>
  <c r="H61" i="8" s="1"/>
  <c r="G80" i="8"/>
  <c r="H80" i="8" s="1"/>
  <c r="G88" i="8"/>
  <c r="H88" i="8" s="1"/>
  <c r="G77" i="8"/>
  <c r="H77" i="8" s="1"/>
  <c r="G73" i="15"/>
  <c r="H73" i="15" s="1"/>
  <c r="G77" i="15"/>
  <c r="H77" i="15" s="1"/>
  <c r="G80" i="15"/>
  <c r="H80" i="15" s="1"/>
  <c r="G66" i="9"/>
  <c r="H66" i="9" s="1"/>
  <c r="G73" i="9"/>
  <c r="H73" i="9" s="1"/>
  <c r="G82" i="9"/>
  <c r="H82" i="9" s="1"/>
  <c r="G64" i="9"/>
  <c r="H64" i="9" s="1"/>
  <c r="I85" i="5"/>
  <c r="I88" i="5"/>
  <c r="I69" i="5"/>
  <c r="I81" i="5"/>
  <c r="I65" i="5"/>
  <c r="I68" i="5"/>
  <c r="G60" i="17"/>
  <c r="H60" i="17" s="1"/>
  <c r="G71" i="17"/>
  <c r="H71" i="17" s="1"/>
  <c r="G76" i="17"/>
  <c r="H76" i="17" s="1"/>
  <c r="G63" i="17"/>
  <c r="H63" i="17" s="1"/>
  <c r="G72" i="13"/>
  <c r="H72" i="13" s="1"/>
  <c r="G82" i="13"/>
  <c r="H82" i="13" s="1"/>
  <c r="G64" i="13"/>
  <c r="H64" i="13" s="1"/>
  <c r="G83" i="13"/>
  <c r="H83" i="13" s="1"/>
  <c r="G60" i="10"/>
  <c r="H60" i="10" s="1"/>
  <c r="G73" i="10"/>
  <c r="H73" i="10" s="1"/>
  <c r="G64" i="10"/>
  <c r="H64" i="10" s="1"/>
  <c r="G79" i="10"/>
  <c r="H79" i="10" s="1"/>
  <c r="G83" i="7"/>
  <c r="H83" i="7" s="1"/>
  <c r="G67" i="7"/>
  <c r="H67" i="7" s="1"/>
  <c r="G75" i="7"/>
  <c r="H75" i="7" s="1"/>
  <c r="G64" i="7"/>
  <c r="H64" i="7" s="1"/>
  <c r="G74" i="14"/>
  <c r="H74" i="14" s="1"/>
  <c r="G85" i="14"/>
  <c r="H85" i="14" s="1"/>
  <c r="G66" i="14"/>
  <c r="H66" i="14" s="1"/>
  <c r="G67" i="11"/>
  <c r="H67" i="11" s="1"/>
  <c r="G64" i="11"/>
  <c r="H64" i="11" s="1"/>
  <c r="G74" i="11"/>
  <c r="H74" i="11" s="1"/>
  <c r="G83" i="11"/>
  <c r="H83" i="11" s="1"/>
  <c r="G76" i="12"/>
  <c r="H76" i="12" s="1"/>
  <c r="G61" i="12"/>
  <c r="H61" i="12" s="1"/>
  <c r="G83" i="12"/>
  <c r="H83" i="12" s="1"/>
  <c r="G63" i="12"/>
  <c r="H63" i="12" s="1"/>
  <c r="G71" i="8"/>
  <c r="H71" i="8" s="1"/>
  <c r="G75" i="8"/>
  <c r="H75" i="8" s="1"/>
  <c r="G83" i="8"/>
  <c r="H83" i="8" s="1"/>
  <c r="G72" i="8"/>
  <c r="H72" i="8" s="1"/>
  <c r="G67" i="15"/>
  <c r="H67" i="15" s="1"/>
  <c r="G82" i="15"/>
  <c r="H82" i="15" s="1"/>
  <c r="G85" i="15"/>
  <c r="H85" i="15" s="1"/>
  <c r="G61" i="9"/>
  <c r="H61" i="9" s="1"/>
  <c r="G71" i="9"/>
  <c r="H71" i="9" s="1"/>
  <c r="G83" i="9"/>
  <c r="H83" i="9" s="1"/>
  <c r="G65" i="9"/>
  <c r="H65" i="9" s="1"/>
  <c r="G62" i="13"/>
  <c r="H62" i="13" s="1"/>
  <c r="G63" i="13"/>
  <c r="H63" i="13" s="1"/>
  <c r="G70" i="13"/>
  <c r="H70" i="13" s="1"/>
  <c r="G61" i="10"/>
  <c r="H61" i="10" s="1"/>
  <c r="G87" i="10"/>
  <c r="H87" i="10" s="1"/>
  <c r="G75" i="10"/>
  <c r="H75" i="10" s="1"/>
  <c r="G74" i="10"/>
  <c r="H74" i="10" s="1"/>
  <c r="G78" i="7"/>
  <c r="H78" i="7" s="1"/>
  <c r="G79" i="7"/>
  <c r="H79" i="7" s="1"/>
  <c r="G70" i="7"/>
  <c r="H70" i="7" s="1"/>
  <c r="G77" i="14"/>
  <c r="H77" i="14" s="1"/>
  <c r="G83" i="14"/>
  <c r="H83" i="14" s="1"/>
  <c r="G88" i="14"/>
  <c r="H88" i="14" s="1"/>
  <c r="G75" i="14"/>
  <c r="H75" i="14" s="1"/>
  <c r="G87" i="11"/>
  <c r="H87" i="11" s="1"/>
  <c r="G85" i="11"/>
  <c r="H85" i="11" s="1"/>
  <c r="G69" i="11"/>
  <c r="H69" i="11" s="1"/>
  <c r="G82" i="11"/>
  <c r="H82" i="11" s="1"/>
  <c r="G60" i="12"/>
  <c r="H60" i="12" s="1"/>
  <c r="G71" i="12"/>
  <c r="H71" i="12" s="1"/>
  <c r="G79" i="12"/>
  <c r="H79" i="12" s="1"/>
  <c r="G68" i="12"/>
  <c r="H68" i="12" s="1"/>
  <c r="G60" i="8"/>
  <c r="H60" i="8" s="1"/>
  <c r="G70" i="8"/>
  <c r="H70" i="8" s="1"/>
  <c r="G78" i="8"/>
  <c r="H78" i="8" s="1"/>
  <c r="G67" i="8"/>
  <c r="H67" i="8" s="1"/>
  <c r="G60" i="15"/>
  <c r="H60" i="15" s="1"/>
  <c r="G66" i="15"/>
  <c r="H66" i="15" s="1"/>
  <c r="G83" i="15"/>
  <c r="H83" i="15" s="1"/>
  <c r="G62" i="9"/>
  <c r="H62" i="9" s="1"/>
  <c r="G81" i="9"/>
  <c r="H81" i="9" s="1"/>
  <c r="G84" i="9"/>
  <c r="H84" i="9" s="1"/>
  <c r="G63" i="9"/>
  <c r="H63" i="9" s="1"/>
  <c r="G62" i="17"/>
  <c r="H62" i="17" s="1"/>
  <c r="G80" i="17"/>
  <c r="H80" i="17" s="1"/>
  <c r="G73" i="17"/>
  <c r="H73" i="17" s="1"/>
  <c r="G66" i="17"/>
  <c r="H66" i="17" s="1"/>
  <c r="G67" i="13"/>
  <c r="H67" i="13" s="1"/>
  <c r="G82" i="10"/>
  <c r="H82" i="10" s="1"/>
  <c r="G69" i="14"/>
  <c r="H69" i="14" s="1"/>
  <c r="G72" i="14"/>
  <c r="H72" i="14" s="1"/>
  <c r="G71" i="11"/>
  <c r="H71" i="11" s="1"/>
  <c r="G63" i="11"/>
  <c r="H63" i="11" s="1"/>
  <c r="G72" i="11"/>
  <c r="H72" i="11" s="1"/>
  <c r="G77" i="11"/>
  <c r="H77" i="11" s="1"/>
  <c r="G66" i="12"/>
  <c r="H66" i="12" s="1"/>
  <c r="G62" i="12"/>
  <c r="H62" i="12" s="1"/>
  <c r="G84" i="12"/>
  <c r="H84" i="12" s="1"/>
  <c r="G87" i="12"/>
  <c r="H87" i="12" s="1"/>
  <c r="G62" i="8"/>
  <c r="H62" i="8" s="1"/>
  <c r="G65" i="8"/>
  <c r="H65" i="8" s="1"/>
  <c r="G73" i="8"/>
  <c r="H73" i="8" s="1"/>
  <c r="G64" i="15"/>
  <c r="H64" i="15" s="1"/>
  <c r="G87" i="15"/>
  <c r="H87" i="15" s="1"/>
  <c r="G86" i="15"/>
  <c r="H86" i="15" s="1"/>
  <c r="G81" i="15"/>
  <c r="H81" i="15" s="1"/>
  <c r="G60" i="9"/>
  <c r="H60" i="9" s="1"/>
  <c r="G75" i="9"/>
  <c r="H75" i="9" s="1"/>
  <c r="G77" i="9"/>
  <c r="H77" i="9" s="1"/>
  <c r="G67" i="9"/>
  <c r="H67" i="9" s="1"/>
  <c r="I53" i="5"/>
  <c r="I61" i="5"/>
  <c r="I66" i="5"/>
  <c r="I67" i="5"/>
  <c r="I79" i="5"/>
  <c r="G85" i="17"/>
  <c r="H85" i="17" s="1"/>
  <c r="G87" i="17"/>
  <c r="H87" i="17" s="1"/>
  <c r="G75" i="13"/>
  <c r="H75" i="13" s="1"/>
  <c r="G71" i="13"/>
  <c r="H71" i="13" s="1"/>
  <c r="G83" i="10"/>
  <c r="H83" i="10" s="1"/>
  <c r="G85" i="10"/>
  <c r="H85" i="10" s="1"/>
  <c r="G81" i="10"/>
  <c r="H81" i="10" s="1"/>
  <c r="G81" i="7"/>
  <c r="H81" i="7" s="1"/>
  <c r="G61" i="14"/>
  <c r="H61" i="14" s="1"/>
  <c r="G68" i="14"/>
  <c r="H68" i="14" s="1"/>
  <c r="G87" i="14"/>
  <c r="H87" i="14" s="1"/>
  <c r="G82" i="14"/>
  <c r="H82" i="14" s="1"/>
  <c r="G78" i="11"/>
  <c r="H78" i="11" s="1"/>
  <c r="G75" i="11"/>
  <c r="H75" i="11" s="1"/>
  <c r="G81" i="11"/>
  <c r="H81" i="11" s="1"/>
  <c r="G81" i="12"/>
  <c r="H81" i="12" s="1"/>
  <c r="G65" i="12"/>
  <c r="H65" i="12" s="1"/>
  <c r="G78" i="12"/>
  <c r="H78" i="12" s="1"/>
  <c r="G85" i="12"/>
  <c r="H85" i="12" s="1"/>
  <c r="G81" i="8"/>
  <c r="H81" i="8" s="1"/>
  <c r="G84" i="8"/>
  <c r="H84" i="8" s="1"/>
  <c r="G68" i="8"/>
  <c r="H68" i="8" s="1"/>
  <c r="G63" i="15"/>
  <c r="H63" i="15" s="1"/>
  <c r="G71" i="15"/>
  <c r="H71" i="15" s="1"/>
  <c r="G70" i="15"/>
  <c r="H70" i="15" s="1"/>
  <c r="G76" i="15"/>
  <c r="H76" i="15" s="1"/>
  <c r="G70" i="9"/>
  <c r="H70" i="9" s="1"/>
  <c r="G76" i="9"/>
  <c r="H76" i="9" s="1"/>
  <c r="G86" i="9"/>
  <c r="H86" i="9" s="1"/>
  <c r="G68" i="9"/>
  <c r="H68" i="9" s="1"/>
  <c r="G62" i="7"/>
  <c r="H62" i="7" s="1"/>
  <c r="A28" i="7"/>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BF27" i="3"/>
  <c r="BE27" i="3"/>
  <c r="AM278" i="3"/>
  <c r="AP276" i="3"/>
  <c r="AP278" i="3"/>
  <c r="L272" i="3"/>
  <c r="L275" i="3"/>
  <c r="AM162" i="3"/>
  <c r="AM221" i="3" s="1"/>
  <c r="BB34" i="3"/>
  <c r="BC25" i="3"/>
  <c r="BC18" i="3"/>
  <c r="BC17" i="3"/>
  <c r="BC23" i="3"/>
  <c r="BC14" i="3"/>
  <c r="BC15" i="3"/>
  <c r="BC13" i="3"/>
  <c r="BC20" i="3"/>
  <c r="BC21" i="3"/>
  <c r="BC19" i="3"/>
  <c r="BC12" i="3"/>
  <c r="BC22" i="3"/>
  <c r="BC24" i="3"/>
  <c r="BC16" i="3"/>
  <c r="BC10" i="3"/>
  <c r="BC11" i="3"/>
  <c r="BB265" i="3"/>
  <c r="BB248" i="3"/>
  <c r="BD248" i="3" s="1"/>
  <c r="I276" i="3"/>
  <c r="J59" i="7"/>
  <c r="BC26" i="3"/>
  <c r="I30" i="3"/>
  <c r="O29" i="3"/>
  <c r="L30" i="3"/>
  <c r="AG276" i="3"/>
  <c r="AA276" i="3"/>
  <c r="AG277" i="3"/>
  <c r="AG280" i="3"/>
  <c r="AG278" i="3"/>
  <c r="AM276" i="3"/>
  <c r="AJ276" i="3"/>
  <c r="AJ280" i="3"/>
  <c r="AJ279" i="3"/>
  <c r="AJ278" i="3"/>
  <c r="R280" i="3"/>
  <c r="O278" i="3"/>
  <c r="R276" i="3"/>
  <c r="O277" i="3"/>
  <c r="O280" i="3"/>
  <c r="L280" i="3"/>
  <c r="L277" i="3"/>
  <c r="L279" i="3"/>
  <c r="L276" i="3"/>
  <c r="O279" i="3"/>
  <c r="I280" i="3"/>
  <c r="AD276" i="3"/>
  <c r="AD277" i="3"/>
  <c r="R278" i="3"/>
  <c r="AD278" i="3"/>
  <c r="X277" i="3"/>
  <c r="AD280" i="3"/>
  <c r="I278" i="3"/>
  <c r="X279" i="3"/>
  <c r="L157" i="3"/>
  <c r="L131" i="3"/>
  <c r="L224" i="3"/>
  <c r="L51" i="3"/>
  <c r="X278" i="3"/>
  <c r="R277" i="3"/>
  <c r="X276" i="3"/>
  <c r="AA279" i="3"/>
  <c r="U280" i="3"/>
  <c r="AA278" i="3"/>
  <c r="U276" i="3"/>
  <c r="U279" i="3"/>
  <c r="U277" i="3"/>
  <c r="O92" i="3"/>
  <c r="I20" i="8" s="1"/>
  <c r="AA277" i="3"/>
  <c r="H10" i="24"/>
  <c r="BC27" i="3"/>
  <c r="I4" i="3"/>
  <c r="AA4" i="3" s="1"/>
  <c r="I36" i="7"/>
  <c r="I36" i="8"/>
  <c r="I40" i="8"/>
  <c r="I42" i="8"/>
  <c r="O59" i="3"/>
  <c r="O127" i="3" s="1"/>
  <c r="I9" i="7"/>
  <c r="J7" i="7"/>
  <c r="O7" i="3"/>
  <c r="O37" i="3" s="1"/>
  <c r="R98" i="3"/>
  <c r="I22" i="8"/>
  <c r="R74" i="3"/>
  <c r="I14" i="9" s="1"/>
  <c r="I32" i="8"/>
  <c r="I279" i="3"/>
  <c r="E3" i="7"/>
  <c r="E56" i="7"/>
  <c r="I43" i="8"/>
  <c r="I42" i="9"/>
  <c r="I41" i="8"/>
  <c r="I40" i="9"/>
  <c r="I39" i="8"/>
  <c r="I38" i="8"/>
  <c r="I37" i="8"/>
  <c r="I35" i="8"/>
  <c r="I34" i="8"/>
  <c r="R101" i="3"/>
  <c r="I23" i="8"/>
  <c r="G78" i="5"/>
  <c r="H78" i="5" s="1"/>
  <c r="I21" i="8"/>
  <c r="R95" i="3"/>
  <c r="I19" i="8"/>
  <c r="R89" i="3"/>
  <c r="R86" i="3"/>
  <c r="I18" i="8"/>
  <c r="I16" i="8"/>
  <c r="R80" i="3"/>
  <c r="G63" i="5"/>
  <c r="H63" i="5" s="1"/>
  <c r="G66" i="5"/>
  <c r="H66" i="5" s="1"/>
  <c r="G75" i="5"/>
  <c r="H75" i="5" s="1"/>
  <c r="G82" i="5"/>
  <c r="H82" i="5" s="1"/>
  <c r="G60" i="5"/>
  <c r="H60" i="5" s="1"/>
  <c r="G73" i="5"/>
  <c r="H73" i="5" s="1"/>
  <c r="R77" i="3"/>
  <c r="I15" i="8"/>
  <c r="G88" i="5"/>
  <c r="H88" i="5" s="1"/>
  <c r="G71" i="5"/>
  <c r="H71" i="5" s="1"/>
  <c r="G80" i="5"/>
  <c r="H80" i="5" s="1"/>
  <c r="G85" i="5"/>
  <c r="H85" i="5" s="1"/>
  <c r="I13" i="8"/>
  <c r="R71" i="3"/>
  <c r="G74" i="5"/>
  <c r="H74" i="5" s="1"/>
  <c r="G87" i="5"/>
  <c r="H87" i="5" s="1"/>
  <c r="G83" i="5"/>
  <c r="H83" i="5" s="1"/>
  <c r="G62" i="5"/>
  <c r="H62" i="5" s="1"/>
  <c r="G68" i="5"/>
  <c r="H68" i="5" s="1"/>
  <c r="U68" i="3"/>
  <c r="I12" i="9"/>
  <c r="I11" i="8"/>
  <c r="G81" i="5"/>
  <c r="H81" i="5" s="1"/>
  <c r="I10" i="8"/>
  <c r="R62" i="3"/>
  <c r="G76" i="5"/>
  <c r="H76" i="5" s="1"/>
  <c r="G86" i="5"/>
  <c r="H86" i="5" s="1"/>
  <c r="G65" i="5"/>
  <c r="H65" i="5" s="1"/>
  <c r="G84" i="5"/>
  <c r="H84" i="5" s="1"/>
  <c r="G72" i="5"/>
  <c r="H72" i="5" s="1"/>
  <c r="G69" i="5"/>
  <c r="H69" i="5" s="1"/>
  <c r="G61" i="5"/>
  <c r="H61" i="5" s="1"/>
  <c r="G77" i="5"/>
  <c r="H77" i="5" s="1"/>
  <c r="G89" i="5"/>
  <c r="H89" i="5" s="1"/>
  <c r="G79" i="5"/>
  <c r="H79" i="5" s="1"/>
  <c r="G67" i="5"/>
  <c r="H67" i="5" s="1"/>
  <c r="G64" i="5"/>
  <c r="H64" i="5" s="1"/>
  <c r="G70" i="5"/>
  <c r="H70" i="5" s="1"/>
  <c r="I8" i="8"/>
  <c r="AD5" i="23"/>
  <c r="E3" i="23" s="1"/>
  <c r="AE5" i="23"/>
  <c r="AN7" i="23" s="1"/>
  <c r="I87" i="7" l="1"/>
  <c r="I62" i="7"/>
  <c r="AM281" i="3"/>
  <c r="D14" i="19"/>
  <c r="F13" i="19"/>
  <c r="I65" i="7"/>
  <c r="I69" i="7"/>
  <c r="I61" i="7"/>
  <c r="I60" i="7"/>
  <c r="I85" i="7"/>
  <c r="I64" i="7"/>
  <c r="I82" i="7"/>
  <c r="I80" i="7"/>
  <c r="I81" i="7"/>
  <c r="I77" i="7"/>
  <c r="I88" i="7"/>
  <c r="I71" i="7"/>
  <c r="I70" i="7"/>
  <c r="I83" i="7"/>
  <c r="I67" i="7"/>
  <c r="I72" i="7"/>
  <c r="I64" i="8"/>
  <c r="I91" i="5"/>
  <c r="I66" i="7"/>
  <c r="I84" i="7"/>
  <c r="I78" i="7"/>
  <c r="I86" i="7"/>
  <c r="I75" i="7"/>
  <c r="I76" i="7"/>
  <c r="I79" i="7"/>
  <c r="I68" i="7"/>
  <c r="I73" i="7"/>
  <c r="I74" i="7"/>
  <c r="I63" i="7"/>
  <c r="AP281" i="3"/>
  <c r="I53" i="7"/>
  <c r="BC220" i="3"/>
  <c r="BC154" i="3"/>
  <c r="R92" i="3"/>
  <c r="I20" i="9" s="1"/>
  <c r="BC126" i="3"/>
  <c r="AP162" i="3"/>
  <c r="AP221" i="3" s="1"/>
  <c r="BB221" i="3" s="1"/>
  <c r="BB262" i="3"/>
  <c r="BB263" i="3" s="1"/>
  <c r="J59" i="8"/>
  <c r="O30" i="3"/>
  <c r="R29" i="3"/>
  <c r="AG281" i="3"/>
  <c r="AJ281" i="3"/>
  <c r="O281" i="3"/>
  <c r="R281" i="3"/>
  <c r="L281" i="3"/>
  <c r="AA281" i="3"/>
  <c r="U281" i="3"/>
  <c r="X281" i="3"/>
  <c r="AD281" i="3"/>
  <c r="I281" i="3"/>
  <c r="O157" i="3"/>
  <c r="O224" i="3"/>
  <c r="O131" i="3"/>
  <c r="U74" i="3"/>
  <c r="I14" i="10" s="1"/>
  <c r="I33" i="8"/>
  <c r="O272" i="3"/>
  <c r="E3" i="8"/>
  <c r="J7" i="8"/>
  <c r="E56" i="8"/>
  <c r="O51" i="3"/>
  <c r="L10" i="24"/>
  <c r="D15" i="19"/>
  <c r="F14" i="19"/>
  <c r="I17" i="8"/>
  <c r="I22" i="9"/>
  <c r="U98" i="3"/>
  <c r="X98" i="3" s="1"/>
  <c r="I32" i="9"/>
  <c r="O275" i="3"/>
  <c r="R7" i="3"/>
  <c r="R37" i="3" s="1"/>
  <c r="R59" i="3"/>
  <c r="I9" i="8"/>
  <c r="I43" i="9"/>
  <c r="I42" i="10"/>
  <c r="I41" i="9"/>
  <c r="I40" i="10"/>
  <c r="I39" i="9"/>
  <c r="I38" i="9"/>
  <c r="I37" i="9"/>
  <c r="I35" i="9"/>
  <c r="I34" i="9"/>
  <c r="I23" i="9"/>
  <c r="U101" i="3"/>
  <c r="U95" i="3"/>
  <c r="I21" i="9"/>
  <c r="U89" i="3"/>
  <c r="I19" i="9"/>
  <c r="U86" i="3"/>
  <c r="I18" i="9"/>
  <c r="U80" i="3"/>
  <c r="I16" i="9"/>
  <c r="I15" i="9"/>
  <c r="U77" i="3"/>
  <c r="I13" i="9"/>
  <c r="U71" i="3"/>
  <c r="I12" i="10"/>
  <c r="X68" i="3"/>
  <c r="I11" i="9"/>
  <c r="U62" i="3"/>
  <c r="I10" i="9"/>
  <c r="I8" i="9"/>
  <c r="U56" i="3"/>
  <c r="AL7" i="23"/>
  <c r="AF5" i="23"/>
  <c r="I71" i="8" l="1"/>
  <c r="I82" i="8"/>
  <c r="R127" i="3"/>
  <c r="I53" i="8"/>
  <c r="I88" i="8"/>
  <c r="I77" i="8"/>
  <c r="I66" i="8"/>
  <c r="I79" i="8"/>
  <c r="I83" i="8"/>
  <c r="I72" i="8"/>
  <c r="I85" i="8"/>
  <c r="I60" i="8"/>
  <c r="I78" i="8"/>
  <c r="I67" i="8"/>
  <c r="I80" i="8"/>
  <c r="I74" i="8"/>
  <c r="I73" i="8"/>
  <c r="I68" i="8"/>
  <c r="I75" i="8"/>
  <c r="I61" i="8"/>
  <c r="I63" i="8"/>
  <c r="I86" i="8"/>
  <c r="I70" i="8"/>
  <c r="I69" i="8"/>
  <c r="I84" i="8"/>
  <c r="I81" i="8"/>
  <c r="I65" i="8"/>
  <c r="I62" i="8"/>
  <c r="I87" i="8"/>
  <c r="I76" i="8"/>
  <c r="I91" i="7"/>
  <c r="BC262" i="3"/>
  <c r="U92" i="3"/>
  <c r="BB162" i="3"/>
  <c r="U29" i="3"/>
  <c r="R30" i="3"/>
  <c r="X74" i="3"/>
  <c r="AA74" i="3" s="1"/>
  <c r="R157" i="3"/>
  <c r="R131" i="3"/>
  <c r="R224" i="3"/>
  <c r="R51" i="3"/>
  <c r="I33" i="9"/>
  <c r="I36" i="9"/>
  <c r="F15" i="19"/>
  <c r="D16" i="19"/>
  <c r="I17" i="9"/>
  <c r="I9" i="9"/>
  <c r="U59" i="3"/>
  <c r="U7" i="3"/>
  <c r="U37" i="3" s="1"/>
  <c r="D14" i="24"/>
  <c r="J59" i="9"/>
  <c r="R275" i="3"/>
  <c r="E56" i="9"/>
  <c r="R272" i="3"/>
  <c r="E3" i="9"/>
  <c r="J7" i="9"/>
  <c r="I32" i="10"/>
  <c r="I22" i="10"/>
  <c r="I43" i="10"/>
  <c r="I42" i="11"/>
  <c r="I41" i="10"/>
  <c r="I40" i="11"/>
  <c r="I39" i="10"/>
  <c r="I38" i="10"/>
  <c r="I37" i="10"/>
  <c r="I36" i="10"/>
  <c r="I35" i="10"/>
  <c r="I34" i="10"/>
  <c r="I23" i="10"/>
  <c r="X101" i="3"/>
  <c r="X95" i="3"/>
  <c r="I21" i="10"/>
  <c r="X89" i="3"/>
  <c r="I19" i="10"/>
  <c r="I18" i="10"/>
  <c r="X86" i="3"/>
  <c r="I17" i="10"/>
  <c r="X80" i="3"/>
  <c r="I16" i="10"/>
  <c r="X77" i="3"/>
  <c r="AA77" i="3" s="1"/>
  <c r="I15" i="10"/>
  <c r="I13" i="10"/>
  <c r="X71" i="3"/>
  <c r="I12" i="11"/>
  <c r="AA68" i="3"/>
  <c r="I11" i="10"/>
  <c r="X62" i="3"/>
  <c r="I10" i="10"/>
  <c r="I8" i="10"/>
  <c r="X56" i="3"/>
  <c r="I67" i="9" l="1"/>
  <c r="U127" i="3"/>
  <c r="X92" i="3"/>
  <c r="I20" i="10"/>
  <c r="AA56" i="3"/>
  <c r="I62" i="9"/>
  <c r="I73" i="9"/>
  <c r="I87" i="9"/>
  <c r="I65" i="9"/>
  <c r="I80" i="9"/>
  <c r="I72" i="9"/>
  <c r="I77" i="9"/>
  <c r="I63" i="9"/>
  <c r="I68" i="9"/>
  <c r="I78" i="9"/>
  <c r="I64" i="9"/>
  <c r="I60" i="9"/>
  <c r="I79" i="9"/>
  <c r="I88" i="9"/>
  <c r="I83" i="9"/>
  <c r="I70" i="9"/>
  <c r="I71" i="9"/>
  <c r="I82" i="9"/>
  <c r="I81" i="9"/>
  <c r="I76" i="9"/>
  <c r="I69" i="9"/>
  <c r="I74" i="9"/>
  <c r="I84" i="9"/>
  <c r="I66" i="9"/>
  <c r="I85" i="9"/>
  <c r="I61" i="9"/>
  <c r="I75" i="9"/>
  <c r="I86" i="9"/>
  <c r="I53" i="9"/>
  <c r="I91" i="8"/>
  <c r="I14" i="11"/>
  <c r="X29" i="3"/>
  <c r="U30" i="3"/>
  <c r="U131" i="3"/>
  <c r="U224" i="3"/>
  <c r="U157" i="3"/>
  <c r="U51" i="3"/>
  <c r="I33" i="10"/>
  <c r="D17" i="19"/>
  <c r="F16" i="19"/>
  <c r="U275" i="3"/>
  <c r="H14" i="24"/>
  <c r="J59" i="10"/>
  <c r="J7" i="10"/>
  <c r="E3" i="10"/>
  <c r="U272" i="3"/>
  <c r="X7" i="3"/>
  <c r="X37" i="3" s="1"/>
  <c r="E56" i="10"/>
  <c r="X59" i="3"/>
  <c r="I9" i="10"/>
  <c r="AA98" i="3"/>
  <c r="I22" i="11"/>
  <c r="I43" i="11"/>
  <c r="I42" i="12"/>
  <c r="I41" i="11"/>
  <c r="I40" i="12"/>
  <c r="I39" i="11"/>
  <c r="I38" i="11"/>
  <c r="I37" i="11"/>
  <c r="I36" i="11"/>
  <c r="I23" i="11"/>
  <c r="AA101" i="3"/>
  <c r="AA95" i="3"/>
  <c r="I21" i="11"/>
  <c r="I19" i="11"/>
  <c r="AA89" i="3"/>
  <c r="I18" i="11"/>
  <c r="AA86" i="3"/>
  <c r="I17" i="11"/>
  <c r="AA80" i="3"/>
  <c r="I16" i="11"/>
  <c r="I15" i="11"/>
  <c r="AD74" i="3"/>
  <c r="AG74" i="3" s="1"/>
  <c r="AJ74" i="3" s="1"/>
  <c r="I14" i="12"/>
  <c r="I13" i="11"/>
  <c r="AA71" i="3"/>
  <c r="I12" i="12"/>
  <c r="AD68" i="3"/>
  <c r="I11" i="11"/>
  <c r="AA62" i="3"/>
  <c r="I10" i="11"/>
  <c r="I8" i="11"/>
  <c r="X127" i="3" l="1"/>
  <c r="I20" i="11"/>
  <c r="I85" i="11" s="1"/>
  <c r="AA92" i="3"/>
  <c r="I68" i="10"/>
  <c r="I85" i="10"/>
  <c r="I88" i="10"/>
  <c r="I75" i="10"/>
  <c r="I63" i="10"/>
  <c r="I60" i="10"/>
  <c r="I80" i="10"/>
  <c r="I84" i="10"/>
  <c r="I79" i="10"/>
  <c r="I69" i="10"/>
  <c r="I64" i="10"/>
  <c r="I77" i="10"/>
  <c r="I83" i="10"/>
  <c r="I62" i="10"/>
  <c r="I87" i="10"/>
  <c r="I86" i="10"/>
  <c r="I74" i="10"/>
  <c r="I61" i="10"/>
  <c r="I71" i="10"/>
  <c r="I70" i="10"/>
  <c r="I78" i="10"/>
  <c r="I65" i="10"/>
  <c r="I72" i="10"/>
  <c r="I67" i="10"/>
  <c r="I82" i="10"/>
  <c r="I73" i="10"/>
  <c r="I76" i="10"/>
  <c r="I81" i="10"/>
  <c r="I66" i="10"/>
  <c r="I91" i="9"/>
  <c r="I53" i="10"/>
  <c r="AA29" i="3"/>
  <c r="X30" i="3"/>
  <c r="X131" i="3"/>
  <c r="X224" i="3"/>
  <c r="X157" i="3"/>
  <c r="X51" i="3"/>
  <c r="F17" i="19"/>
  <c r="D18" i="19"/>
  <c r="I32" i="12"/>
  <c r="AA59" i="3"/>
  <c r="I9" i="11"/>
  <c r="E56" i="11"/>
  <c r="AA7" i="3"/>
  <c r="AA37" i="3" s="1"/>
  <c r="J59" i="11"/>
  <c r="J7" i="11"/>
  <c r="X272" i="3"/>
  <c r="L14" i="24"/>
  <c r="X275" i="3"/>
  <c r="E3" i="11"/>
  <c r="AD98" i="3"/>
  <c r="I22" i="12"/>
  <c r="I43" i="12"/>
  <c r="I42" i="13"/>
  <c r="I41" i="12"/>
  <c r="I40" i="13"/>
  <c r="I39" i="12"/>
  <c r="I38" i="12"/>
  <c r="I37" i="12"/>
  <c r="I36" i="12"/>
  <c r="I35" i="12"/>
  <c r="I34" i="12"/>
  <c r="I23" i="12"/>
  <c r="AD101" i="3"/>
  <c r="AD95" i="3"/>
  <c r="I21" i="12"/>
  <c r="I19" i="12"/>
  <c r="AD89" i="3"/>
  <c r="I18" i="12"/>
  <c r="AD86" i="3"/>
  <c r="I17" i="12"/>
  <c r="AD80" i="3"/>
  <c r="I16" i="12"/>
  <c r="AD77" i="3"/>
  <c r="I15" i="12"/>
  <c r="I14" i="13"/>
  <c r="I13" i="12"/>
  <c r="AD71" i="3"/>
  <c r="I12" i="13"/>
  <c r="AG68" i="3"/>
  <c r="I11" i="12"/>
  <c r="AD62" i="3"/>
  <c r="I10" i="12"/>
  <c r="AD56" i="3"/>
  <c r="I8" i="12"/>
  <c r="AA127" i="3" l="1"/>
  <c r="I20" i="12"/>
  <c r="AD92" i="3"/>
  <c r="I80" i="11"/>
  <c r="I66" i="11"/>
  <c r="I82" i="11"/>
  <c r="I75" i="11"/>
  <c r="I65" i="11"/>
  <c r="I81" i="11"/>
  <c r="I69" i="11"/>
  <c r="I84" i="11"/>
  <c r="I87" i="11"/>
  <c r="I78" i="11"/>
  <c r="I61" i="11"/>
  <c r="I68" i="11"/>
  <c r="I74" i="11"/>
  <c r="I64" i="11"/>
  <c r="I60" i="11"/>
  <c r="I77" i="11"/>
  <c r="I79" i="11"/>
  <c r="I63" i="11"/>
  <c r="I76" i="11"/>
  <c r="I73" i="11"/>
  <c r="I70" i="11"/>
  <c r="I83" i="11"/>
  <c r="I62" i="11"/>
  <c r="I67" i="11"/>
  <c r="I71" i="11"/>
  <c r="I86" i="11"/>
  <c r="I88" i="11"/>
  <c r="I72" i="11"/>
  <c r="I53" i="11"/>
  <c r="I91" i="10"/>
  <c r="AD29" i="3"/>
  <c r="AA30" i="3"/>
  <c r="AA224" i="3"/>
  <c r="AA157" i="3"/>
  <c r="AA131" i="3"/>
  <c r="AA51" i="3"/>
  <c r="I33" i="12"/>
  <c r="D19" i="19"/>
  <c r="F18" i="19"/>
  <c r="AD7" i="3"/>
  <c r="AD37" i="3" s="1"/>
  <c r="D18" i="24"/>
  <c r="AA272" i="3"/>
  <c r="E56" i="12"/>
  <c r="AA275" i="3"/>
  <c r="E3" i="12"/>
  <c r="J7" i="12"/>
  <c r="J59" i="12"/>
  <c r="AD59" i="3"/>
  <c r="I9" i="12"/>
  <c r="I22" i="13"/>
  <c r="AG98" i="3"/>
  <c r="I32" i="13"/>
  <c r="I43" i="13"/>
  <c r="I42" i="14"/>
  <c r="I41" i="13"/>
  <c r="I40" i="14"/>
  <c r="I39" i="13"/>
  <c r="I38" i="13"/>
  <c r="I37" i="13"/>
  <c r="I36" i="13"/>
  <c r="I35" i="13"/>
  <c r="I34" i="13"/>
  <c r="I23" i="13"/>
  <c r="AG101" i="3"/>
  <c r="I21" i="13"/>
  <c r="AG95" i="3"/>
  <c r="AG89" i="3"/>
  <c r="I19" i="13"/>
  <c r="AG86" i="3"/>
  <c r="I18" i="13"/>
  <c r="I17" i="13"/>
  <c r="AG80" i="3"/>
  <c r="I16" i="13"/>
  <c r="AG77" i="3"/>
  <c r="I15" i="13"/>
  <c r="I14" i="14"/>
  <c r="AG71" i="3"/>
  <c r="I13" i="13"/>
  <c r="AJ68" i="3"/>
  <c r="I12" i="14"/>
  <c r="I11" i="13"/>
  <c r="I10" i="13"/>
  <c r="AG62" i="3"/>
  <c r="AG56" i="3"/>
  <c r="I8" i="13"/>
  <c r="AD127" i="3" l="1"/>
  <c r="AG92" i="3"/>
  <c r="I20" i="13"/>
  <c r="I63" i="12"/>
  <c r="I82" i="12"/>
  <c r="I84" i="12"/>
  <c r="I74" i="12"/>
  <c r="I70" i="12"/>
  <c r="I64" i="12"/>
  <c r="I83" i="12"/>
  <c r="I62" i="12"/>
  <c r="I73" i="12"/>
  <c r="I80" i="12"/>
  <c r="I68" i="12"/>
  <c r="I77" i="12"/>
  <c r="I60" i="12"/>
  <c r="I85" i="12"/>
  <c r="I86" i="12"/>
  <c r="I65" i="12"/>
  <c r="I75" i="12"/>
  <c r="I76" i="12"/>
  <c r="I69" i="12"/>
  <c r="I81" i="12"/>
  <c r="I67" i="12"/>
  <c r="I79" i="12"/>
  <c r="I61" i="12"/>
  <c r="I71" i="12"/>
  <c r="I78" i="12"/>
  <c r="I72" i="12"/>
  <c r="I87" i="12"/>
  <c r="I66" i="12"/>
  <c r="I88" i="12"/>
  <c r="I91" i="11"/>
  <c r="I53" i="12"/>
  <c r="AG29" i="3"/>
  <c r="AD30" i="3"/>
  <c r="AD224" i="3"/>
  <c r="AD157" i="3"/>
  <c r="AD131" i="3"/>
  <c r="AD51" i="3"/>
  <c r="I33" i="13"/>
  <c r="F19" i="19"/>
  <c r="D20" i="19"/>
  <c r="I22" i="14"/>
  <c r="AJ98" i="3"/>
  <c r="AG59" i="3"/>
  <c r="I9" i="13"/>
  <c r="I32" i="14"/>
  <c r="E3" i="13"/>
  <c r="H18" i="24"/>
  <c r="E56" i="13"/>
  <c r="J7" i="13"/>
  <c r="AD275" i="3"/>
  <c r="AD272" i="3"/>
  <c r="AG7" i="3"/>
  <c r="AG37" i="3" s="1"/>
  <c r="J59" i="13"/>
  <c r="I43" i="14"/>
  <c r="I42" i="15"/>
  <c r="I41" i="14"/>
  <c r="I40" i="15"/>
  <c r="I39" i="14"/>
  <c r="I38" i="14"/>
  <c r="I37" i="14"/>
  <c r="I36" i="14"/>
  <c r="I35" i="14"/>
  <c r="I34" i="14"/>
  <c r="I23" i="14"/>
  <c r="AJ101" i="3"/>
  <c r="AJ95" i="3"/>
  <c r="I21" i="14"/>
  <c r="AJ89" i="3"/>
  <c r="I19" i="14"/>
  <c r="AJ86" i="3"/>
  <c r="I18" i="14"/>
  <c r="I17" i="14"/>
  <c r="AJ80" i="3"/>
  <c r="I16" i="14"/>
  <c r="AJ77" i="3"/>
  <c r="I15" i="14"/>
  <c r="I14" i="15"/>
  <c r="AM74" i="3"/>
  <c r="AJ71" i="3"/>
  <c r="I13" i="14"/>
  <c r="I12" i="15"/>
  <c r="AM68" i="3"/>
  <c r="I11" i="14"/>
  <c r="I10" i="14"/>
  <c r="AJ62" i="3"/>
  <c r="I8" i="14"/>
  <c r="AJ56" i="3"/>
  <c r="AG127" i="3" l="1"/>
  <c r="I77" i="13"/>
  <c r="AJ92" i="3"/>
  <c r="I20" i="14"/>
  <c r="I60" i="13"/>
  <c r="I71" i="13"/>
  <c r="I79" i="13"/>
  <c r="I68" i="13"/>
  <c r="I76" i="13"/>
  <c r="I63" i="13"/>
  <c r="I86" i="13"/>
  <c r="I66" i="13"/>
  <c r="I73" i="13"/>
  <c r="I80" i="13"/>
  <c r="I81" i="13"/>
  <c r="I78" i="13"/>
  <c r="I72" i="13"/>
  <c r="I84" i="13"/>
  <c r="I70" i="13"/>
  <c r="I69" i="13"/>
  <c r="I67" i="13"/>
  <c r="I61" i="13"/>
  <c r="I74" i="13"/>
  <c r="I87" i="13"/>
  <c r="I85" i="13"/>
  <c r="I64" i="13"/>
  <c r="I88" i="13"/>
  <c r="I82" i="13"/>
  <c r="I65" i="13"/>
  <c r="I75" i="13"/>
  <c r="I62" i="13"/>
  <c r="I83" i="13"/>
  <c r="I53" i="13"/>
  <c r="I91" i="12"/>
  <c r="AJ29" i="3"/>
  <c r="AG30" i="3"/>
  <c r="AG157" i="3"/>
  <c r="AG224" i="3"/>
  <c r="AG131" i="3"/>
  <c r="AG51" i="3"/>
  <c r="I33" i="14"/>
  <c r="D21" i="19"/>
  <c r="F20" i="19"/>
  <c r="I32" i="15"/>
  <c r="AJ59" i="3"/>
  <c r="I9" i="14"/>
  <c r="AM98" i="3"/>
  <c r="I22" i="15"/>
  <c r="L18" i="24"/>
  <c r="E3" i="14"/>
  <c r="AG272" i="3"/>
  <c r="J59" i="14"/>
  <c r="E56" i="14"/>
  <c r="AJ7" i="3"/>
  <c r="AJ37" i="3" s="1"/>
  <c r="AG275" i="3"/>
  <c r="J7" i="14"/>
  <c r="I43" i="15"/>
  <c r="I42" i="16"/>
  <c r="I41" i="15"/>
  <c r="I40" i="16"/>
  <c r="I39" i="15"/>
  <c r="I38" i="15"/>
  <c r="I37" i="15"/>
  <c r="I36" i="15"/>
  <c r="I35" i="15"/>
  <c r="I34" i="15"/>
  <c r="AM101" i="3"/>
  <c r="I23" i="15"/>
  <c r="I21" i="15"/>
  <c r="AM95" i="3"/>
  <c r="I19" i="15"/>
  <c r="AM89" i="3"/>
  <c r="I18" i="15"/>
  <c r="AM86" i="3"/>
  <c r="I17" i="15"/>
  <c r="I16" i="15"/>
  <c r="AM80" i="3"/>
  <c r="I15" i="15"/>
  <c r="AM77" i="3"/>
  <c r="AP74" i="3"/>
  <c r="BB74" i="3" s="1"/>
  <c r="I14" i="16"/>
  <c r="I13" i="15"/>
  <c r="AM71" i="3"/>
  <c r="AP68" i="3"/>
  <c r="BB68" i="3" s="1"/>
  <c r="I12" i="16"/>
  <c r="I11" i="15"/>
  <c r="AM62" i="3"/>
  <c r="I10" i="15"/>
  <c r="I8" i="15"/>
  <c r="AM56" i="3"/>
  <c r="AJ127" i="3" l="1"/>
  <c r="AM92" i="3"/>
  <c r="I20" i="15"/>
  <c r="I70" i="14"/>
  <c r="I65" i="14"/>
  <c r="I82" i="14"/>
  <c r="I64" i="14"/>
  <c r="I63" i="14"/>
  <c r="I60" i="14"/>
  <c r="I86" i="14"/>
  <c r="I77" i="14"/>
  <c r="I74" i="14"/>
  <c r="I87" i="14"/>
  <c r="I78" i="14"/>
  <c r="I79" i="14"/>
  <c r="I67" i="14"/>
  <c r="I71" i="14"/>
  <c r="I84" i="14"/>
  <c r="I72" i="14"/>
  <c r="I80" i="14"/>
  <c r="I68" i="14"/>
  <c r="I64" i="15"/>
  <c r="I69" i="14"/>
  <c r="I62" i="14"/>
  <c r="I75" i="14"/>
  <c r="I88" i="14"/>
  <c r="I61" i="14"/>
  <c r="I76" i="14"/>
  <c r="I73" i="14"/>
  <c r="I83" i="14"/>
  <c r="I81" i="14"/>
  <c r="I85" i="14"/>
  <c r="I66" i="14"/>
  <c r="I53" i="14"/>
  <c r="I91" i="13"/>
  <c r="AM29" i="3"/>
  <c r="AJ30" i="3"/>
  <c r="AJ157" i="3"/>
  <c r="AJ131" i="3"/>
  <c r="AJ224" i="3"/>
  <c r="AJ51" i="3"/>
  <c r="AU68" i="3"/>
  <c r="AT68" i="3"/>
  <c r="AU74" i="3"/>
  <c r="AT74" i="3"/>
  <c r="I33" i="15"/>
  <c r="AT192" i="3"/>
  <c r="AU192" i="3"/>
  <c r="D22" i="19"/>
  <c r="F21" i="19"/>
  <c r="E56" i="15"/>
  <c r="J7" i="15"/>
  <c r="AJ272" i="3"/>
  <c r="E3" i="15"/>
  <c r="D22" i="24"/>
  <c r="AM7" i="3"/>
  <c r="AM37" i="3" s="1"/>
  <c r="AJ275" i="3"/>
  <c r="J59" i="15"/>
  <c r="AP98" i="3"/>
  <c r="BB98" i="3" s="1"/>
  <c r="I22" i="16"/>
  <c r="AM59" i="3"/>
  <c r="I9" i="15"/>
  <c r="I32" i="16"/>
  <c r="I43" i="16"/>
  <c r="I42" i="17"/>
  <c r="I41" i="16"/>
  <c r="I40" i="17"/>
  <c r="I39" i="16"/>
  <c r="I38" i="16"/>
  <c r="I37" i="16"/>
  <c r="I36" i="16"/>
  <c r="I35" i="16"/>
  <c r="I34" i="16"/>
  <c r="AP101" i="3"/>
  <c r="BB101" i="3" s="1"/>
  <c r="I23" i="16"/>
  <c r="AP95" i="3"/>
  <c r="BB95" i="3" s="1"/>
  <c r="I21" i="16"/>
  <c r="I19" i="16"/>
  <c r="AP89" i="3"/>
  <c r="BB89" i="3" s="1"/>
  <c r="AP86" i="3"/>
  <c r="BB86" i="3" s="1"/>
  <c r="I18" i="16"/>
  <c r="I17" i="16"/>
  <c r="I16" i="16"/>
  <c r="AP80" i="3"/>
  <c r="BB80" i="3" s="1"/>
  <c r="AP77" i="3"/>
  <c r="I15" i="16"/>
  <c r="I14" i="17"/>
  <c r="AP71" i="3"/>
  <c r="BB71" i="3" s="1"/>
  <c r="I13" i="16"/>
  <c r="I12" i="17"/>
  <c r="I11" i="16"/>
  <c r="I10" i="16"/>
  <c r="AP62" i="3"/>
  <c r="BB62" i="3" s="1"/>
  <c r="AP56" i="3"/>
  <c r="I8" i="16"/>
  <c r="AM127" i="3" l="1"/>
  <c r="I20" i="16"/>
  <c r="AP92" i="3"/>
  <c r="I62" i="15"/>
  <c r="I68" i="15"/>
  <c r="I79" i="15"/>
  <c r="BB56" i="3"/>
  <c r="I73" i="15"/>
  <c r="I88" i="15"/>
  <c r="I65" i="15"/>
  <c r="I76" i="15"/>
  <c r="I61" i="15"/>
  <c r="I70" i="15"/>
  <c r="I78" i="15"/>
  <c r="I66" i="15"/>
  <c r="I72" i="15"/>
  <c r="I87" i="15"/>
  <c r="I63" i="15"/>
  <c r="I71" i="15"/>
  <c r="I84" i="15"/>
  <c r="I80" i="15"/>
  <c r="I69" i="15"/>
  <c r="I83" i="15"/>
  <c r="I77" i="15"/>
  <c r="I81" i="15"/>
  <c r="I67" i="15"/>
  <c r="I82" i="15"/>
  <c r="I75" i="15"/>
  <c r="I85" i="15"/>
  <c r="I86" i="15"/>
  <c r="I60" i="15"/>
  <c r="I74" i="15"/>
  <c r="I53" i="15"/>
  <c r="I91" i="14"/>
  <c r="BB77" i="3"/>
  <c r="AP29" i="3"/>
  <c r="AP30" i="3" s="1"/>
  <c r="AM30" i="3"/>
  <c r="AM157" i="3"/>
  <c r="AM131" i="3"/>
  <c r="AM224" i="3"/>
  <c r="AM51" i="3"/>
  <c r="AU80" i="3"/>
  <c r="AT80" i="3"/>
  <c r="AU168" i="3"/>
  <c r="AT168" i="3"/>
  <c r="AU177" i="3"/>
  <c r="AT177" i="3"/>
  <c r="AT189" i="3"/>
  <c r="AU189" i="3"/>
  <c r="AT171" i="3"/>
  <c r="AU171" i="3"/>
  <c r="AU180" i="3"/>
  <c r="AT180" i="3"/>
  <c r="AT98" i="3"/>
  <c r="AU98" i="3"/>
  <c r="I33" i="16"/>
  <c r="AU183" i="3"/>
  <c r="AT183" i="3"/>
  <c r="AU92" i="3"/>
  <c r="AT71" i="3"/>
  <c r="AU71" i="3"/>
  <c r="AU95" i="3"/>
  <c r="AT95" i="3"/>
  <c r="AU195" i="3"/>
  <c r="AT195" i="3"/>
  <c r="AT62" i="3"/>
  <c r="AU62" i="3"/>
  <c r="AU101" i="3"/>
  <c r="AT101" i="3"/>
  <c r="AU174" i="3"/>
  <c r="AT174" i="3"/>
  <c r="AU162" i="3"/>
  <c r="AT162" i="3"/>
  <c r="AU89" i="3"/>
  <c r="AT89" i="3"/>
  <c r="AU86" i="3"/>
  <c r="AT86" i="3"/>
  <c r="AU65" i="3"/>
  <c r="AT65" i="3"/>
  <c r="AU77" i="3"/>
  <c r="AT77" i="3"/>
  <c r="AU83" i="3"/>
  <c r="AT83" i="3"/>
  <c r="AU56" i="3"/>
  <c r="AT56" i="3"/>
  <c r="D23" i="19"/>
  <c r="F22" i="19"/>
  <c r="I9" i="16"/>
  <c r="AP59" i="3"/>
  <c r="I22" i="17"/>
  <c r="I32" i="17"/>
  <c r="AM272" i="3"/>
  <c r="AP7" i="3"/>
  <c r="AP37" i="3" s="1"/>
  <c r="J59" i="16"/>
  <c r="E56" i="16"/>
  <c r="AM275" i="3"/>
  <c r="J7" i="16"/>
  <c r="H22" i="24"/>
  <c r="E3" i="16"/>
  <c r="I43" i="17"/>
  <c r="I41" i="17"/>
  <c r="I39" i="17"/>
  <c r="I38" i="17"/>
  <c r="I37" i="17"/>
  <c r="I36" i="17"/>
  <c r="I35" i="17"/>
  <c r="I34" i="17"/>
  <c r="I23" i="17"/>
  <c r="I21" i="17"/>
  <c r="I20" i="17"/>
  <c r="I19" i="17"/>
  <c r="I18" i="17"/>
  <c r="I17" i="17"/>
  <c r="I16" i="17"/>
  <c r="I15" i="17"/>
  <c r="I13" i="17"/>
  <c r="I11" i="17"/>
  <c r="I10" i="17"/>
  <c r="I8" i="17"/>
  <c r="BB92" i="3" l="1"/>
  <c r="AT92" i="3"/>
  <c r="I81" i="16"/>
  <c r="BB59" i="3"/>
  <c r="AP127" i="3"/>
  <c r="BB127" i="3" s="1"/>
  <c r="I84" i="16"/>
  <c r="I69" i="16"/>
  <c r="I86" i="16"/>
  <c r="I68" i="16"/>
  <c r="I62" i="16"/>
  <c r="I64" i="16"/>
  <c r="I65" i="16"/>
  <c r="I61" i="16"/>
  <c r="I64" i="17"/>
  <c r="I76" i="16"/>
  <c r="I73" i="16"/>
  <c r="I63" i="16"/>
  <c r="I77" i="16"/>
  <c r="I74" i="16"/>
  <c r="I79" i="16"/>
  <c r="I82" i="16"/>
  <c r="I75" i="16"/>
  <c r="I83" i="16"/>
  <c r="I67" i="16"/>
  <c r="I66" i="16"/>
  <c r="I70" i="16"/>
  <c r="I78" i="16"/>
  <c r="I88" i="16"/>
  <c r="I71" i="16"/>
  <c r="I80" i="16"/>
  <c r="I60" i="16"/>
  <c r="I72" i="16"/>
  <c r="I85" i="16"/>
  <c r="I87" i="16"/>
  <c r="I91" i="15"/>
  <c r="I53" i="16"/>
  <c r="AP131" i="3"/>
  <c r="AP224" i="3"/>
  <c r="AP157" i="3"/>
  <c r="AP51" i="3"/>
  <c r="AT59" i="3"/>
  <c r="AU59" i="3"/>
  <c r="AU165" i="3"/>
  <c r="AT165" i="3"/>
  <c r="I33" i="17"/>
  <c r="D24" i="19"/>
  <c r="F23" i="19"/>
  <c r="J7" i="17"/>
  <c r="AP272" i="3"/>
  <c r="L22" i="24"/>
  <c r="E56" i="17"/>
  <c r="AP275" i="3"/>
  <c r="E3" i="17"/>
  <c r="J59" i="17"/>
  <c r="I9" i="17"/>
  <c r="I65" i="17" l="1"/>
  <c r="I81" i="17"/>
  <c r="I82" i="17"/>
  <c r="I73" i="17"/>
  <c r="I78" i="17"/>
  <c r="I70" i="17"/>
  <c r="I85" i="17"/>
  <c r="I61" i="17"/>
  <c r="I77" i="17"/>
  <c r="I68" i="17"/>
  <c r="I67" i="17"/>
  <c r="I88" i="17"/>
  <c r="I72" i="17"/>
  <c r="I62" i="17"/>
  <c r="I69" i="17"/>
  <c r="I71" i="17"/>
  <c r="I63" i="17"/>
  <c r="I76" i="17"/>
  <c r="I83" i="17"/>
  <c r="I84" i="17"/>
  <c r="I74" i="17"/>
  <c r="I80" i="17"/>
  <c r="I79" i="17"/>
  <c r="I60" i="17"/>
  <c r="I66" i="17"/>
  <c r="I87" i="17"/>
  <c r="I75" i="17"/>
  <c r="I86" i="17"/>
  <c r="I91" i="16"/>
  <c r="I53" i="17"/>
  <c r="D25" i="19"/>
  <c r="F24" i="19"/>
  <c r="I91" i="17" l="1"/>
  <c r="F25" i="19"/>
  <c r="D26" i="19"/>
  <c r="D27" i="19" l="1"/>
  <c r="F26" i="19"/>
  <c r="F27" i="19" l="1"/>
  <c r="D28" i="19"/>
  <c r="D29" i="19" l="1"/>
  <c r="F28" i="19"/>
  <c r="F29" i="19" l="1"/>
  <c r="D30" i="19"/>
  <c r="D31" i="19" l="1"/>
  <c r="F30" i="19"/>
  <c r="F31" i="19" l="1"/>
  <c r="D32" i="19"/>
  <c r="D33" i="19" l="1"/>
  <c r="F32" i="19"/>
  <c r="F33" i="19" l="1"/>
  <c r="D34" i="19"/>
  <c r="D35" i="19" l="1"/>
  <c r="F34" i="19"/>
  <c r="F35" i="19" l="1"/>
  <c r="D36" i="19"/>
  <c r="D37" i="19" l="1"/>
  <c r="F36" i="19"/>
  <c r="F37" i="19" l="1"/>
  <c r="D38" i="19"/>
  <c r="F38" i="19" l="1"/>
  <c r="D39" i="19"/>
  <c r="F39" i="19" l="1"/>
  <c r="D40" i="19"/>
  <c r="F40" i="19" s="1"/>
  <c r="AJ132" i="3" l="1"/>
  <c r="AJ155" i="3" s="1"/>
  <c r="AJ225" i="3"/>
  <c r="AJ263" i="3" s="1"/>
  <c r="AJ158" i="3"/>
  <c r="AJ222" i="3" s="1"/>
  <c r="AJ52" i="3"/>
  <c r="X132" i="3"/>
  <c r="X155" i="3" s="1"/>
  <c r="X52" i="3"/>
  <c r="X158" i="3"/>
  <c r="X222" i="3" s="1"/>
  <c r="X225" i="3"/>
  <c r="X263" i="3" s="1"/>
  <c r="AM225" i="3"/>
  <c r="AM263" i="3" s="1"/>
  <c r="AM52" i="3"/>
  <c r="AM132" i="3"/>
  <c r="AM155" i="3" s="1"/>
  <c r="AM158" i="3"/>
  <c r="AM222" i="3" s="1"/>
  <c r="R158" i="3"/>
  <c r="R222" i="3" s="1"/>
  <c r="R52" i="3"/>
  <c r="R132" i="3"/>
  <c r="R155" i="3" s="1"/>
  <c r="R225" i="3"/>
  <c r="R263" i="3" s="1"/>
  <c r="AD132" i="3"/>
  <c r="AD155" i="3" s="1"/>
  <c r="AD225" i="3"/>
  <c r="AD263" i="3" s="1"/>
  <c r="AD52" i="3"/>
  <c r="AD158" i="3"/>
  <c r="AD222" i="3" s="1"/>
  <c r="U52" i="3"/>
  <c r="U225" i="3"/>
  <c r="U263" i="3" s="1"/>
  <c r="U158" i="3"/>
  <c r="U222" i="3" s="1"/>
  <c r="U132" i="3"/>
  <c r="U155" i="3" s="1"/>
  <c r="AG225" i="3"/>
  <c r="AG263" i="3" s="1"/>
  <c r="AG52" i="3"/>
  <c r="AG132" i="3"/>
  <c r="AG155" i="3" s="1"/>
  <c r="AG158" i="3"/>
  <c r="AG222" i="3" s="1"/>
  <c r="AP225" i="3"/>
  <c r="AP263" i="3" s="1"/>
  <c r="AP132" i="3"/>
  <c r="AP155" i="3" s="1"/>
  <c r="AP158" i="3"/>
  <c r="AP222" i="3" s="1"/>
  <c r="AP52" i="3"/>
  <c r="AA158" i="3"/>
  <c r="AA222" i="3" s="1"/>
  <c r="AA225" i="3"/>
  <c r="AA263" i="3" s="1"/>
  <c r="AA52" i="3"/>
  <c r="AA132" i="3"/>
  <c r="AA155" i="3" s="1"/>
  <c r="O52" i="3"/>
  <c r="O225" i="3"/>
  <c r="O263" i="3" s="1"/>
  <c r="O158" i="3"/>
  <c r="O222" i="3" s="1"/>
  <c r="O132" i="3"/>
  <c r="O155" i="3" s="1"/>
  <c r="AJ129" i="3" l="1"/>
  <c r="AJ38" i="3" s="1"/>
  <c r="AJ266" i="3"/>
  <c r="AJ267" i="3" s="1"/>
  <c r="X266" i="3"/>
  <c r="X267" i="3" s="1"/>
  <c r="X129" i="3"/>
  <c r="X38" i="3" s="1"/>
  <c r="AM266" i="3"/>
  <c r="AM267" i="3" s="1"/>
  <c r="AM129" i="3"/>
  <c r="AM38" i="3" s="1"/>
  <c r="R129" i="3"/>
  <c r="R38" i="3" s="1"/>
  <c r="R266" i="3"/>
  <c r="R267" i="3" s="1"/>
  <c r="AD266" i="3"/>
  <c r="AD267" i="3" s="1"/>
  <c r="AD129" i="3"/>
  <c r="AD38" i="3" s="1"/>
  <c r="U129" i="3"/>
  <c r="U38" i="3" s="1"/>
  <c r="U266" i="3"/>
  <c r="U267" i="3" s="1"/>
  <c r="AG129" i="3"/>
  <c r="AG38" i="3" s="1"/>
  <c r="AG266" i="3"/>
  <c r="AG267" i="3" s="1"/>
  <c r="AP129" i="3"/>
  <c r="AP38" i="3" s="1"/>
  <c r="AP266" i="3"/>
  <c r="AP267" i="3" s="1"/>
  <c r="AA129" i="3"/>
  <c r="AA38" i="3" s="1"/>
  <c r="AA266" i="3"/>
  <c r="AA267" i="3" s="1"/>
  <c r="O266" i="3"/>
  <c r="O267" i="3" s="1"/>
  <c r="O129" i="3"/>
  <c r="O38" i="3" s="1"/>
  <c r="L158" i="3" l="1"/>
  <c r="L222" i="3" s="1"/>
  <c r="L132" i="3"/>
  <c r="L155" i="3" s="1"/>
  <c r="L225" i="3"/>
  <c r="L263" i="3" s="1"/>
  <c r="L52" i="3"/>
  <c r="L129" i="3" l="1"/>
  <c r="L38" i="3" s="1"/>
  <c r="L266" i="3"/>
  <c r="L267" i="3" s="1"/>
  <c r="I132" i="3" l="1"/>
  <c r="I155" i="3" s="1"/>
  <c r="I158" i="3"/>
  <c r="I222" i="3" s="1"/>
  <c r="I225" i="3"/>
  <c r="I263" i="3" s="1"/>
  <c r="I52" i="3"/>
  <c r="I266" i="3" l="1"/>
  <c r="I129" i="3"/>
  <c r="I38" i="3" s="1"/>
  <c r="BB266" i="3" l="1"/>
  <c r="BB267" i="3" s="1"/>
  <c r="I5" i="3" s="1"/>
  <c r="AA5" i="3" s="1"/>
  <c r="I26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CS MEDIAS</author>
  </authors>
  <commentList>
    <comment ref="E53" authorId="0" shapeId="0" xr:uid="{00000000-0006-0000-0100-000001000000}">
      <text>
        <r>
          <rPr>
            <b/>
            <sz val="9"/>
            <color rgb="FF000000"/>
            <rFont val="Tahoma"/>
            <family val="2"/>
          </rPr>
          <t>Infos :</t>
        </r>
        <r>
          <rPr>
            <sz val="9"/>
            <color rgb="FF000000"/>
            <rFont val="Tahoma"/>
            <family val="2"/>
          </rPr>
          <t xml:space="preserve">
</t>
        </r>
        <r>
          <rPr>
            <sz val="9"/>
            <color rgb="FF000000"/>
            <rFont val="Tahoma"/>
            <family val="2"/>
          </rPr>
          <t>Vous ne pouvez pas modifier cette case.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CS MEDIAS</author>
    <author>Pasteur Christian</author>
    <author>iccbxldsi@outlook.be</author>
    <author>Stéphane PIZEUIL</author>
  </authors>
  <commentList>
    <comment ref="F2" authorId="0" shapeId="0" xr:uid="{00000000-0006-0000-0200-000001000000}">
      <text>
        <r>
          <rPr>
            <b/>
            <sz val="9"/>
            <color indexed="81"/>
            <rFont val="Tahoma"/>
            <family val="2"/>
          </rPr>
          <t>Budget Gold Planner :</t>
        </r>
        <r>
          <rPr>
            <sz val="9"/>
            <color indexed="81"/>
            <rFont val="Tahoma"/>
            <family val="2"/>
          </rPr>
          <t xml:space="preserve">
</t>
        </r>
        <r>
          <rPr>
            <b/>
            <sz val="9"/>
            <color indexed="81"/>
            <rFont val="Tahoma"/>
            <family val="2"/>
          </rPr>
          <t xml:space="preserve">Luc 14.28-30 </t>
        </r>
        <r>
          <rPr>
            <sz val="9"/>
            <color indexed="81"/>
            <rFont val="Tahoma"/>
            <family val="2"/>
          </rPr>
          <t xml:space="preserve">: </t>
        </r>
        <r>
          <rPr>
            <i/>
            <sz val="9"/>
            <color indexed="81"/>
            <rFont val="Tahoma"/>
            <family val="2"/>
          </rPr>
          <t>Car, lequel de vous, s'il veut bâtir une tour, ne s'assied d'abord pour calculer la dépense et voir s'il a de quoi la terminer, 29 de peur qu'après avoir posé les fondements, il ne puisse l'achever, et que tous ceux qui le verront ne se mettent à le railler, 30 en disant : Cet homme a commencé à bâtir, et il n'a pu achever ?</t>
        </r>
      </text>
    </comment>
    <comment ref="AT3" authorId="1" shapeId="0" xr:uid="{00000000-0006-0000-0200-000002000000}">
      <text>
        <r>
          <rPr>
            <b/>
            <sz val="9"/>
            <color indexed="81"/>
            <rFont val="Tahoma"/>
            <family val="2"/>
          </rPr>
          <t xml:space="preserve">Extra-Projection </t>
        </r>
        <r>
          <rPr>
            <sz val="9"/>
            <color indexed="81"/>
            <rFont val="Tahoma"/>
            <family val="2"/>
          </rPr>
          <t>vous permet de visualiser ce que pourraient être vos épargnes et provisions (si vous maintenez le même rythme d'épargne annuelle) à l'horizon 2 ans et 5 ans à partir de la date de début de votre planification.</t>
        </r>
      </text>
    </comment>
    <comment ref="E8" authorId="0" shapeId="0" xr:uid="{00000000-0006-0000-0200-000003000000}">
      <text>
        <r>
          <rPr>
            <b/>
            <sz val="9"/>
            <color rgb="FF000000"/>
            <rFont val="Tahoma"/>
            <family val="2"/>
          </rPr>
          <t>Budget Gold Planner :</t>
        </r>
        <r>
          <rPr>
            <sz val="9"/>
            <color rgb="FF000000"/>
            <rFont val="Tahoma"/>
            <family val="2"/>
          </rPr>
          <t xml:space="preserve">
</t>
        </r>
        <r>
          <rPr>
            <b/>
            <sz val="9"/>
            <color rgb="FF000000"/>
            <rFont val="Tahoma"/>
            <family val="2"/>
          </rPr>
          <t>Deutéronome 8.17-18</t>
        </r>
        <r>
          <rPr>
            <sz val="9"/>
            <color rgb="FF000000"/>
            <rFont val="Tahoma"/>
            <family val="2"/>
          </rPr>
          <t xml:space="preserve"> : </t>
        </r>
        <r>
          <rPr>
            <i/>
            <sz val="9"/>
            <color rgb="FF000000"/>
            <rFont val="Tahoma"/>
            <family val="2"/>
          </rPr>
          <t>17. Garde-toi de dire en ton coeur : Ma force et la puissance de ma main m'ont acquis ces richesses. 18.Souviens-toi de l'Eternel, ton Dieu, car c'est lui qui te donnera de la force pour les acquérir, afin de confirmer, comme il le fait aujourd'hui, son alliance qu'il a jurée à tes père</t>
        </r>
        <r>
          <rPr>
            <sz val="9"/>
            <color rgb="FF000000"/>
            <rFont val="Tahoma"/>
            <family val="2"/>
          </rPr>
          <t>s.</t>
        </r>
      </text>
    </comment>
    <comment ref="E9" authorId="0" shapeId="0" xr:uid="{00000000-0006-0000-0200-000004000000}">
      <text>
        <r>
          <rPr>
            <b/>
            <sz val="9"/>
            <color indexed="81"/>
            <rFont val="Tahoma"/>
            <family val="2"/>
          </rPr>
          <t>Budget Gold Planner :</t>
        </r>
        <r>
          <rPr>
            <sz val="9"/>
            <color indexed="81"/>
            <rFont val="Tahoma"/>
            <family val="2"/>
          </rPr>
          <t xml:space="preserve">
</t>
        </r>
        <r>
          <rPr>
            <b/>
            <sz val="9"/>
            <color indexed="81"/>
            <rFont val="Tahoma"/>
            <family val="2"/>
          </rPr>
          <t>Proverbes 3.9-10</t>
        </r>
        <r>
          <rPr>
            <sz val="9"/>
            <color indexed="81"/>
            <rFont val="Tahoma"/>
            <family val="2"/>
          </rPr>
          <t xml:space="preserve"> : </t>
        </r>
        <r>
          <rPr>
            <i/>
            <sz val="9"/>
            <color indexed="81"/>
            <rFont val="Tahoma"/>
            <family val="2"/>
          </rPr>
          <t>9. Honore l'Eternel avec tes biens, Et avec les prémices de tout ton revenu : 10. Alors tes greniers seront remplis d'abondance, Et tes cuves regorgeront de moût.</t>
        </r>
        <r>
          <rPr>
            <sz val="9"/>
            <color indexed="81"/>
            <rFont val="Tahoma"/>
            <family val="2"/>
          </rPr>
          <t xml:space="preserve">
</t>
        </r>
        <r>
          <rPr>
            <b/>
            <sz val="9"/>
            <color indexed="81"/>
            <rFont val="Tahoma"/>
            <family val="2"/>
          </rPr>
          <t>Malachie 3.10-12</t>
        </r>
        <r>
          <rPr>
            <sz val="9"/>
            <color indexed="81"/>
            <rFont val="Tahoma"/>
            <family val="2"/>
          </rPr>
          <t xml:space="preserve"> : </t>
        </r>
        <r>
          <rPr>
            <i/>
            <sz val="9"/>
            <color indexed="81"/>
            <rFont val="Tahoma"/>
            <family val="2"/>
          </rPr>
          <t>10. Apportez à la maison du trésor toutes les dîmes, Afin qu'il y ait de la nourriture dans ma maison; Mettez-moi de la sorte à l'épreuve, Dit l'Eternel des armées. Et vous verrez si je n'ouvre pas pour vous les écluses des cieux, Si je ne répands pas sur vous la bénédiction en abondance. 11. Pour vous je menacerai celui qui dévore, Et il ne vous détruira Pas les fruits de la terre, Et la vigne ne sera pas stérile dans vos campagnes, Dit l'Eternel des armées. 12. Toutes les nations vous diront heureux, Car vous serez un pays de délices, Dit l'Eternel des armées.</t>
        </r>
      </text>
    </comment>
    <comment ref="G32" authorId="2" shapeId="0" xr:uid="{00000000-0006-0000-0200-000005000000}">
      <text>
        <r>
          <rPr>
            <b/>
            <sz val="9"/>
            <color rgb="FF000000"/>
            <rFont val="Tahoma"/>
            <family val="2"/>
          </rPr>
          <t>Budget Gold Planner :</t>
        </r>
        <r>
          <rPr>
            <sz val="9"/>
            <color rgb="FF000000"/>
            <rFont val="Tahoma"/>
            <family val="2"/>
          </rPr>
          <t xml:space="preserve">
</t>
        </r>
        <r>
          <rPr>
            <sz val="9"/>
            <color rgb="FF000000"/>
            <rFont val="Tahoma"/>
            <family val="2"/>
          </rPr>
          <t>C'est ici qu'il faut reporter les montants inscrits dans les lignes :</t>
        </r>
        <r>
          <rPr>
            <b/>
            <i/>
            <sz val="9"/>
            <color rgb="FF000000"/>
            <rFont val="Tahoma"/>
            <family val="2"/>
          </rPr>
          <t>"Les retraits du mois"</t>
        </r>
        <r>
          <rPr>
            <sz val="9"/>
            <color rgb="FF000000"/>
            <rFont val="Tahoma"/>
            <family val="2"/>
          </rPr>
          <t>, lorsque les sommes retirées sont mises à disposition du budget général pour être réaffectées ?</t>
        </r>
      </text>
    </comment>
    <comment ref="F51" authorId="0" shapeId="0" xr:uid="{00000000-0006-0000-0200-000006000000}">
      <text>
        <r>
          <rPr>
            <b/>
            <sz val="9"/>
            <color rgb="FF000000"/>
            <rFont val="Tahoma"/>
            <family val="2"/>
          </rPr>
          <t>Budget Gold Planner :</t>
        </r>
        <r>
          <rPr>
            <sz val="9"/>
            <color rgb="FF000000"/>
            <rFont val="Tahoma"/>
            <family val="2"/>
          </rPr>
          <t xml:space="preserve">
</t>
        </r>
        <r>
          <rPr>
            <sz val="9"/>
            <color rgb="FF000000"/>
            <rFont val="Tahoma"/>
            <family val="2"/>
          </rPr>
          <t xml:space="preserve">
</t>
        </r>
        <r>
          <rPr>
            <u/>
            <sz val="9"/>
            <color rgb="FF000000"/>
            <rFont val="Tahoma"/>
            <family val="2"/>
          </rPr>
          <t>EPARGNE :</t>
        </r>
        <r>
          <rPr>
            <sz val="9"/>
            <color rgb="FF000000"/>
            <rFont val="Tahoma"/>
            <family val="2"/>
          </rPr>
          <t xml:space="preserve">
</t>
        </r>
        <r>
          <rPr>
            <b/>
            <sz val="9"/>
            <color rgb="FF000000"/>
            <rFont val="Tahoma"/>
            <family val="2"/>
          </rPr>
          <t>Proverbes 13.11</t>
        </r>
        <r>
          <rPr>
            <sz val="9"/>
            <color rgb="FF000000"/>
            <rFont val="Tahoma"/>
            <family val="2"/>
          </rPr>
          <t xml:space="preserve"> : </t>
        </r>
        <r>
          <rPr>
            <i/>
            <sz val="9"/>
            <color rgb="FF000000"/>
            <rFont val="Tahoma"/>
            <family val="2"/>
          </rPr>
          <t>La richesse mal acquise diminue, Mais celui qui amasse peu à peu l'augmente.</t>
        </r>
        <r>
          <rPr>
            <sz val="9"/>
            <color rgb="FF000000"/>
            <rFont val="Tahoma"/>
            <family val="2"/>
          </rPr>
          <t xml:space="preserve">
</t>
        </r>
        <r>
          <rPr>
            <sz val="9"/>
            <color rgb="FF000000"/>
            <rFont val="Tahoma"/>
            <family val="2"/>
          </rPr>
          <t xml:space="preserve">
</t>
        </r>
        <r>
          <rPr>
            <b/>
            <sz val="9"/>
            <color rgb="FF000000"/>
            <rFont val="Tahoma"/>
            <family val="2"/>
          </rPr>
          <t>Proverbes 6.6-8</t>
        </r>
        <r>
          <rPr>
            <sz val="9"/>
            <color rgb="FF000000"/>
            <rFont val="Tahoma"/>
            <family val="2"/>
          </rPr>
          <t xml:space="preserve"> : </t>
        </r>
        <r>
          <rPr>
            <i/>
            <sz val="9"/>
            <color rgb="FF000000"/>
            <rFont val="Tahoma"/>
            <family val="2"/>
          </rPr>
          <t xml:space="preserve">6. Va vers la fourmi, paresseux; Considère ses voies, et deviens sage. 7. Elle n'a ni chef, Ni inspecteur, ni maître; 8. Elle prépare en été sa nourriture, Elle amasse Pendant la moisson de quoi manger.
</t>
        </r>
        <r>
          <rPr>
            <u/>
            <sz val="9"/>
            <color rgb="FF000000"/>
            <rFont val="Tahoma"/>
            <family val="2"/>
          </rPr>
          <t xml:space="preserve">
</t>
        </r>
        <r>
          <rPr>
            <u/>
            <sz val="9"/>
            <color rgb="FF000000"/>
            <rFont val="Tahoma"/>
            <family val="2"/>
          </rPr>
          <t>INVESTISSEMENTS :</t>
        </r>
        <r>
          <rPr>
            <sz val="9"/>
            <color rgb="FF000000"/>
            <rFont val="Tahoma"/>
            <family val="2"/>
          </rPr>
          <t xml:space="preserve">
</t>
        </r>
        <r>
          <rPr>
            <b/>
            <sz val="9"/>
            <color rgb="FF000000"/>
            <rFont val="Tahoma"/>
            <family val="2"/>
          </rPr>
          <t>Ecclésiaste 11.1-2 (BFC)</t>
        </r>
        <r>
          <rPr>
            <sz val="9"/>
            <color rgb="FF000000"/>
            <rFont val="Tahoma"/>
            <family val="2"/>
          </rPr>
          <t xml:space="preserve"> : </t>
        </r>
        <r>
          <rPr>
            <i/>
            <sz val="9"/>
            <color rgb="FF000000"/>
            <rFont val="Tahoma"/>
            <family val="2"/>
          </rPr>
          <t>Engage-toi dans une affaire, même en courant des risques, un jour tu peux y retrouver ton compte. Bien plus, investis ton argent dans plusieurs affaires, car tu ne sais jamais quel malheur peut arriver sur la terre.</t>
        </r>
        <r>
          <rPr>
            <sz val="9"/>
            <color rgb="FF000000"/>
            <rFont val="Tahoma"/>
            <family val="2"/>
          </rPr>
          <t xml:space="preserve">
</t>
        </r>
        <r>
          <rPr>
            <sz val="9"/>
            <color rgb="FF000000"/>
            <rFont val="Tahoma"/>
            <family val="2"/>
          </rPr>
          <t xml:space="preserve">
</t>
        </r>
        <r>
          <rPr>
            <u/>
            <sz val="9"/>
            <color rgb="FF000000"/>
            <rFont val="Tahoma"/>
            <family val="2"/>
          </rPr>
          <t>ATIFS :</t>
        </r>
        <r>
          <rPr>
            <b/>
            <sz val="9"/>
            <color rgb="FF000000"/>
            <rFont val="Tahoma"/>
            <family val="2"/>
          </rPr>
          <t xml:space="preserve">
</t>
        </r>
        <r>
          <rPr>
            <b/>
            <sz val="9"/>
            <color rgb="FF000000"/>
            <rFont val="Tahoma"/>
            <family val="2"/>
          </rPr>
          <t>Psaumes 127.2</t>
        </r>
        <r>
          <rPr>
            <sz val="9"/>
            <color rgb="FF000000"/>
            <rFont val="Tahoma"/>
            <family val="2"/>
          </rPr>
          <t xml:space="preserve"> : </t>
        </r>
        <r>
          <rPr>
            <i/>
            <sz val="9"/>
            <color rgb="FF000000"/>
            <rFont val="Tahoma"/>
            <family val="2"/>
          </rPr>
          <t xml:space="preserve">En vain vous levez-vous matin, vous couchez-vous tard, Et mangez-vous le pain de douleur; Il en donne autant à ses bien-aimés pendant leur sommeil.
</t>
        </r>
        <r>
          <rPr>
            <i/>
            <sz val="9"/>
            <color rgb="FF000000"/>
            <rFont val="Tahoma"/>
            <family val="2"/>
          </rPr>
          <t xml:space="preserve">
</t>
        </r>
        <r>
          <rPr>
            <u/>
            <sz val="9"/>
            <color rgb="FF000000"/>
            <rFont val="Tahoma"/>
            <family val="2"/>
          </rPr>
          <t>FORMATIONS :</t>
        </r>
        <r>
          <rPr>
            <i/>
            <sz val="9"/>
            <color rgb="FF000000"/>
            <rFont val="Tahoma"/>
            <family val="2"/>
          </rPr>
          <t xml:space="preserve">
</t>
        </r>
        <r>
          <rPr>
            <b/>
            <sz val="9"/>
            <color rgb="FF000000"/>
            <rFont val="Tahoma"/>
            <family val="2"/>
          </rPr>
          <t xml:space="preserve">Prverbes 16.16 </t>
        </r>
        <r>
          <rPr>
            <i/>
            <sz val="9"/>
            <color rgb="FF000000"/>
            <rFont val="Tahoma"/>
            <family val="2"/>
          </rPr>
          <t>: Combien acquérir la sagesse vaut mieux que l'or ! Combien acquérir l'intelligence est préférable à l'argent !</t>
        </r>
      </text>
    </comment>
    <comment ref="F131" authorId="0" shapeId="0" xr:uid="{00000000-0006-0000-0200-000007000000}">
      <text>
        <r>
          <rPr>
            <b/>
            <sz val="9"/>
            <color indexed="81"/>
            <rFont val="Tahoma"/>
            <family val="2"/>
          </rPr>
          <t>Budget Gold Planner :</t>
        </r>
        <r>
          <rPr>
            <sz val="9"/>
            <color indexed="81"/>
            <rFont val="Tahoma"/>
            <family val="2"/>
          </rPr>
          <t xml:space="preserve">
</t>
        </r>
        <r>
          <rPr>
            <b/>
            <sz val="9"/>
            <color indexed="81"/>
            <rFont val="Tahoma"/>
            <family val="2"/>
          </rPr>
          <t xml:space="preserve">Proverbes 22.7 : </t>
        </r>
        <r>
          <rPr>
            <i/>
            <sz val="9"/>
            <color indexed="81"/>
            <rFont val="Tahoma"/>
            <family val="2"/>
          </rPr>
          <t xml:space="preserve">Le riche domine sur les pauvres, Et celui qui emprunte est l'esclave de celui qui prête.
</t>
        </r>
        <r>
          <rPr>
            <b/>
            <sz val="9"/>
            <color indexed="81"/>
            <rFont val="Tahoma"/>
            <family val="2"/>
          </rPr>
          <t>Proverbes 6.2-5 :</t>
        </r>
        <r>
          <rPr>
            <i/>
            <sz val="9"/>
            <color indexed="81"/>
            <rFont val="Tahoma"/>
            <family val="2"/>
          </rPr>
          <t xml:space="preserve"> 2 Si tu es enlacé par les paroles de ta bouche, Si tu es pris par les paroles de ta bouche, 3 Fais donc ceci, mon fils, dégage-toi, Puisque tu es tombé au pouvoir de ton prochain; Va, prosterne-toi, et fais des instances auprès de lui; 4 Ne donne ni sommeil à tes yeux, Ni assoupissement à tes paupières; 5 Dégage-toi comme la gazelle de la main du chasseur, Comme l'oiseau de la main de l'oiseleur.</t>
        </r>
      </text>
    </comment>
    <comment ref="F157" authorId="0" shapeId="0" xr:uid="{00000000-0006-0000-0200-000008000000}">
      <text>
        <r>
          <rPr>
            <b/>
            <sz val="9"/>
            <color indexed="81"/>
            <rFont val="Tahoma"/>
            <family val="2"/>
          </rPr>
          <t>Budget Gold Planner :</t>
        </r>
        <r>
          <rPr>
            <sz val="9"/>
            <color indexed="81"/>
            <rFont val="Tahoma"/>
            <family val="2"/>
          </rPr>
          <t xml:space="preserve">
</t>
        </r>
        <r>
          <rPr>
            <b/>
            <sz val="9"/>
            <color indexed="81"/>
            <rFont val="Tahoma"/>
            <family val="2"/>
          </rPr>
          <t>2 Corinthiens 9.8</t>
        </r>
        <r>
          <rPr>
            <sz val="9"/>
            <color indexed="81"/>
            <rFont val="Tahoma"/>
            <family val="2"/>
          </rPr>
          <t xml:space="preserve"> : </t>
        </r>
        <r>
          <rPr>
            <i/>
            <sz val="9"/>
            <color indexed="81"/>
            <rFont val="Tahoma"/>
            <family val="2"/>
          </rPr>
          <t>Et Dieu peut vous combler de toutes sortes de grâces, afin que, possédant toujours en toutes choses</t>
        </r>
        <r>
          <rPr>
            <b/>
            <i/>
            <sz val="9"/>
            <color indexed="81"/>
            <rFont val="Tahoma"/>
            <family val="2"/>
          </rPr>
          <t xml:space="preserve"> de quoi satisfaire à tous vos besoins,</t>
        </r>
        <r>
          <rPr>
            <i/>
            <sz val="9"/>
            <color indexed="81"/>
            <rFont val="Tahoma"/>
            <family val="2"/>
          </rPr>
          <t xml:space="preserve"> vous ayez encore en abondance pour toute bonne oeuvre, </t>
        </r>
      </text>
    </comment>
    <comment ref="E184" authorId="3" shapeId="0" xr:uid="{D7458D5D-7E08-344A-BD10-EBA5D22738DC}">
      <text>
        <r>
          <rPr>
            <b/>
            <sz val="10"/>
            <color rgb="FF000000"/>
            <rFont val="Tahoma"/>
            <family val="2"/>
          </rPr>
          <t>Stéphane PIZEUIL:à dans 2ans</t>
        </r>
        <r>
          <rPr>
            <sz val="10"/>
            <color rgb="FF000000"/>
            <rFont val="Tahoma"/>
            <family val="2"/>
          </rPr>
          <t xml:space="preserve">
</t>
        </r>
      </text>
    </comment>
    <comment ref="F224" authorId="0" shapeId="0" xr:uid="{00000000-0006-0000-0200-000009000000}">
      <text>
        <r>
          <rPr>
            <b/>
            <sz val="9"/>
            <color indexed="81"/>
            <rFont val="Tahoma"/>
            <family val="2"/>
          </rPr>
          <t>Budget Gold Planner :</t>
        </r>
        <r>
          <rPr>
            <sz val="9"/>
            <color indexed="81"/>
            <rFont val="Tahoma"/>
            <family val="2"/>
          </rPr>
          <t xml:space="preserve">
</t>
        </r>
        <r>
          <rPr>
            <b/>
            <sz val="9"/>
            <color indexed="81"/>
            <rFont val="Tahoma"/>
            <family val="2"/>
          </rPr>
          <t>2 Corinthiens 9.8</t>
        </r>
        <r>
          <rPr>
            <sz val="9"/>
            <color indexed="81"/>
            <rFont val="Tahoma"/>
            <family val="2"/>
          </rPr>
          <t xml:space="preserve"> : </t>
        </r>
        <r>
          <rPr>
            <i/>
            <sz val="9"/>
            <color indexed="81"/>
            <rFont val="Tahoma"/>
            <family val="2"/>
          </rPr>
          <t xml:space="preserve">Et Dieu peut vous combler de toutes sortes de grâces, afin que, possédant toujours en toutes choses </t>
        </r>
        <r>
          <rPr>
            <b/>
            <i/>
            <sz val="9"/>
            <color indexed="81"/>
            <rFont val="Tahoma"/>
            <family val="2"/>
          </rPr>
          <t>de quoi satisfaire à tous vos besoins</t>
        </r>
        <r>
          <rPr>
            <i/>
            <sz val="9"/>
            <color indexed="81"/>
            <rFont val="Tahoma"/>
            <family val="2"/>
          </rPr>
          <t>, vous ayez encore en abondance pour toute bonne oeuvre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Pasteur Christian</author>
  </authors>
  <commentList>
    <comment ref="E14" authorId="0" shapeId="0" xr:uid="{00000000-0006-0000-0400-000001000000}">
      <text>
        <r>
          <rPr>
            <b/>
            <sz val="9"/>
            <color indexed="81"/>
            <rFont val="Tahoma"/>
            <family val="2"/>
          </rPr>
          <t>Format de la date :</t>
        </r>
        <r>
          <rPr>
            <sz val="9"/>
            <color indexed="81"/>
            <rFont val="Tahoma"/>
            <family val="2"/>
          </rPr>
          <t xml:space="preserve">
jj/mm/aaaa
exemple :
12/07/2019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Pasteur Christian</author>
  </authors>
  <commentList>
    <comment ref="G6" authorId="0" shapeId="0" xr:uid="{00000000-0006-0000-0500-000001000000}">
      <text>
        <r>
          <rPr>
            <b/>
            <sz val="9"/>
            <color indexed="81"/>
            <rFont val="Tahoma"/>
            <family val="2"/>
          </rPr>
          <t>Remarque :</t>
        </r>
        <r>
          <rPr>
            <sz val="9"/>
            <color indexed="81"/>
            <rFont val="Tahoma"/>
            <family val="2"/>
          </rPr>
          <t xml:space="preserve">
Si aucun devis n'est sélectionné, c'est le budget des prix courants qui est pris en compte.</t>
        </r>
      </text>
    </comment>
    <comment ref="T6" authorId="0" shapeId="0" xr:uid="{00000000-0006-0000-0500-000002000000}">
      <text>
        <r>
          <rPr>
            <b/>
            <sz val="9"/>
            <color indexed="81"/>
            <rFont val="Tahoma"/>
            <family val="2"/>
          </rPr>
          <t>Info :</t>
        </r>
        <r>
          <rPr>
            <sz val="9"/>
            <color indexed="81"/>
            <rFont val="Tahoma"/>
            <family val="2"/>
          </rPr>
          <t xml:space="preserve">
Les priorités combinées conservent uniquement les priorité 1 de chaque fiancé ainsi que les priorités 2 lorsqu'elles sont communes.</t>
        </r>
      </text>
    </comment>
    <comment ref="J9" authorId="0" shapeId="0" xr:uid="{00000000-0006-0000-0500-000003000000}">
      <text>
        <r>
          <rPr>
            <b/>
            <sz val="9"/>
            <color indexed="81"/>
            <rFont val="Tahoma"/>
            <family val="2"/>
          </rPr>
          <t>Détail :</t>
        </r>
        <r>
          <rPr>
            <sz val="9"/>
            <color indexed="81"/>
            <rFont val="Tahoma"/>
            <family val="2"/>
          </rPr>
          <t xml:space="preserve">
Ne pas hésiter à utiliser les commentaires, en faisant : Clic droit, ajouter un commentaire.</t>
        </r>
      </text>
    </comment>
    <comment ref="K9" authorId="0" shapeId="0" xr:uid="{00000000-0006-0000-0500-000004000000}">
      <text>
        <r>
          <rPr>
            <b/>
            <sz val="9"/>
            <color indexed="81"/>
            <rFont val="Tahoma"/>
            <family val="2"/>
          </rPr>
          <t>Lien web :</t>
        </r>
        <r>
          <rPr>
            <sz val="9"/>
            <color indexed="81"/>
            <rFont val="Tahoma"/>
            <family val="2"/>
          </rPr>
          <t xml:space="preserve">
Vous pouvez insérer le lien web de votre devis en cliquant droit puis modifier le lien hypertexte, vous copiez ensuite l'URL de la page web en bas dans l'emplacement prévu à cet effet.</t>
        </r>
      </text>
    </comment>
    <comment ref="L9" authorId="0" shapeId="0" xr:uid="{00000000-0006-0000-0500-000005000000}">
      <text>
        <r>
          <rPr>
            <b/>
            <sz val="9"/>
            <color indexed="81"/>
            <rFont val="Tahoma"/>
            <family val="2"/>
          </rPr>
          <t>Détail :</t>
        </r>
        <r>
          <rPr>
            <sz val="9"/>
            <color indexed="81"/>
            <rFont val="Tahoma"/>
            <family val="2"/>
          </rPr>
          <t xml:space="preserve">
Ne pas hésiter à utiliser les commentaires, en faisant : Clic droit, ajouter un commentaire.</t>
        </r>
      </text>
    </comment>
    <comment ref="M9" authorId="0" shapeId="0" xr:uid="{00000000-0006-0000-0500-000006000000}">
      <text>
        <r>
          <rPr>
            <b/>
            <sz val="9"/>
            <color indexed="81"/>
            <rFont val="Tahoma"/>
            <family val="2"/>
          </rPr>
          <t>Lien web :</t>
        </r>
        <r>
          <rPr>
            <sz val="9"/>
            <color indexed="81"/>
            <rFont val="Tahoma"/>
            <family val="2"/>
          </rPr>
          <t xml:space="preserve">
Vous pouvez insérer le lien web de votre devis en cliquant droit puis modifier le lien hypertexte, vous copiez ensuite l'URL de la page web en bas dans l'emplacement prévu à cet effet.</t>
        </r>
      </text>
    </comment>
    <comment ref="N9" authorId="0" shapeId="0" xr:uid="{00000000-0006-0000-0500-000007000000}">
      <text>
        <r>
          <rPr>
            <b/>
            <sz val="9"/>
            <color indexed="81"/>
            <rFont val="Tahoma"/>
            <family val="2"/>
          </rPr>
          <t>Détail :</t>
        </r>
        <r>
          <rPr>
            <sz val="9"/>
            <color indexed="81"/>
            <rFont val="Tahoma"/>
            <family val="2"/>
          </rPr>
          <t xml:space="preserve">
Ne pas hésiter à utiliser les commentaires, en faisant : Clic droit, ajouter un commentaire.</t>
        </r>
      </text>
    </comment>
    <comment ref="O9" authorId="0" shapeId="0" xr:uid="{00000000-0006-0000-0500-000008000000}">
      <text>
        <r>
          <rPr>
            <b/>
            <sz val="9"/>
            <color indexed="81"/>
            <rFont val="Tahoma"/>
            <family val="2"/>
          </rPr>
          <t>Lien web :</t>
        </r>
        <r>
          <rPr>
            <sz val="9"/>
            <color indexed="81"/>
            <rFont val="Tahoma"/>
            <family val="2"/>
          </rPr>
          <t xml:space="preserve">
Vous pouvez insérer le lien web de votre devis en cliquant droit puis modifier le lien hypertexte, vous copiez ensuite l'URL de la page web en bas dans l'emplacement prévu à cet effet.</t>
        </r>
      </text>
    </comment>
    <comment ref="G74" authorId="0" shapeId="0" xr:uid="{00000000-0006-0000-0500-000009000000}">
      <text>
        <r>
          <rPr>
            <b/>
            <sz val="9"/>
            <color indexed="81"/>
            <rFont val="Tahoma"/>
            <family val="2"/>
          </rPr>
          <t>Remarque :</t>
        </r>
        <r>
          <rPr>
            <sz val="9"/>
            <color indexed="81"/>
            <rFont val="Tahoma"/>
            <family val="2"/>
          </rPr>
          <t xml:space="preserve">
Si aucun devis n'est sélectionné, c'est le budget des prix courants qui est pris en compte.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EMC</author>
  </authors>
  <commentList>
    <comment ref="B7" authorId="0" shapeId="0" xr:uid="{00000000-0006-0000-0600-000001000000}">
      <text>
        <r>
          <rPr>
            <b/>
            <sz val="8"/>
            <color indexed="81"/>
            <rFont val="Tahoma"/>
            <family val="2"/>
          </rPr>
          <t>Epargne mensuelle :</t>
        </r>
        <r>
          <rPr>
            <sz val="8"/>
            <color indexed="81"/>
            <rFont val="Tahoma"/>
            <family val="2"/>
          </rPr>
          <t xml:space="preserve">
Quelle est (en euros - €) le montant mensuelle de votre épargne ?</t>
        </r>
      </text>
    </comment>
    <comment ref="D7" authorId="0" shapeId="0" xr:uid="{00000000-0006-0000-0600-000002000000}">
      <text>
        <r>
          <rPr>
            <b/>
            <sz val="8"/>
            <color indexed="81"/>
            <rFont val="Tahoma"/>
            <family val="2"/>
          </rPr>
          <t>Taux moyen :</t>
        </r>
        <r>
          <rPr>
            <sz val="8"/>
            <color indexed="81"/>
            <rFont val="Tahoma"/>
            <family val="2"/>
          </rPr>
          <t xml:space="preserve">
Entrez ici le taux des intérêts composés. (ex: 7,5)</t>
        </r>
      </text>
    </comment>
    <comment ref="E7" authorId="0" shapeId="0" xr:uid="{00000000-0006-0000-0600-000003000000}">
      <text>
        <r>
          <rPr>
            <b/>
            <sz val="8"/>
            <color indexed="81"/>
            <rFont val="Tahoma"/>
            <family val="2"/>
          </rPr>
          <t>Apport initial :</t>
        </r>
        <r>
          <rPr>
            <sz val="8"/>
            <color indexed="81"/>
            <rFont val="Tahoma"/>
            <family val="2"/>
          </rPr>
          <t xml:space="preserve">
Entrez ici le montant de votre apport initial. (en euros)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Pasteur Christian</author>
  </authors>
  <commentList>
    <comment ref="C47" authorId="0" shapeId="0" xr:uid="{00000000-0006-0000-0700-000001000000}">
      <text>
        <r>
          <rPr>
            <b/>
            <sz val="9"/>
            <color indexed="81"/>
            <rFont val="Tahoma"/>
            <family val="2"/>
          </rPr>
          <t>Info :</t>
        </r>
        <r>
          <rPr>
            <sz val="9"/>
            <color indexed="81"/>
            <rFont val="Tahoma"/>
            <family val="2"/>
          </rPr>
          <t xml:space="preserve">
Contact du ou des locataire(s) qui occupe(nt) votre bien.</t>
        </r>
      </text>
    </comment>
    <comment ref="C54" authorId="0" shapeId="0" xr:uid="{00000000-0006-0000-0700-000002000000}">
      <text>
        <r>
          <rPr>
            <b/>
            <sz val="9"/>
            <color indexed="81"/>
            <rFont val="Tahoma"/>
            <family val="2"/>
          </rPr>
          <t>Info :</t>
        </r>
        <r>
          <rPr>
            <sz val="9"/>
            <color indexed="81"/>
            <rFont val="Tahoma"/>
            <family val="2"/>
          </rPr>
          <t xml:space="preserve">
Coordonnées de la société d'assurance chez qui vous avez fait assurer votre bien.</t>
        </r>
      </text>
    </comment>
    <comment ref="C62" authorId="0" shapeId="0" xr:uid="{00000000-0006-0000-0700-000003000000}">
      <text>
        <r>
          <rPr>
            <b/>
            <sz val="9"/>
            <color indexed="81"/>
            <rFont val="Tahoma"/>
            <family val="2"/>
          </rPr>
          <t>Info :</t>
        </r>
        <r>
          <rPr>
            <sz val="9"/>
            <color indexed="81"/>
            <rFont val="Tahoma"/>
            <family val="2"/>
          </rPr>
          <t xml:space="preserve">
Contact de l'établissement éventuel chez lequel vous avez confié la gestion du bien.</t>
        </r>
      </text>
    </comment>
    <comment ref="C70" authorId="0" shapeId="0" xr:uid="{00000000-0006-0000-0700-000004000000}">
      <text>
        <r>
          <rPr>
            <b/>
            <sz val="9"/>
            <color indexed="81"/>
            <rFont val="Tahoma"/>
            <family val="2"/>
          </rPr>
          <t>Info :</t>
        </r>
        <r>
          <rPr>
            <sz val="9"/>
            <color indexed="81"/>
            <rFont val="Tahoma"/>
            <family val="2"/>
          </rPr>
          <t xml:space="preserve">
Coordonnées et contact de la banque chez laquelle vous avez contracté le prêt immobilier pour ce bien.</t>
        </r>
      </text>
    </comment>
    <comment ref="C78" authorId="0" shapeId="0" xr:uid="{00000000-0006-0000-0700-000005000000}">
      <text>
        <r>
          <rPr>
            <b/>
            <sz val="9"/>
            <color indexed="81"/>
            <rFont val="Tahoma"/>
            <family val="2"/>
          </rPr>
          <t>Info :</t>
        </r>
        <r>
          <rPr>
            <sz val="9"/>
            <color indexed="81"/>
            <rFont val="Tahoma"/>
            <family val="2"/>
          </rPr>
          <t xml:space="preserve">
Coordonnées d'un contact (entrepreneur ou bricoleur) qui peut réaliser des travaux dans le bien.</t>
        </r>
      </text>
    </comment>
    <comment ref="C86" authorId="0" shapeId="0" xr:uid="{00000000-0006-0000-0700-000006000000}">
      <text>
        <r>
          <rPr>
            <b/>
            <sz val="9"/>
            <color indexed="81"/>
            <rFont val="Tahoma"/>
            <family val="2"/>
          </rPr>
          <t>Info :</t>
        </r>
        <r>
          <rPr>
            <sz val="9"/>
            <color indexed="81"/>
            <rFont val="Tahoma"/>
            <family val="2"/>
          </rPr>
          <t xml:space="preserve">
Coordonnées du notaire par lequel vous avez acquis le bien.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Pasteur Christian</author>
  </authors>
  <commentList>
    <comment ref="C47" authorId="0" shapeId="0" xr:uid="{00000000-0006-0000-0800-000001000000}">
      <text>
        <r>
          <rPr>
            <b/>
            <sz val="9"/>
            <color indexed="81"/>
            <rFont val="Tahoma"/>
            <family val="2"/>
          </rPr>
          <t>Info :</t>
        </r>
        <r>
          <rPr>
            <sz val="9"/>
            <color indexed="81"/>
            <rFont val="Tahoma"/>
            <family val="2"/>
          </rPr>
          <t xml:space="preserve">
Contact du ou des locataire(s) qui occupe(nt) votre bien.</t>
        </r>
      </text>
    </comment>
    <comment ref="C54" authorId="0" shapeId="0" xr:uid="{00000000-0006-0000-0800-000002000000}">
      <text>
        <r>
          <rPr>
            <b/>
            <sz val="9"/>
            <color indexed="81"/>
            <rFont val="Tahoma"/>
            <family val="2"/>
          </rPr>
          <t>Info :</t>
        </r>
        <r>
          <rPr>
            <sz val="9"/>
            <color indexed="81"/>
            <rFont val="Tahoma"/>
            <family val="2"/>
          </rPr>
          <t xml:space="preserve">
Coordonnées de la société d'assurance chez qui vous avez fait assurer votre bien.</t>
        </r>
      </text>
    </comment>
    <comment ref="C62" authorId="0" shapeId="0" xr:uid="{00000000-0006-0000-0800-000003000000}">
      <text>
        <r>
          <rPr>
            <b/>
            <sz val="9"/>
            <color indexed="81"/>
            <rFont val="Tahoma"/>
            <family val="2"/>
          </rPr>
          <t>Info :</t>
        </r>
        <r>
          <rPr>
            <sz val="9"/>
            <color indexed="81"/>
            <rFont val="Tahoma"/>
            <family val="2"/>
          </rPr>
          <t xml:space="preserve">
Contact de l'établissement éventuel chez lequel vous avez confié la gestion du bien.</t>
        </r>
      </text>
    </comment>
    <comment ref="C70" authorId="0" shapeId="0" xr:uid="{00000000-0006-0000-0800-000004000000}">
      <text>
        <r>
          <rPr>
            <b/>
            <sz val="9"/>
            <color indexed="81"/>
            <rFont val="Tahoma"/>
            <family val="2"/>
          </rPr>
          <t>Info :</t>
        </r>
        <r>
          <rPr>
            <sz val="9"/>
            <color indexed="81"/>
            <rFont val="Tahoma"/>
            <family val="2"/>
          </rPr>
          <t xml:space="preserve">
Coordonnées et contact de la banque chez laquelle vous avez contracté le prêt immobilier pour ce bien.</t>
        </r>
      </text>
    </comment>
    <comment ref="C78" authorId="0" shapeId="0" xr:uid="{00000000-0006-0000-0800-000005000000}">
      <text>
        <r>
          <rPr>
            <b/>
            <sz val="9"/>
            <color indexed="81"/>
            <rFont val="Tahoma"/>
            <family val="2"/>
          </rPr>
          <t>Info :</t>
        </r>
        <r>
          <rPr>
            <sz val="9"/>
            <color indexed="81"/>
            <rFont val="Tahoma"/>
            <family val="2"/>
          </rPr>
          <t xml:space="preserve">
Coordonnées d'un contact (entrepreneur ou bricoleur) qui peut réaliser des travaux dans le bien.</t>
        </r>
      </text>
    </comment>
    <comment ref="C86" authorId="0" shapeId="0" xr:uid="{00000000-0006-0000-0800-000006000000}">
      <text>
        <r>
          <rPr>
            <b/>
            <sz val="9"/>
            <color indexed="81"/>
            <rFont val="Tahoma"/>
            <family val="2"/>
          </rPr>
          <t>Info :</t>
        </r>
        <r>
          <rPr>
            <sz val="9"/>
            <color indexed="81"/>
            <rFont val="Tahoma"/>
            <family val="2"/>
          </rPr>
          <t xml:space="preserve">
Coordonnées du notaire par lequel vous avez acquis le bien.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Pasteur Christian</author>
  </authors>
  <commentList>
    <comment ref="C47" authorId="0" shapeId="0" xr:uid="{00000000-0006-0000-0900-000001000000}">
      <text>
        <r>
          <rPr>
            <b/>
            <sz val="9"/>
            <color indexed="81"/>
            <rFont val="Tahoma"/>
            <family val="2"/>
          </rPr>
          <t>Info :</t>
        </r>
        <r>
          <rPr>
            <sz val="9"/>
            <color indexed="81"/>
            <rFont val="Tahoma"/>
            <family val="2"/>
          </rPr>
          <t xml:space="preserve">
Contact du ou des locataire(s) qui occupe(nt) votre bien.</t>
        </r>
      </text>
    </comment>
    <comment ref="C54" authorId="0" shapeId="0" xr:uid="{00000000-0006-0000-0900-000002000000}">
      <text>
        <r>
          <rPr>
            <b/>
            <sz val="9"/>
            <color indexed="81"/>
            <rFont val="Tahoma"/>
            <family val="2"/>
          </rPr>
          <t>Info :</t>
        </r>
        <r>
          <rPr>
            <sz val="9"/>
            <color indexed="81"/>
            <rFont val="Tahoma"/>
            <family val="2"/>
          </rPr>
          <t xml:space="preserve">
Coordonnées de la société d'assurance chez qui vous avez fait assurer votre bien.</t>
        </r>
      </text>
    </comment>
    <comment ref="C62" authorId="0" shapeId="0" xr:uid="{00000000-0006-0000-0900-000003000000}">
      <text>
        <r>
          <rPr>
            <b/>
            <sz val="9"/>
            <color indexed="81"/>
            <rFont val="Tahoma"/>
            <family val="2"/>
          </rPr>
          <t>Info :</t>
        </r>
        <r>
          <rPr>
            <sz val="9"/>
            <color indexed="81"/>
            <rFont val="Tahoma"/>
            <family val="2"/>
          </rPr>
          <t xml:space="preserve">
Contact de l'établissement éventuel chez lequel vous avez confié la gestion du bien.</t>
        </r>
      </text>
    </comment>
    <comment ref="C70" authorId="0" shapeId="0" xr:uid="{00000000-0006-0000-0900-000004000000}">
      <text>
        <r>
          <rPr>
            <b/>
            <sz val="9"/>
            <color indexed="81"/>
            <rFont val="Tahoma"/>
            <family val="2"/>
          </rPr>
          <t>Info :</t>
        </r>
        <r>
          <rPr>
            <sz val="9"/>
            <color indexed="81"/>
            <rFont val="Tahoma"/>
            <family val="2"/>
          </rPr>
          <t xml:space="preserve">
Coordonnées et contact de la banque chez laquelle vous avez contracté le prêt immobilier pour ce bien.</t>
        </r>
      </text>
    </comment>
    <comment ref="C78" authorId="0" shapeId="0" xr:uid="{00000000-0006-0000-0900-000005000000}">
      <text>
        <r>
          <rPr>
            <b/>
            <sz val="9"/>
            <color indexed="81"/>
            <rFont val="Tahoma"/>
            <family val="2"/>
          </rPr>
          <t>Info :</t>
        </r>
        <r>
          <rPr>
            <sz val="9"/>
            <color indexed="81"/>
            <rFont val="Tahoma"/>
            <family val="2"/>
          </rPr>
          <t xml:space="preserve">
Coordonnées d'un contact (entrepreneur ou bricoleur) qui peut réaliser des travaux dans le bien.</t>
        </r>
      </text>
    </comment>
    <comment ref="C86" authorId="0" shapeId="0" xr:uid="{00000000-0006-0000-0900-000006000000}">
      <text>
        <r>
          <rPr>
            <b/>
            <sz val="9"/>
            <color indexed="81"/>
            <rFont val="Tahoma"/>
            <family val="2"/>
          </rPr>
          <t>Info :</t>
        </r>
        <r>
          <rPr>
            <sz val="9"/>
            <color indexed="81"/>
            <rFont val="Tahoma"/>
            <family val="2"/>
          </rPr>
          <t xml:space="preserve">
Coordonnées du notaire par lequel vous avez acquis le bien.</t>
        </r>
      </text>
    </comment>
  </commentList>
</comments>
</file>

<file path=xl/sharedStrings.xml><?xml version="1.0" encoding="utf-8"?>
<sst xmlns="http://schemas.openxmlformats.org/spreadsheetml/2006/main" count="2723" uniqueCount="622">
  <si>
    <t xml:space="preserve">Nom </t>
  </si>
  <si>
    <t>Date de début du budget</t>
  </si>
  <si>
    <t>Situation familiale</t>
  </si>
  <si>
    <t>Nombre d'enfants mineurs</t>
  </si>
  <si>
    <t>Nombre d'enfants majeurs</t>
  </si>
  <si>
    <t>Menu</t>
  </si>
  <si>
    <t>en couple</t>
  </si>
  <si>
    <t>célibataire</t>
  </si>
  <si>
    <t>parent seul</t>
  </si>
  <si>
    <t>plus de 5</t>
  </si>
  <si>
    <t>- sélectionner -</t>
  </si>
  <si>
    <t>étudiant</t>
  </si>
  <si>
    <t>&lt;-</t>
  </si>
  <si>
    <t>DEBUDGET1</t>
  </si>
  <si>
    <t>NBMAJ1</t>
  </si>
  <si>
    <t>NBMIN1</t>
  </si>
  <si>
    <t>SITFA1</t>
  </si>
  <si>
    <t>Informations et avertissements :</t>
  </si>
  <si>
    <t xml:space="preserve">Cet ouvrage est la propriété unique de l’auteur. Il est protégé par le Code de la propriété intellectuelle (CPI) qui stipule que « l’auteur </t>
  </si>
  <si>
    <t>d’une œuvre de l’esprit jouit sur cette œuvre, du seul fait de sa création, d’un droit de propriété incorporelle exclusif et opposable à tous.</t>
  </si>
  <si>
    <t>dans la première partie du code de la propriété intellectuelle qui codifie les lois du 11 mars 1957 et du 3 juillet 1985.</t>
  </si>
  <si>
    <t>Ce droit comporte des attributs d’ordre intellectuel et moral ainsi que des attributs d’ordre patrimonial ». L’ensemble de ces droits figure</t>
  </si>
  <si>
    <t xml:space="preserve">Tous droits réservés pour tous pays. En application des lois rappelées ci-dessus, aucun extrait de ce livret ne peut être reproduit, par </t>
  </si>
  <si>
    <t>quelque procédé que ce soit, sans l’autorisation écrite de l’auteur.</t>
  </si>
  <si>
    <t>sélectionner</t>
  </si>
  <si>
    <t>Si la vie commençait par la fin, on prendrait davantage le temps de bien préparer les choses importantes</t>
  </si>
  <si>
    <t>REVENUS</t>
  </si>
  <si>
    <t>Les mois</t>
  </si>
  <si>
    <t>Revenu à configurer</t>
  </si>
  <si>
    <t>SALAIRE</t>
  </si>
  <si>
    <t>SALAIRE 1</t>
  </si>
  <si>
    <t>SALAIRE 2</t>
  </si>
  <si>
    <t>SALAIRE A</t>
  </si>
  <si>
    <t>SALAIRE B</t>
  </si>
  <si>
    <t>Revenu Foncier Immeuble</t>
  </si>
  <si>
    <t>Revenu Foncier Appartement</t>
  </si>
  <si>
    <t>DIVIDENDES</t>
  </si>
  <si>
    <t>Intérêts sur capitaux</t>
  </si>
  <si>
    <t>Autres</t>
  </si>
  <si>
    <t>Revenu Locatif - Immeuble</t>
  </si>
  <si>
    <t>Revenu Locatif - Appartement</t>
  </si>
  <si>
    <t>Retour de Capital d'Investissement</t>
  </si>
  <si>
    <t>Retour de prêt</t>
  </si>
  <si>
    <t>APL</t>
  </si>
  <si>
    <t>Revenus</t>
  </si>
  <si>
    <t>Bourse d'Etat</t>
  </si>
  <si>
    <t>Allocations</t>
  </si>
  <si>
    <t>Dividendes Actions</t>
  </si>
  <si>
    <t>Dividendes Activités Commerciales</t>
  </si>
  <si>
    <t>Dividendes Entreprises</t>
  </si>
  <si>
    <t>REV</t>
  </si>
  <si>
    <t>Comptes courants</t>
  </si>
  <si>
    <t>CPTES</t>
  </si>
  <si>
    <t>Validation</t>
  </si>
  <si>
    <t>OK</t>
  </si>
  <si>
    <t>ok</t>
  </si>
  <si>
    <t>ec</t>
  </si>
  <si>
    <t>TOTAL des REVENUS =</t>
  </si>
  <si>
    <t>Suivi</t>
  </si>
  <si>
    <t>Budget</t>
  </si>
  <si>
    <t>Type d'épargne/placement</t>
  </si>
  <si>
    <t>Assurance-Vie</t>
  </si>
  <si>
    <t>Assurance-Vie (bloquée)</t>
  </si>
  <si>
    <t>Assurance-Vie (non bloquée)</t>
  </si>
  <si>
    <t>Assurance-Vie "Multi-supports"</t>
  </si>
  <si>
    <t>PEP - Plan d'Epargne Populaire</t>
  </si>
  <si>
    <t>PEA - Plan d'Epargne en Actions</t>
  </si>
  <si>
    <t>PEL - Plan d'Epargne Logement</t>
  </si>
  <si>
    <t>CEL - Compte d'Epargne Logement</t>
  </si>
  <si>
    <t>LEP - Livret d'Epargne Populaire</t>
  </si>
  <si>
    <t>Livret A</t>
  </si>
  <si>
    <t>Livret B</t>
  </si>
  <si>
    <t>Livret JEUNE</t>
  </si>
  <si>
    <t>PEE - Plan d'Epargne Entreprise</t>
  </si>
  <si>
    <t>PERCO - Plan d'Epargne pour la Retraite Collectif</t>
  </si>
  <si>
    <t>PERP - Plan d'Epargne Retraite Populaire</t>
  </si>
  <si>
    <t>Epargne Salariale</t>
  </si>
  <si>
    <t>Compte à Terme (bloqué)</t>
  </si>
  <si>
    <t>Compte de Trésorerie</t>
  </si>
  <si>
    <t>Compte Titre</t>
  </si>
  <si>
    <t>Portefeuille Boursier</t>
  </si>
  <si>
    <t>TONTINE - Le Conservateur</t>
  </si>
  <si>
    <t>TONTINE</t>
  </si>
  <si>
    <t>Stocks Options</t>
  </si>
  <si>
    <t>Cumul mensuel épargné et placé =</t>
  </si>
  <si>
    <t>TOTAL GENERAL Epargne et placements =</t>
  </si>
  <si>
    <t>Crédit à la consommation - SOFINCO</t>
  </si>
  <si>
    <t>Crédit à la consommation - FINANCO</t>
  </si>
  <si>
    <t>Crédit à la consommation - CETELEM</t>
  </si>
  <si>
    <t>Crédit à la consommation - FINAREF</t>
  </si>
  <si>
    <t>Crédit à la consommation - COFIDIS</t>
  </si>
  <si>
    <t>Crédit à la consommation - MENAFINANCE</t>
  </si>
  <si>
    <t>Crédit à la consommation - COVEFI</t>
  </si>
  <si>
    <t>Crédit à la consommation - FRANFINANCE</t>
  </si>
  <si>
    <t>Crédit à la consommation</t>
  </si>
  <si>
    <t>Crédit Carte AURORE</t>
  </si>
  <si>
    <t>Crédit Carte CONFORAMA</t>
  </si>
  <si>
    <t>Crédit Carte KANGOUROU</t>
  </si>
  <si>
    <t>Crédit Carte PASS</t>
  </si>
  <si>
    <t>Dette - LOCAPASS</t>
  </si>
  <si>
    <t>Dette - Loyers impayés</t>
  </si>
  <si>
    <t>Dette à un tiers</t>
  </si>
  <si>
    <t>Prêt Personnel - BNP-PARIBAS</t>
  </si>
  <si>
    <t>Prêt Personnel - SOCIETE GENERALE</t>
  </si>
  <si>
    <t>Prêt Personnel - COFIDIS</t>
  </si>
  <si>
    <t>Prêt Personnel - Banque ACCORD</t>
  </si>
  <si>
    <t>Prêt Personnel - EGG</t>
  </si>
  <si>
    <t>Prêt Personnel</t>
  </si>
  <si>
    <t>Epargne &amp; Placements</t>
  </si>
  <si>
    <t>Crédits</t>
  </si>
  <si>
    <t>EPAR</t>
  </si>
  <si>
    <t>EPARBUT</t>
  </si>
  <si>
    <t>Stratégie "RETRAITE"</t>
  </si>
  <si>
    <t>TRESOR FAMILIAL</t>
  </si>
  <si>
    <t>Epargne pour "IMPREVUS"</t>
  </si>
  <si>
    <t>Capital "ETUDES &amp; VIE ACTIVE" - Enfant</t>
  </si>
  <si>
    <t>Capital "NAISSANCE" - Enfant</t>
  </si>
  <si>
    <t>Capital "ACHAT IMMOBILIER"</t>
  </si>
  <si>
    <t>Capital "ACHAT TERRAIN"</t>
  </si>
  <si>
    <t>Capital "ACHAT APPARTEMENT"</t>
  </si>
  <si>
    <t>Capital "ACHAT VILLA"</t>
  </si>
  <si>
    <t>TCR - INVESTISSEMENTS</t>
  </si>
  <si>
    <t>Trésorerie "TCR - INVESTISSEMENTS"</t>
  </si>
  <si>
    <t>Trésorerie " INVESTISSEMENTS "</t>
  </si>
  <si>
    <t>Capital "INVESTISSEMENTS"</t>
  </si>
  <si>
    <t>Epargne "ACHAT VOITURE"</t>
  </si>
  <si>
    <t>Trésorerie de "RESERVE"</t>
  </si>
  <si>
    <t>Trésorerie "FRAIS de SCOLARITE"</t>
  </si>
  <si>
    <t>Réserve de "SOUTIEN FAMILIAL"</t>
  </si>
  <si>
    <t>Trésorerie "Service pour DIEU &amp; Bonnes Œuvres"</t>
  </si>
  <si>
    <t>CREDIT</t>
  </si>
  <si>
    <t>LDD - Livret de Développement Durable</t>
  </si>
  <si>
    <t>Livret Internet</t>
  </si>
  <si>
    <t>Livret d'épargne</t>
  </si>
  <si>
    <t>CREDITS</t>
  </si>
  <si>
    <t>TOTAL des Crédits =</t>
  </si>
  <si>
    <t>Indiquer la date de l'échéance</t>
  </si>
  <si>
    <t>prélèvement le 1er du mois</t>
  </si>
  <si>
    <t>prélèvement le 02 du mois</t>
  </si>
  <si>
    <t>prélèvement le 03 du mois</t>
  </si>
  <si>
    <t>prélèvement le 04 du mois</t>
  </si>
  <si>
    <t>prélèvement le 05 du mois</t>
  </si>
  <si>
    <t>prélèvement le 06 du mois</t>
  </si>
  <si>
    <t>prélèvement le 07 du mois</t>
  </si>
  <si>
    <t>prélèvement le 08 du mois</t>
  </si>
  <si>
    <t>prélèvement le 09 du mois</t>
  </si>
  <si>
    <t>prélèvement le 10 du mois</t>
  </si>
  <si>
    <t>prélèvement le 11 du mois</t>
  </si>
  <si>
    <t>prélèvement le 12 du mois</t>
  </si>
  <si>
    <t>prélèvement le 13 du mois</t>
  </si>
  <si>
    <t>prélèvement le 14 du mois</t>
  </si>
  <si>
    <t>prélèvement le 15 du mois</t>
  </si>
  <si>
    <t>prélèvement le 16 du mois</t>
  </si>
  <si>
    <t>prélèvement le 17 du mois</t>
  </si>
  <si>
    <t>prélèvement le 18 du mois</t>
  </si>
  <si>
    <t>prélèvement le 19 du mois</t>
  </si>
  <si>
    <t>prélèvement le 20 du mois</t>
  </si>
  <si>
    <t>prélèvement le 21 du mois</t>
  </si>
  <si>
    <t>prélèvement le 22 du mois</t>
  </si>
  <si>
    <t>prélèvement le 23 du mois</t>
  </si>
  <si>
    <t>prélèvement le 24 du mois</t>
  </si>
  <si>
    <t>prélèvement le 25 du mois</t>
  </si>
  <si>
    <t>prélèvement le 26 du mois</t>
  </si>
  <si>
    <t>prélèvement le 27 du mois</t>
  </si>
  <si>
    <t>prélèvement le 28 du mois</t>
  </si>
  <si>
    <t>prélèvement le 29 du mois</t>
  </si>
  <si>
    <t>prélèvement le 30 du mois</t>
  </si>
  <si>
    <t>prélèvement le 31 du mois</t>
  </si>
  <si>
    <t>DATE</t>
  </si>
  <si>
    <t>Prélèvements</t>
  </si>
  <si>
    <t>Provisions</t>
  </si>
  <si>
    <t>Provision - Impôt sur le Revenu</t>
  </si>
  <si>
    <t>Provision - Taxe d'Habitation + Taxe Foncière</t>
  </si>
  <si>
    <t>Provision - Vacances / Sorties / Détente</t>
  </si>
  <si>
    <t>Provision - Charges de Co-propriété</t>
  </si>
  <si>
    <t>Provision - Habillement</t>
  </si>
  <si>
    <t>Provision - Habillement Enfants</t>
  </si>
  <si>
    <t>Provision - Permis de conduire</t>
  </si>
  <si>
    <t>Provision - Redevance TV (Taxe audiovisuelle)</t>
  </si>
  <si>
    <t>Provision - Assurance Auto</t>
  </si>
  <si>
    <t>Provision - Entretien Auto</t>
  </si>
  <si>
    <t>Provision - Assurance Auto / Réparations</t>
  </si>
  <si>
    <t>Provision - Cadeaux (Anniversaires, événements, etc.)</t>
  </si>
  <si>
    <t>Provision - Communications (téléphone, internet, etc.)</t>
  </si>
  <si>
    <t>Provision - Téléphone et Internet</t>
  </si>
  <si>
    <t>PROV</t>
  </si>
  <si>
    <t>Indiquer le compte cible</t>
  </si>
  <si>
    <t>Compte à Terme</t>
  </si>
  <si>
    <t>Compte courant</t>
  </si>
  <si>
    <t>Compte Provisions</t>
  </si>
  <si>
    <t>CPROV</t>
  </si>
  <si>
    <t>TOTAL GENERAL des Provisions =</t>
  </si>
  <si>
    <t>Cumul mensuel des réserves =</t>
  </si>
  <si>
    <t>Autre dépense régulière</t>
  </si>
  <si>
    <t>Autre dépense variable</t>
  </si>
  <si>
    <t>Loyer</t>
  </si>
  <si>
    <t>Frais Médicaux</t>
  </si>
  <si>
    <t>Loyer/ Remboursement Prêt Immobilier</t>
  </si>
  <si>
    <t>Argent de poche</t>
  </si>
  <si>
    <t>Remboursement - Prêt Résidence Principale</t>
  </si>
  <si>
    <t>Liquidités</t>
  </si>
  <si>
    <t>Remboursement - Prêt Immobilier Locatif</t>
  </si>
  <si>
    <t>Soutien familial</t>
  </si>
  <si>
    <t>Aide aux tiers</t>
  </si>
  <si>
    <t>Cotisation Associative</t>
  </si>
  <si>
    <t>Cotisation de Prévoyance</t>
  </si>
  <si>
    <t>Aide humanitaire</t>
  </si>
  <si>
    <t>Courses Entretien / Alimentation</t>
  </si>
  <si>
    <t>Habillement</t>
  </si>
  <si>
    <t>Assurance Auto</t>
  </si>
  <si>
    <t>Assurance Habitation</t>
  </si>
  <si>
    <t>Carburants (Essence/Gasoil)</t>
  </si>
  <si>
    <t>Déjeuners en semaine</t>
  </si>
  <si>
    <t>Cotisation Carte Bleue (Visa/Mastercard)</t>
  </si>
  <si>
    <t>Téléphone portable</t>
  </si>
  <si>
    <t>Dépenses fixes</t>
  </si>
  <si>
    <t>Dépenses variables</t>
  </si>
  <si>
    <t>DFIX</t>
  </si>
  <si>
    <t>DVAR</t>
  </si>
  <si>
    <t>Dîme</t>
  </si>
  <si>
    <t>Total des charges fixes =</t>
  </si>
  <si>
    <t>Total des charges variables =</t>
  </si>
  <si>
    <t>TOTAL des CHARGES =</t>
  </si>
  <si>
    <t>BALANCE =</t>
  </si>
  <si>
    <t>TOTAL GENERAL des Entrées =</t>
  </si>
  <si>
    <t>TOTAL GENERAL des Sorties =</t>
  </si>
  <si>
    <t>REPARTITION DU BUDGET</t>
  </si>
  <si>
    <r>
      <t>T</t>
    </r>
    <r>
      <rPr>
        <sz val="9"/>
        <color theme="0"/>
        <rFont val="Arial"/>
        <family val="2"/>
      </rPr>
      <t>OTAL</t>
    </r>
  </si>
  <si>
    <t>BLOC NOTES</t>
  </si>
  <si>
    <t>RESERVES et PROVISIONS</t>
  </si>
  <si>
    <t>Menu 2</t>
  </si>
  <si>
    <t>Vos comptes d'épargne</t>
  </si>
  <si>
    <t>Exemples :</t>
  </si>
  <si>
    <t>Livret Jeune - Romuald</t>
  </si>
  <si>
    <t>PEA BNP Paribas - Esther</t>
  </si>
  <si>
    <t>Livret d'épargne - Romuald</t>
  </si>
  <si>
    <t>Livret A - Bébé Bambino</t>
  </si>
  <si>
    <t>- compte d'épargne à saisir -</t>
  </si>
  <si>
    <t>VCDE</t>
  </si>
  <si>
    <t>DIME</t>
  </si>
  <si>
    <t>Dîme (Revenus)</t>
  </si>
  <si>
    <t>oui</t>
  </si>
  <si>
    <t>non</t>
  </si>
  <si>
    <t>BILAN ANNUEL</t>
  </si>
  <si>
    <t xml:space="preserve"> TOTAL GENERAL Epargne et placements =</t>
  </si>
  <si>
    <t>Somme totale des retraits -&gt;</t>
  </si>
  <si>
    <t>BALANCE Annuelle =</t>
  </si>
  <si>
    <t>TOTAL ANNUEL des Entrées =</t>
  </si>
  <si>
    <t>TOTAL ANNUEL des Sorties =</t>
  </si>
  <si>
    <t>TOTAL ANNUEL des CHARGES =</t>
  </si>
  <si>
    <t>Cumul annuel des réserves épargnées =</t>
  </si>
  <si>
    <t>TOTAL ANNUEL des Crédits =</t>
  </si>
  <si>
    <t>Cumul annuel épargné et placé =</t>
  </si>
  <si>
    <t>TOTAL Annuel des REVENUS =</t>
  </si>
  <si>
    <t>Liste de l'épargne et des provisions</t>
  </si>
  <si>
    <t>Liste des comptes d'épargne</t>
  </si>
  <si>
    <t>JANVIER 2019</t>
  </si>
  <si>
    <t>DECEMBRE 2018</t>
  </si>
  <si>
    <t>FEVRIER 2019</t>
  </si>
  <si>
    <t>MARS 2019</t>
  </si>
  <si>
    <t>AVRIL 2019</t>
  </si>
  <si>
    <t>MAI 2019</t>
  </si>
  <si>
    <t>JUIN 2019</t>
  </si>
  <si>
    <t>JUILLET 2019</t>
  </si>
  <si>
    <t>AOUT 2019</t>
  </si>
  <si>
    <t>SEPTEMBRE 2019</t>
  </si>
  <si>
    <t>OCTOBRE 2019</t>
  </si>
  <si>
    <t>NOVEMBRE 2019</t>
  </si>
  <si>
    <t>DECEMBRE 2019</t>
  </si>
  <si>
    <t>JANVIER 2020</t>
  </si>
  <si>
    <t>FEVRIER 2020</t>
  </si>
  <si>
    <t>MARS 2020</t>
  </si>
  <si>
    <t>AVRIL 2020</t>
  </si>
  <si>
    <t>Budget 2019</t>
  </si>
  <si>
    <t>MAI 2020</t>
  </si>
  <si>
    <t>DEPENSES COURANTES</t>
  </si>
  <si>
    <t>EPARGNE &amp; PLACEMENTS</t>
  </si>
  <si>
    <t>Configurez vos comptes d'épargne (en cliquant ici)</t>
  </si>
  <si>
    <t>Listez tous vos comptes courants :</t>
  </si>
  <si>
    <t>Comptes d'épargne, assurances-vie</t>
  </si>
  <si>
    <t>Les comptes courants que vous possédez.</t>
  </si>
  <si>
    <t>Compte courant - Romuald (CIC)</t>
  </si>
  <si>
    <t>Compte courant - Romuald (BNP Paribas)</t>
  </si>
  <si>
    <t>Compte courant - Esther (Banque Postale)</t>
  </si>
  <si>
    <t>à remplir</t>
  </si>
  <si>
    <t>veuf/veuve</t>
  </si>
  <si>
    <t>autre (association, société, etc.)</t>
  </si>
  <si>
    <t>Mois de démarrage du budget</t>
  </si>
  <si>
    <t>L'expérience de la planification budgétaire au service de vos finances et de vos projets</t>
  </si>
  <si>
    <t>Cliquer pour accéder à votre Budget Gold</t>
  </si>
  <si>
    <t>Accès au MENU</t>
  </si>
  <si>
    <t>Budget Gold est un outil d'aide à la planification budgétaire. Son usage adéquat peut permettre l'amélioration de la gestion budgétaire de</t>
  </si>
  <si>
    <t>Limitations et risques :</t>
  </si>
  <si>
    <t>Par ailleurs, une vérification des formules a été faite, néanmoins, il est toujours possible qu'une erreur se soit glissée, faussant ainsi certains</t>
  </si>
  <si>
    <t>Toute utilisation de Budget Gold par l'utilisateur entraine l'acceptation de ces limitations et risques.</t>
  </si>
  <si>
    <t>Configurez vos comptes courants (en cliquant ici)</t>
  </si>
  <si>
    <t>Mouvements</t>
  </si>
  <si>
    <t>Sorties</t>
  </si>
  <si>
    <t>Entrées</t>
  </si>
  <si>
    <t>Entrées totales</t>
  </si>
  <si>
    <t>Sorties totales</t>
  </si>
  <si>
    <t>Mouvement Global</t>
  </si>
  <si>
    <t>Solde unitaire</t>
  </si>
  <si>
    <t>Solde général</t>
  </si>
  <si>
    <t>Synthèse des mouvements d'épargne/provisions</t>
  </si>
  <si>
    <t>Synthèses des mouvements sur vos comptes d'épargne et de provisions</t>
  </si>
  <si>
    <t>Etape 1</t>
  </si>
  <si>
    <t>MENU DE CONFIGURATION GENERALE</t>
  </si>
  <si>
    <t>Etape 2</t>
  </si>
  <si>
    <t>Etape 3</t>
  </si>
  <si>
    <t>Etape 4</t>
  </si>
  <si>
    <t>Etape 5</t>
  </si>
  <si>
    <t>Etape 6</t>
  </si>
  <si>
    <t>Configurer vos comptes bancaires et vos solutions d'épargne en cliquant ici</t>
  </si>
  <si>
    <t>Retour au Menu</t>
  </si>
  <si>
    <t>Comptes d'investissements, tirelires, etc.</t>
  </si>
  <si>
    <t>Etape 7</t>
  </si>
  <si>
    <t>Accéder à votre tableau Budget Gold</t>
  </si>
  <si>
    <t>Décembre</t>
  </si>
  <si>
    <t>Janvier</t>
  </si>
  <si>
    <t>Février</t>
  </si>
  <si>
    <t>Juin</t>
  </si>
  <si>
    <t>Mars</t>
  </si>
  <si>
    <t>Avril</t>
  </si>
  <si>
    <t>Mai</t>
  </si>
  <si>
    <t>Juillet</t>
  </si>
  <si>
    <t>Août</t>
  </si>
  <si>
    <t>Septembre</t>
  </si>
  <si>
    <t>Octobre</t>
  </si>
  <si>
    <t>Novembre</t>
  </si>
  <si>
    <t>Retour au Budget</t>
  </si>
  <si>
    <t>Tirelire</t>
  </si>
  <si>
    <t>Carte de transport</t>
  </si>
  <si>
    <t>Mutuelle</t>
  </si>
  <si>
    <t>Abonnement Internet</t>
  </si>
  <si>
    <t>Abonnement Bouquet TV</t>
  </si>
  <si>
    <t>Téléphone</t>
  </si>
  <si>
    <t>Cotisation bancaire</t>
  </si>
  <si>
    <t>Frais de garde (enfants)</t>
  </si>
  <si>
    <t>Frais de garde</t>
  </si>
  <si>
    <t>Abonnement Fitness</t>
  </si>
  <si>
    <t>Sport</t>
  </si>
  <si>
    <t>Divertissement</t>
  </si>
  <si>
    <t>En Euros (€)</t>
  </si>
  <si>
    <t>Valeur acquise</t>
  </si>
  <si>
    <t>Années</t>
  </si>
  <si>
    <t>Apport initial</t>
  </si>
  <si>
    <t>Rentabilité brute moyenne (%)</t>
  </si>
  <si>
    <t>Epargne mensuelle</t>
  </si>
  <si>
    <t>Epargne cumulée</t>
  </si>
  <si>
    <t>Gain brut</t>
  </si>
  <si>
    <t>Simulateur d'épargne</t>
  </si>
  <si>
    <t>Enveloppe</t>
  </si>
  <si>
    <t>ENTREES</t>
  </si>
  <si>
    <t>Loyers bruts</t>
  </si>
  <si>
    <t>Provisions pour charges</t>
  </si>
  <si>
    <t>Dépots de garantie</t>
  </si>
  <si>
    <t>Apports personnels</t>
  </si>
  <si>
    <t>Total des Entrées</t>
  </si>
  <si>
    <t>Total des Entrées annuelles</t>
  </si>
  <si>
    <t>Différence</t>
  </si>
  <si>
    <t>SORTIES</t>
  </si>
  <si>
    <t>Frais de gérance</t>
  </si>
  <si>
    <t>Assurances</t>
  </si>
  <si>
    <t>Electricité</t>
  </si>
  <si>
    <t>Frais bancaires</t>
  </si>
  <si>
    <t>Taxe foncière</t>
  </si>
  <si>
    <t>Divers (travaux etc.)</t>
  </si>
  <si>
    <t>ADI</t>
  </si>
  <si>
    <t>Retraits ponctuels</t>
  </si>
  <si>
    <t>Total des sorties</t>
  </si>
  <si>
    <t>Total des sorties annuelles</t>
  </si>
  <si>
    <t xml:space="preserve">BALANCE MENSUELLE DE TRESORERIE -&gt; </t>
  </si>
  <si>
    <t xml:space="preserve">BALANCE ANNUELLE DE TRESORERIE -&gt; </t>
  </si>
  <si>
    <t xml:space="preserve">CUMUL GENERAL DE TRESORERIE -&gt; </t>
  </si>
  <si>
    <t>INFORMATIONS UTILES :</t>
  </si>
  <si>
    <t>ASSURANCES :</t>
  </si>
  <si>
    <t>NOTAIRE :</t>
  </si>
  <si>
    <t>TRAVAUX / ENTRETIEN :</t>
  </si>
  <si>
    <t>BANQUE DE CREDIT / DEPOT :</t>
  </si>
  <si>
    <t>Adresse</t>
  </si>
  <si>
    <t>N° de dossier</t>
  </si>
  <si>
    <t>GESTION LOCATIVE :</t>
  </si>
  <si>
    <t>LOCATAIRE(S) :</t>
  </si>
  <si>
    <t xml:space="preserve">Prénom </t>
  </si>
  <si>
    <t xml:space="preserve">Téléphone </t>
  </si>
  <si>
    <t xml:space="preserve">Email </t>
  </si>
  <si>
    <t xml:space="preserve">Autres informations utiles </t>
  </si>
  <si>
    <t>Code postal - VILLE</t>
  </si>
  <si>
    <t>Eau</t>
  </si>
  <si>
    <t>Trésorerie initiale</t>
  </si>
  <si>
    <t>ImmoView</t>
  </si>
  <si>
    <t>RESSOURCES</t>
  </si>
  <si>
    <t>CHARGES</t>
  </si>
  <si>
    <t>Financement</t>
  </si>
  <si>
    <t>Subventions</t>
  </si>
  <si>
    <t>Crédit principal</t>
  </si>
  <si>
    <t>Ccrédit secondaire</t>
  </si>
  <si>
    <t>Crédit secondaire</t>
  </si>
  <si>
    <t>Entreprise</t>
  </si>
  <si>
    <t>Banque</t>
  </si>
  <si>
    <t>Etude</t>
  </si>
  <si>
    <t>Accès au Budget</t>
  </si>
  <si>
    <t>&lt; ImmoView &gt;</t>
  </si>
  <si>
    <t xml:space="preserve">CUMUL DE TRESORERIE -&gt; </t>
  </si>
  <si>
    <t>Désignation du bien</t>
  </si>
  <si>
    <r>
      <t xml:space="preserve">Gestion immobilière </t>
    </r>
    <r>
      <rPr>
        <b/>
        <sz val="10"/>
        <color rgb="FFFFFF00"/>
        <rFont val="Arial"/>
        <family val="2"/>
      </rPr>
      <t>ImmoView 1</t>
    </r>
  </si>
  <si>
    <r>
      <t xml:space="preserve">Gestion immobilière </t>
    </r>
    <r>
      <rPr>
        <b/>
        <sz val="10"/>
        <color rgb="FFFFFF00"/>
        <rFont val="Arial"/>
        <family val="2"/>
      </rPr>
      <t>ImmoView 2</t>
    </r>
  </si>
  <si>
    <r>
      <t>Gestion immobilière</t>
    </r>
    <r>
      <rPr>
        <b/>
        <sz val="10"/>
        <color rgb="FFFFFF00"/>
        <rFont val="Arial"/>
        <family val="2"/>
      </rPr>
      <t xml:space="preserve"> ImmoView 3</t>
    </r>
  </si>
  <si>
    <r>
      <t xml:space="preserve">Bien n° </t>
    </r>
    <r>
      <rPr>
        <b/>
        <sz val="20"/>
        <color indexed="43"/>
        <rFont val="Berlin Sans FB Demi"/>
        <family val="2"/>
      </rPr>
      <t>3</t>
    </r>
  </si>
  <si>
    <r>
      <t xml:space="preserve">Bien n° </t>
    </r>
    <r>
      <rPr>
        <b/>
        <sz val="20"/>
        <color indexed="43"/>
        <rFont val="Berlin Sans FB Demi"/>
        <family val="2"/>
      </rPr>
      <t>2</t>
    </r>
  </si>
  <si>
    <r>
      <t xml:space="preserve">Bien n° </t>
    </r>
    <r>
      <rPr>
        <b/>
        <sz val="20"/>
        <color indexed="43"/>
        <rFont val="Berlin Sans FB Demi"/>
        <family val="2"/>
      </rPr>
      <t>1</t>
    </r>
  </si>
  <si>
    <t>Provision - Factures Energie</t>
  </si>
  <si>
    <t>Provision - Mazout/Fuel</t>
  </si>
  <si>
    <t>Provision - Carburant/Essence</t>
  </si>
  <si>
    <t>Préparation des mariés</t>
  </si>
  <si>
    <t>Bouquet de la mariée</t>
  </si>
  <si>
    <t>Cérémonies</t>
  </si>
  <si>
    <t>Alliances</t>
  </si>
  <si>
    <t>Animation de la sortie (riz, pétales, confettis..)</t>
  </si>
  <si>
    <t>Photographe</t>
  </si>
  <si>
    <t>Caméraman</t>
  </si>
  <si>
    <t>Réceptions</t>
  </si>
  <si>
    <t>Frais de papeterie (faire-parts, etc…)</t>
  </si>
  <si>
    <t>Location de la salle et du matériel</t>
  </si>
  <si>
    <t>Repas, Vin d'honneur</t>
  </si>
  <si>
    <t>Gâteau / pièce montée</t>
  </si>
  <si>
    <t>Cadeaux symboliques pour les parents</t>
  </si>
  <si>
    <t>Dragées</t>
  </si>
  <si>
    <t>Noces - Lune de miel</t>
  </si>
  <si>
    <t>Voyage de noces</t>
  </si>
  <si>
    <t>Argent de poche - voyage</t>
  </si>
  <si>
    <t>Robe de la mariée</t>
  </si>
  <si>
    <t>Tenue du marié</t>
  </si>
  <si>
    <t>Coiffure</t>
  </si>
  <si>
    <t>Accessoires de la mariée</t>
  </si>
  <si>
    <t>Accessoires du marié</t>
  </si>
  <si>
    <t>Préparation de la mariée</t>
  </si>
  <si>
    <t>Maquillage</t>
  </si>
  <si>
    <t>Esthéticienne/Pédicure</t>
  </si>
  <si>
    <t>Tenue de soirée</t>
  </si>
  <si>
    <t>Décoration Eglise</t>
  </si>
  <si>
    <t>Offrande (église)</t>
  </si>
  <si>
    <t>Location de la voiture des mariés</t>
  </si>
  <si>
    <t>Location autres véhicules</t>
  </si>
  <si>
    <t>Décoration - Salle de réception</t>
  </si>
  <si>
    <t>Disk-jokey (DJ) Animation musicale</t>
  </si>
  <si>
    <t>Hôtel</t>
  </si>
  <si>
    <t>Frais de visa</t>
  </si>
  <si>
    <t>Divers</t>
  </si>
  <si>
    <t>Autre (1)</t>
  </si>
  <si>
    <t>Autre (2)</t>
  </si>
  <si>
    <t>Autre (3)</t>
  </si>
  <si>
    <t>Divers (1)</t>
  </si>
  <si>
    <t>Divers (2)</t>
  </si>
  <si>
    <t>Divers (3)</t>
  </si>
  <si>
    <t>Devis 1</t>
  </si>
  <si>
    <t>Devis 2</t>
  </si>
  <si>
    <t>Devis 3</t>
  </si>
  <si>
    <t>Préparation du marié</t>
  </si>
  <si>
    <t>Priorités</t>
  </si>
  <si>
    <t>1 (indispensable)</t>
  </si>
  <si>
    <t>2 (essentiel)</t>
  </si>
  <si>
    <t>3 (souhaitable)</t>
  </si>
  <si>
    <t>Remarques/commentaires</t>
  </si>
  <si>
    <t>sous-total =</t>
  </si>
  <si>
    <t>Devis</t>
  </si>
  <si>
    <t>Priorités combinées</t>
  </si>
  <si>
    <t>TOTAL =</t>
  </si>
  <si>
    <r>
      <rPr>
        <sz val="16"/>
        <color theme="0"/>
        <rFont val="Arial"/>
        <family val="2"/>
      </rPr>
      <t>&lt;</t>
    </r>
    <r>
      <rPr>
        <sz val="24"/>
        <color theme="0"/>
        <rFont val="Arial"/>
        <family val="2"/>
      </rPr>
      <t xml:space="preserve"> </t>
    </r>
    <r>
      <rPr>
        <b/>
        <sz val="24"/>
        <color theme="0"/>
        <rFont val="Arial"/>
        <family val="2"/>
      </rPr>
      <t>Mariage Gold</t>
    </r>
    <r>
      <rPr>
        <sz val="16"/>
        <color theme="0"/>
        <rFont val="Arial"/>
        <family val="2"/>
      </rPr>
      <t xml:space="preserve"> &gt;</t>
    </r>
  </si>
  <si>
    <r>
      <t xml:space="preserve">Budget d'un mariage </t>
    </r>
    <r>
      <rPr>
        <b/>
        <sz val="10"/>
        <color rgb="FFFFFF99"/>
        <rFont val="Arial"/>
        <family val="2"/>
      </rPr>
      <t>Mariage-Gold</t>
    </r>
  </si>
  <si>
    <t>Listez toutes vos formules d'épargne :</t>
  </si>
  <si>
    <t>Caisse</t>
  </si>
  <si>
    <t>&lt;- Les champs modifiables sont en JAUNE</t>
  </si>
  <si>
    <t>Synthèse des mouvements sur vos comptes d'épargne et de provisions</t>
  </si>
  <si>
    <t>Mouvements d'épargne et de provisions</t>
  </si>
  <si>
    <t>ImmoView (Entrées)</t>
  </si>
  <si>
    <t>Loyers</t>
  </si>
  <si>
    <t>ImmoView (Sorties)</t>
  </si>
  <si>
    <t>Remboursement d'impôts</t>
  </si>
  <si>
    <t>Electricité/Gaz</t>
  </si>
  <si>
    <t>Gaz</t>
  </si>
  <si>
    <t>Entretien / Nettoyage</t>
  </si>
  <si>
    <t>Crédit immobilier principal</t>
  </si>
  <si>
    <t>Pour gérer le budget de votre cérémonie de mariage</t>
  </si>
  <si>
    <t>Prénom du fiancé</t>
  </si>
  <si>
    <t>Prénom de la fiancée</t>
  </si>
  <si>
    <t>Date du mariage</t>
  </si>
  <si>
    <t>Mois/année de la cérémonie</t>
  </si>
  <si>
    <t>Retour au MENU</t>
  </si>
  <si>
    <t>Date prévisionnelle du mariage</t>
  </si>
  <si>
    <t>jj/mm/aaaa</t>
  </si>
  <si>
    <t>Accéder à Mariage Gold</t>
  </si>
  <si>
    <t>Configurer          Mariage Gold</t>
  </si>
  <si>
    <t>Date</t>
  </si>
  <si>
    <t>Montant de l'apport</t>
  </si>
  <si>
    <t>jj-mm-aaaa</t>
  </si>
  <si>
    <t>Type</t>
  </si>
  <si>
    <t>Type financement</t>
  </si>
  <si>
    <t>Fiancés</t>
  </si>
  <si>
    <t>Famille</t>
  </si>
  <si>
    <t>Amis / collègues</t>
  </si>
  <si>
    <t>Etat</t>
  </si>
  <si>
    <t>Effectué</t>
  </si>
  <si>
    <t>Non effectué</t>
  </si>
  <si>
    <t>PLAN DE FINANCEMENT                                                                                             prévisionnel</t>
  </si>
  <si>
    <t>Remplir les lignes les unes après les autres sans sauter de ligne</t>
  </si>
  <si>
    <r>
      <t xml:space="preserve">Provenance         </t>
    </r>
    <r>
      <rPr>
        <sz val="9"/>
        <color theme="0"/>
        <rFont val="Arial"/>
        <family val="2"/>
      </rPr>
      <t>(Qui apporte ?)</t>
    </r>
  </si>
  <si>
    <t>Plan de financement</t>
  </si>
  <si>
    <t>Plan de décaissement</t>
  </si>
  <si>
    <t>Montant du paiement</t>
  </si>
  <si>
    <t>Prestataires</t>
  </si>
  <si>
    <t>Prestations</t>
  </si>
  <si>
    <t>Ex: Acompte salle de réception</t>
  </si>
  <si>
    <t>PLAN DES DECAISSEMENTS</t>
  </si>
  <si>
    <t>Paiements réalisés</t>
  </si>
  <si>
    <t>Budget restant à couvrir pour effectuer tous les paiements</t>
  </si>
  <si>
    <t>Total des paiements déjà réalisés</t>
  </si>
  <si>
    <t>Total de tous les paiements prévisionnels</t>
  </si>
  <si>
    <t>EVENT-LOCATION</t>
  </si>
  <si>
    <t>Retour</t>
  </si>
  <si>
    <t>par Christian Saboukoulou</t>
  </si>
  <si>
    <r>
      <rPr>
        <b/>
        <sz val="16"/>
        <color theme="0"/>
        <rFont val="Arial"/>
        <family val="2"/>
      </rPr>
      <t>&lt;</t>
    </r>
    <r>
      <rPr>
        <b/>
        <sz val="22"/>
        <color theme="0"/>
        <rFont val="Arial"/>
        <family val="2"/>
      </rPr>
      <t xml:space="preserve"> Mariage Gold </t>
    </r>
    <r>
      <rPr>
        <b/>
        <sz val="16"/>
        <color theme="0"/>
        <rFont val="Arial"/>
        <family val="2"/>
      </rPr>
      <t>&gt;</t>
    </r>
  </si>
  <si>
    <t>Voir</t>
  </si>
  <si>
    <r>
      <t xml:space="preserve">&lt;--- </t>
    </r>
    <r>
      <rPr>
        <b/>
        <u/>
        <sz val="10"/>
        <color rgb="FFFFFF99"/>
        <rFont val="Arial"/>
        <family val="2"/>
      </rPr>
      <t>Budget à financer</t>
    </r>
    <r>
      <rPr>
        <b/>
        <sz val="10"/>
        <color rgb="FFFFFF99"/>
        <rFont val="Arial"/>
        <family val="2"/>
      </rPr>
      <t xml:space="preserve"> </t>
    </r>
    <r>
      <rPr>
        <b/>
        <sz val="10"/>
        <color theme="0"/>
        <rFont val="Arial"/>
        <family val="2"/>
      </rPr>
      <t xml:space="preserve">(avec les prix courants et </t>
    </r>
    <r>
      <rPr>
        <b/>
        <u/>
        <sz val="10"/>
        <color rgb="FFFFC000"/>
        <rFont val="Arial"/>
        <family val="2"/>
      </rPr>
      <t>les priorités</t>
    </r>
    <r>
      <rPr>
        <b/>
        <u/>
        <sz val="10"/>
        <color theme="0"/>
        <rFont val="Arial"/>
        <family val="2"/>
      </rPr>
      <t>)</t>
    </r>
  </si>
  <si>
    <r>
      <t xml:space="preserve">&lt;--- </t>
    </r>
    <r>
      <rPr>
        <b/>
        <u/>
        <sz val="10"/>
        <color theme="8" tint="0.79998168889431442"/>
        <rFont val="Arial"/>
        <family val="2"/>
      </rPr>
      <t>Budget Réel à financer</t>
    </r>
    <r>
      <rPr>
        <b/>
        <sz val="10"/>
        <color theme="0"/>
        <rFont val="Arial"/>
        <family val="2"/>
      </rPr>
      <t xml:space="preserve"> (avec les devis retenus et </t>
    </r>
    <r>
      <rPr>
        <b/>
        <u/>
        <sz val="10"/>
        <color rgb="FFFFC000"/>
        <rFont val="Arial"/>
        <family val="2"/>
      </rPr>
      <t>les priorités</t>
    </r>
    <r>
      <rPr>
        <b/>
        <u/>
        <sz val="10"/>
        <color theme="0"/>
        <rFont val="Arial"/>
        <family val="2"/>
      </rPr>
      <t>)</t>
    </r>
  </si>
  <si>
    <r>
      <rPr>
        <b/>
        <sz val="11"/>
        <color theme="9" tint="0.59999389629810485"/>
        <rFont val="Arial"/>
        <family val="2"/>
      </rPr>
      <t>Budget Total</t>
    </r>
    <r>
      <rPr>
        <b/>
        <sz val="10"/>
        <color theme="9" tint="0.59999389629810485"/>
        <rFont val="Arial"/>
        <family val="2"/>
      </rPr>
      <t xml:space="preserve"> </t>
    </r>
    <r>
      <rPr>
        <sz val="10"/>
        <color theme="9" tint="0.59999389629810485"/>
        <rFont val="Arial"/>
        <family val="2"/>
      </rPr>
      <t>(prévisionnelles)</t>
    </r>
  </si>
  <si>
    <r>
      <rPr>
        <b/>
        <sz val="10"/>
        <color theme="6" tint="0.39997558519241921"/>
        <rFont val="Arial"/>
        <family val="2"/>
      </rPr>
      <t>Budget Total</t>
    </r>
    <r>
      <rPr>
        <sz val="10"/>
        <color theme="6" tint="0.39997558519241921"/>
        <rFont val="Arial"/>
        <family val="2"/>
      </rPr>
      <t xml:space="preserve">     (réelles)</t>
    </r>
  </si>
  <si>
    <r>
      <t xml:space="preserve">Budget Réel disponible </t>
    </r>
    <r>
      <rPr>
        <b/>
        <sz val="9"/>
        <color theme="6" tint="0.39997558519241921"/>
        <rFont val="Arial"/>
        <family val="2"/>
      </rPr>
      <t>(à ce jour)</t>
    </r>
  </si>
  <si>
    <t>Budget Total prévisionnel</t>
  </si>
  <si>
    <r>
      <rPr>
        <b/>
        <sz val="11"/>
        <color rgb="FFFFFFCC"/>
        <rFont val="Arial"/>
        <family val="2"/>
      </rPr>
      <t xml:space="preserve">Frais à financer   </t>
    </r>
    <r>
      <rPr>
        <b/>
        <sz val="12"/>
        <color rgb="FFFFFFCC"/>
        <rFont val="Arial"/>
        <family val="2"/>
      </rPr>
      <t xml:space="preserve">     </t>
    </r>
    <r>
      <rPr>
        <sz val="9"/>
        <color rgb="FFFFFFCC"/>
        <rFont val="Arial"/>
        <family val="2"/>
      </rPr>
      <t>(Prix courants)</t>
    </r>
  </si>
  <si>
    <t>Frais à financer</t>
  </si>
  <si>
    <r>
      <rPr>
        <b/>
        <sz val="11"/>
        <color theme="8" tint="0.79998168889431442"/>
        <rFont val="Arial"/>
        <family val="2"/>
      </rPr>
      <t xml:space="preserve">Frais Réels à financer  </t>
    </r>
    <r>
      <rPr>
        <b/>
        <sz val="12"/>
        <color theme="8" tint="0.79998168889431442"/>
        <rFont val="Arial"/>
        <family val="2"/>
      </rPr>
      <t xml:space="preserve">         </t>
    </r>
    <r>
      <rPr>
        <sz val="12"/>
        <color theme="8" tint="0.79998168889431442"/>
        <rFont val="Arial"/>
        <family val="2"/>
      </rPr>
      <t xml:space="preserve">  </t>
    </r>
    <r>
      <rPr>
        <sz val="10"/>
        <color theme="8" tint="0.79998168889431442"/>
        <rFont val="Arial"/>
        <family val="2"/>
      </rPr>
      <t>(avec les devis retenus)</t>
    </r>
  </si>
  <si>
    <t>Frais réels à financer</t>
  </si>
  <si>
    <t>Moyenne mensuelle des épargnes et placements =</t>
  </si>
  <si>
    <t>Moy.mensuelle des remboursements de crédits =</t>
  </si>
  <si>
    <t>Les retraits du mois -&gt;</t>
  </si>
  <si>
    <r>
      <t xml:space="preserve">Horizon </t>
    </r>
    <r>
      <rPr>
        <b/>
        <sz val="10"/>
        <color theme="0"/>
        <rFont val="Arial Unicode MS"/>
      </rPr>
      <t>2 ans</t>
    </r>
  </si>
  <si>
    <t>EXTRA</t>
  </si>
  <si>
    <t>PROJECTION</t>
  </si>
  <si>
    <r>
      <t xml:space="preserve">Horizon </t>
    </r>
    <r>
      <rPr>
        <b/>
        <sz val="10"/>
        <color theme="0"/>
        <rFont val="Arial Unicode MS"/>
      </rPr>
      <t>5 ans</t>
    </r>
  </si>
  <si>
    <t>ExtraP activé</t>
  </si>
  <si>
    <t>ExtraP Off</t>
  </si>
  <si>
    <t>Extra Projection</t>
  </si>
  <si>
    <t>EXTRA-PROJECTION</t>
  </si>
  <si>
    <t>GRAND DISPATCHING</t>
  </si>
  <si>
    <t>%</t>
  </si>
  <si>
    <t>TYPE GRAND DISPATCHING</t>
  </si>
  <si>
    <t>€</t>
  </si>
  <si>
    <t>Activé</t>
  </si>
  <si>
    <t>Désactivé</t>
  </si>
  <si>
    <t xml:space="preserve"> Section EPARGNE &amp; PLACEMENTS</t>
  </si>
  <si>
    <t xml:space="preserve"> Section DETTES &amp; CREDITS</t>
  </si>
  <si>
    <t xml:space="preserve"> Section RESERVES &amp; PROVISIONS</t>
  </si>
  <si>
    <t xml:space="preserve"> Section CHARGES &amp; DEPENSES COURANTES</t>
  </si>
  <si>
    <r>
      <rPr>
        <b/>
        <sz val="9"/>
        <color theme="7" tint="-0.249977111117893"/>
        <rFont val="Arial"/>
        <family val="2"/>
      </rPr>
      <t>REGULATEUR de DISPATCHING</t>
    </r>
    <r>
      <rPr>
        <sz val="10"/>
        <color theme="7" tint="-0.249977111117893"/>
        <rFont val="Arial"/>
        <family val="2"/>
      </rPr>
      <t xml:space="preserve"> - </t>
    </r>
    <r>
      <rPr>
        <sz val="9"/>
        <color theme="7" tint="-0.249977111117893"/>
        <rFont val="Arial"/>
        <family val="2"/>
      </rPr>
      <t xml:space="preserve">Ajuster jusqu'à atteindre "0" </t>
    </r>
    <r>
      <rPr>
        <b/>
        <sz val="9"/>
        <color rgb="FF008000"/>
        <rFont val="Arial"/>
        <family val="2"/>
      </rPr>
      <t>(VERT)</t>
    </r>
  </si>
  <si>
    <t>Equilibre dans les sections -&gt;</t>
  </si>
  <si>
    <t>S1</t>
  </si>
  <si>
    <t>S2</t>
  </si>
  <si>
    <t>S3</t>
  </si>
  <si>
    <t>S4</t>
  </si>
  <si>
    <t>Moyenne mensuelle des revenus =</t>
  </si>
  <si>
    <t>Moy.mensuelle des réserves et provisions =</t>
  </si>
  <si>
    <t>Moy.mensuelle des charges =</t>
  </si>
  <si>
    <t>Cumul des revenus mensuels =</t>
  </si>
  <si>
    <t>Moy. mensuelle progressive =</t>
  </si>
  <si>
    <t>Epargne/Placements/Provisions existantes rendues disponibles =</t>
  </si>
  <si>
    <t>TOTAL mensuel des RESSOURCES DISPONIBLES =</t>
  </si>
  <si>
    <t>TOTAL des avoirs épargne et provisions =</t>
  </si>
  <si>
    <t>Indiquer le nom du projet à financer</t>
  </si>
  <si>
    <t>Indiquer le nom de la provision à financer</t>
  </si>
  <si>
    <t>Indiquer le crédit/prêt/dette à rembourser</t>
  </si>
  <si>
    <t>Cumul annuel</t>
  </si>
  <si>
    <t>Moy. mensuelle</t>
  </si>
  <si>
    <t>épargnés/mois</t>
  </si>
  <si>
    <t>TOTAL annuel des RESSOURCES DISPONIBLES =</t>
  </si>
  <si>
    <t>TOTAL annuel Epargne/Placements/Provisions existantes rendues dispo. =</t>
  </si>
  <si>
    <t>A faire :</t>
  </si>
  <si>
    <t>Réalisé :</t>
  </si>
  <si>
    <t>Prévision :</t>
  </si>
  <si>
    <t>Suivi des affectations budgétaires</t>
  </si>
  <si>
    <r>
      <t xml:space="preserve">Pour une meilleure prise en main, découvrez des formules d'accompagnement et des formations sur le site </t>
    </r>
    <r>
      <rPr>
        <b/>
        <sz val="10"/>
        <color theme="0"/>
        <rFont val="Arial"/>
        <family val="2"/>
      </rPr>
      <t>UneVieDifferente.com</t>
    </r>
  </si>
  <si>
    <t>celui qui l'utilise. Toutefois, cela n'est pas une garantie absolue, car plusieurs paramètres externes peuvent le rendre inefficace.</t>
  </si>
  <si>
    <t>résultats de formules. Le concepteur du fichier Budget Gold ne peut être tenu pour responsable des éventuels problèmes financiers</t>
  </si>
  <si>
    <t>que pourrait rencontrer l'utilisateur, ni poursuivi en cas d'erreur dans les formules de calculs.</t>
  </si>
  <si>
    <t>ea</t>
  </si>
  <si>
    <t>Rang</t>
  </si>
  <si>
    <t>PATRIMOINE A - FONCIER et IMMOBILIER (Valeur nette)</t>
  </si>
  <si>
    <t>PATRIMOINE</t>
  </si>
  <si>
    <t>PATRIMOINE C - EQUIPEMENTS DE VALEUR, VEHICULES (Valeur nette)</t>
  </si>
  <si>
    <t>PATRIMOINE B - OBJETS et METAUX PRECIEUX</t>
  </si>
  <si>
    <t>PATRIMOINE D - AUTRES (Parts de sociétés, cryptomonnaie, créances, etc.)</t>
  </si>
  <si>
    <t>Valeur estimée des PATRIMOINES A, B, C et D =</t>
  </si>
  <si>
    <r>
      <t xml:space="preserve">Version 2026 </t>
    </r>
    <r>
      <rPr>
        <sz val="8"/>
        <color theme="0"/>
        <rFont val="Arial"/>
        <family val="2"/>
      </rPr>
      <t>Révision VMAX EUR</t>
    </r>
  </si>
  <si>
    <t>© Copyright 2003-2026, Christian SABOUKOULOU, Tous droits réservés</t>
  </si>
  <si>
    <t>PIZEUIL</t>
  </si>
  <si>
    <t>Compte courant - BANXO</t>
  </si>
  <si>
    <t>Compte courant - Revolut</t>
  </si>
  <si>
    <t>Livret A - BANXO</t>
  </si>
  <si>
    <t>PEA - Bourse direct</t>
  </si>
  <si>
    <t>Assurance vie - Finarylife</t>
  </si>
  <si>
    <t xml:space="preserve">Placements financiers </t>
  </si>
  <si>
    <t>Fonds euros - Finarylife</t>
  </si>
  <si>
    <t>PEA - INVESTISSEMENTS</t>
  </si>
  <si>
    <t>Provision - Achat cuisine</t>
  </si>
  <si>
    <t>Assurance vie "INVESTISSEMENTS"</t>
  </si>
  <si>
    <t>Epargne pour 'FORMATION" (compétences, etc.)</t>
  </si>
  <si>
    <t>Epargne pour "Mariage"</t>
  </si>
  <si>
    <t>internet Téléphone</t>
  </si>
  <si>
    <t>abonnement youtube</t>
  </si>
  <si>
    <t>Provision - Achat chambre</t>
  </si>
  <si>
    <t>Provision - Achat bureau</t>
  </si>
  <si>
    <t>Provision - Achat séjour</t>
  </si>
  <si>
    <t>électricité</t>
  </si>
  <si>
    <t>aboonement icloud</t>
  </si>
  <si>
    <t>abonnement amazon</t>
  </si>
  <si>
    <t>Abonnement Internet maison et internet téléphone</t>
  </si>
  <si>
    <t>Epargne pour "Projet personnel"</t>
  </si>
  <si>
    <t>Trésorerie "Jeune prodige conférence"</t>
  </si>
  <si>
    <t>Capital "NAISSANCE" - Enfant 1</t>
  </si>
  <si>
    <t>Capital "NAISSANCE" - Enfant 2</t>
  </si>
  <si>
    <t>nourriture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</si>
</sst>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quot;€&quot;;[Red]\-#,##0\ &quot;€&quot;"/>
    <numFmt numFmtId="165" formatCode="#,##0.00\ &quot;€&quot;;[Red]\-#,##0.00\ &quot;€&quot;"/>
    <numFmt numFmtId="166" formatCode="#,##0.00\ &quot;€&quot;"/>
    <numFmt numFmtId="167" formatCode="#,##0\ &quot;€&quot;"/>
    <numFmt numFmtId="168" formatCode="dd/mm/yyyy;@"/>
  </numFmts>
  <fonts count="197">
    <font>
      <sz val="10"/>
      <name val="Arial"/>
    </font>
    <font>
      <sz val="10"/>
      <name val="Arial"/>
      <family val="2"/>
    </font>
    <font>
      <sz val="12"/>
      <name val="Arial"/>
      <family val="2"/>
    </font>
    <font>
      <sz val="8"/>
      <name val="Arial"/>
      <family val="2"/>
    </font>
    <font>
      <b/>
      <sz val="12"/>
      <name val="Arial"/>
      <family val="2"/>
    </font>
    <font>
      <b/>
      <sz val="10"/>
      <name val="Arial"/>
      <family val="2"/>
    </font>
    <font>
      <sz val="11"/>
      <color indexed="18"/>
      <name val="Arial"/>
      <family val="2"/>
    </font>
    <font>
      <u/>
      <sz val="10"/>
      <color indexed="12"/>
      <name val="Arial"/>
      <family val="2"/>
    </font>
    <font>
      <b/>
      <sz val="11"/>
      <name val="Arial"/>
      <family val="2"/>
    </font>
    <font>
      <sz val="7"/>
      <name val="Arial"/>
      <family val="2"/>
    </font>
    <font>
      <sz val="9"/>
      <color theme="4" tint="-0.249977111117893"/>
      <name val="Arial"/>
      <family val="2"/>
    </font>
    <font>
      <sz val="10"/>
      <color theme="4" tint="-0.249977111117893"/>
      <name val="Arial"/>
      <family val="2"/>
    </font>
    <font>
      <sz val="12"/>
      <name val="Arial"/>
      <family val="2"/>
    </font>
    <font>
      <sz val="7"/>
      <name val="Arial"/>
      <family val="2"/>
    </font>
    <font>
      <sz val="10"/>
      <name val="Arial"/>
      <family val="2"/>
    </font>
    <font>
      <b/>
      <sz val="10"/>
      <color indexed="9"/>
      <name val="Arial"/>
      <family val="2"/>
    </font>
    <font>
      <sz val="10"/>
      <color theme="0"/>
      <name val="Arial"/>
      <family val="2"/>
    </font>
    <font>
      <sz val="11"/>
      <name val="Arial"/>
      <family val="2"/>
    </font>
    <font>
      <sz val="8"/>
      <name val="Arial"/>
      <family val="2"/>
    </font>
    <font>
      <sz val="9"/>
      <name val="Arial"/>
      <family val="2"/>
    </font>
    <font>
      <sz val="7"/>
      <color rgb="FF0070C0"/>
      <name val="Arial"/>
      <family val="2"/>
    </font>
    <font>
      <sz val="8"/>
      <color theme="0"/>
      <name val="Arial"/>
      <family val="2"/>
    </font>
    <font>
      <sz val="9"/>
      <color theme="0"/>
      <name val="Arial"/>
      <family val="2"/>
    </font>
    <font>
      <b/>
      <sz val="10"/>
      <color theme="0"/>
      <name val="Arial"/>
      <family val="2"/>
    </font>
    <font>
      <b/>
      <sz val="10"/>
      <color theme="0"/>
      <name val="Arial Unicode MS"/>
      <family val="2"/>
    </font>
    <font>
      <sz val="9"/>
      <name val="Arial Unicode MS"/>
      <family val="2"/>
    </font>
    <font>
      <sz val="14"/>
      <color theme="0"/>
      <name val="Arial"/>
      <family val="2"/>
    </font>
    <font>
      <sz val="8"/>
      <color rgb="FFFF0000"/>
      <name val="Arial"/>
      <family val="2"/>
    </font>
    <font>
      <sz val="10"/>
      <color theme="0"/>
      <name val="Arial Unicode MS"/>
      <family val="2"/>
    </font>
    <font>
      <b/>
      <sz val="10"/>
      <name val="Arial Unicode MS"/>
      <family val="2"/>
    </font>
    <font>
      <sz val="10"/>
      <color theme="9" tint="0.59999389629810485"/>
      <name val="Arial"/>
      <family val="2"/>
    </font>
    <font>
      <sz val="10"/>
      <name val="Arial Unicode MS"/>
      <family val="2"/>
    </font>
    <font>
      <sz val="7"/>
      <color rgb="FF0070C0"/>
      <name val="Arial Unicode MS"/>
      <family val="2"/>
    </font>
    <font>
      <sz val="7"/>
      <color rgb="FFC00000"/>
      <name val="Arial Unicode MS"/>
      <family val="2"/>
    </font>
    <font>
      <sz val="8"/>
      <color rgb="FFC00000"/>
      <name val="Arial Unicode MS"/>
      <family val="2"/>
    </font>
    <font>
      <sz val="8"/>
      <color theme="3"/>
      <name val="Arial"/>
      <family val="2"/>
    </font>
    <font>
      <b/>
      <sz val="9"/>
      <color indexed="62"/>
      <name val="Arial Unicode MS"/>
      <family val="2"/>
    </font>
    <font>
      <sz val="10"/>
      <color theme="3"/>
      <name val="Arial Unicode MS"/>
      <family val="2"/>
    </font>
    <font>
      <sz val="10"/>
      <color theme="5" tint="-0.249977111117893"/>
      <name val="Arial Unicode MS"/>
      <family val="2"/>
    </font>
    <font>
      <b/>
      <u/>
      <sz val="10"/>
      <color theme="0"/>
      <name val="Arial"/>
      <family val="2"/>
    </font>
    <font>
      <b/>
      <sz val="10"/>
      <color theme="3"/>
      <name val="Arial Unicode MS"/>
      <family val="2"/>
    </font>
    <font>
      <u/>
      <sz val="10"/>
      <color theme="0"/>
      <name val="Arial"/>
      <family val="2"/>
    </font>
    <font>
      <sz val="10"/>
      <color rgb="FFC00000"/>
      <name val="Arial"/>
      <family val="2"/>
    </font>
    <font>
      <sz val="16"/>
      <color theme="3" tint="0.79998168889431442"/>
      <name val="Arial"/>
      <family val="2"/>
    </font>
    <font>
      <b/>
      <sz val="12"/>
      <color theme="0"/>
      <name val="Arial"/>
      <family val="2"/>
    </font>
    <font>
      <sz val="10"/>
      <color theme="4" tint="-0.249977111117893"/>
      <name val="Arial Unicode MS"/>
      <family val="2"/>
    </font>
    <font>
      <sz val="9"/>
      <color theme="9" tint="-0.499984740745262"/>
      <name val="Arial Unicode MS"/>
      <family val="2"/>
    </font>
    <font>
      <sz val="10"/>
      <color theme="5" tint="0.79998168889431442"/>
      <name val="Arial"/>
      <family val="2"/>
    </font>
    <font>
      <b/>
      <u/>
      <sz val="12"/>
      <color rgb="FFFFFF00"/>
      <name val="Arial"/>
      <family val="2"/>
    </font>
    <font>
      <sz val="8"/>
      <color theme="5" tint="0.59999389629810485"/>
      <name val="Arial"/>
      <family val="2"/>
    </font>
    <font>
      <b/>
      <sz val="10"/>
      <color rgb="FF008000"/>
      <name val="Arial"/>
      <family val="2"/>
    </font>
    <font>
      <sz val="9"/>
      <color theme="0" tint="-0.249977111117893"/>
      <name val="Arial"/>
      <family val="2"/>
    </font>
    <font>
      <sz val="10"/>
      <color theme="5"/>
      <name val="Arial"/>
      <family val="2"/>
    </font>
    <font>
      <sz val="10"/>
      <color rgb="FF008000"/>
      <name val="Arial"/>
      <family val="2"/>
    </font>
    <font>
      <b/>
      <sz val="12"/>
      <color theme="3"/>
      <name val="Arial"/>
      <family val="2"/>
    </font>
    <font>
      <sz val="12"/>
      <color theme="3"/>
      <name val="Arial"/>
      <family val="2"/>
    </font>
    <font>
      <b/>
      <sz val="16"/>
      <color theme="0"/>
      <name val="Arial"/>
      <family val="2"/>
    </font>
    <font>
      <b/>
      <sz val="10"/>
      <color theme="5"/>
      <name val="Arial"/>
      <family val="2"/>
    </font>
    <font>
      <b/>
      <sz val="26"/>
      <color theme="0"/>
      <name val="Arial"/>
      <family val="2"/>
    </font>
    <font>
      <b/>
      <sz val="10"/>
      <color theme="3"/>
      <name val="Arial"/>
      <family val="2"/>
    </font>
    <font>
      <b/>
      <sz val="10"/>
      <color rgb="FFFFFF99"/>
      <name val="Arial"/>
      <family val="2"/>
    </font>
    <font>
      <sz val="9"/>
      <color rgb="FFFFFF99"/>
      <name val="Arial"/>
      <family val="2"/>
    </font>
    <font>
      <sz val="16"/>
      <color theme="0"/>
      <name val="Arial"/>
      <family val="2"/>
    </font>
    <font>
      <b/>
      <sz val="26"/>
      <color theme="8" tint="0.79998168889431442"/>
      <name val="Arial"/>
      <family val="2"/>
    </font>
    <font>
      <b/>
      <sz val="72"/>
      <color theme="8" tint="0.79998168889431442"/>
      <name val="Arial"/>
      <family val="2"/>
    </font>
    <font>
      <b/>
      <sz val="14"/>
      <color rgb="FFFFFF00"/>
      <name val="Bradley Hand ITC"/>
      <family val="4"/>
    </font>
    <font>
      <b/>
      <u/>
      <sz val="16"/>
      <name val="Arial"/>
      <family val="2"/>
    </font>
    <font>
      <sz val="9"/>
      <color theme="0" tint="-0.499984740745262"/>
      <name val="Arial"/>
      <family val="2"/>
    </font>
    <font>
      <u/>
      <sz val="10"/>
      <color indexed="12"/>
      <name val="Arial"/>
      <family val="2"/>
    </font>
    <font>
      <sz val="8"/>
      <color rgb="FF92D050"/>
      <name val="Arial"/>
      <family val="2"/>
    </font>
    <font>
      <b/>
      <sz val="10"/>
      <color rgb="FF0066FF"/>
      <name val="Arial"/>
      <family val="2"/>
    </font>
    <font>
      <b/>
      <sz val="11"/>
      <color indexed="10"/>
      <name val="Arial"/>
      <family val="2"/>
    </font>
    <font>
      <b/>
      <sz val="10"/>
      <color indexed="10"/>
      <name val="Arial"/>
      <family val="2"/>
    </font>
    <font>
      <b/>
      <sz val="8"/>
      <color indexed="81"/>
      <name val="Tahoma"/>
      <family val="2"/>
    </font>
    <font>
      <sz val="8"/>
      <color indexed="81"/>
      <name val="Tahoma"/>
      <family val="2"/>
    </font>
    <font>
      <b/>
      <sz val="11"/>
      <color theme="0"/>
      <name val="Arial"/>
      <family val="2"/>
    </font>
    <font>
      <u/>
      <sz val="9"/>
      <color theme="0"/>
      <name val="Arial"/>
      <family val="2"/>
    </font>
    <font>
      <b/>
      <sz val="24"/>
      <color theme="0"/>
      <name val="Arial"/>
      <family val="2"/>
    </font>
    <font>
      <b/>
      <sz val="20"/>
      <color indexed="43"/>
      <name val="Berlin Sans FB Demi"/>
      <family val="2"/>
    </font>
    <font>
      <b/>
      <sz val="12"/>
      <color indexed="9"/>
      <name val="Arial"/>
      <family val="2"/>
    </font>
    <font>
      <sz val="10"/>
      <color indexed="9"/>
      <name val="Arial"/>
      <family val="2"/>
    </font>
    <font>
      <b/>
      <sz val="10"/>
      <color indexed="41"/>
      <name val="Arial"/>
      <family val="2"/>
    </font>
    <font>
      <sz val="8"/>
      <color indexed="9"/>
      <name val="Arial"/>
      <family val="2"/>
    </font>
    <font>
      <sz val="8"/>
      <name val="Arial Unicode MS"/>
      <family val="2"/>
    </font>
    <font>
      <b/>
      <sz val="9"/>
      <name val="Arial Unicode MS"/>
      <family val="2"/>
    </font>
    <font>
      <sz val="9"/>
      <color indexed="62"/>
      <name val="Arial Unicode MS"/>
      <family val="2"/>
    </font>
    <font>
      <sz val="10"/>
      <color indexed="41"/>
      <name val="Arial"/>
      <family val="2"/>
    </font>
    <font>
      <sz val="8"/>
      <color indexed="9"/>
      <name val="Arial Unicode MS"/>
      <family val="2"/>
    </font>
    <font>
      <b/>
      <sz val="11"/>
      <color indexed="9"/>
      <name val="Arial Unicode MS"/>
      <family val="2"/>
    </font>
    <font>
      <b/>
      <sz val="8"/>
      <color indexed="9"/>
      <name val="Arial Unicode MS"/>
      <family val="2"/>
    </font>
    <font>
      <b/>
      <sz val="10"/>
      <color indexed="9"/>
      <name val="Arial Unicode MS"/>
      <family val="2"/>
    </font>
    <font>
      <sz val="8"/>
      <color indexed="9"/>
      <name val="Arial"/>
      <family val="2"/>
    </font>
    <font>
      <b/>
      <sz val="11"/>
      <name val="Arial Unicode MS"/>
      <family val="2"/>
    </font>
    <font>
      <b/>
      <sz val="8"/>
      <name val="Arial Unicode MS"/>
      <family val="2"/>
    </font>
    <font>
      <b/>
      <sz val="9"/>
      <color indexed="41"/>
      <name val="Arial"/>
      <family val="2"/>
    </font>
    <font>
      <b/>
      <sz val="11"/>
      <color indexed="56"/>
      <name val="Arial Unicode MS"/>
      <family val="2"/>
    </font>
    <font>
      <b/>
      <u/>
      <sz val="10"/>
      <color indexed="41"/>
      <name val="Arial"/>
      <family val="2"/>
    </font>
    <font>
      <sz val="10"/>
      <color indexed="43"/>
      <name val="Arial"/>
      <family val="2"/>
    </font>
    <font>
      <sz val="8"/>
      <color indexed="43"/>
      <name val="Arial"/>
      <family val="2"/>
    </font>
    <font>
      <b/>
      <sz val="10"/>
      <color indexed="43"/>
      <name val="Arial"/>
      <family val="2"/>
    </font>
    <font>
      <sz val="10"/>
      <color indexed="9"/>
      <name val="Arial"/>
      <family val="2"/>
    </font>
    <font>
      <sz val="9"/>
      <color rgb="FFFFFF00"/>
      <name val="Arial"/>
      <family val="2"/>
    </font>
    <font>
      <b/>
      <sz val="24"/>
      <color indexed="43"/>
      <name val="Berlin Sans FB Demi"/>
      <family val="2"/>
    </font>
    <font>
      <b/>
      <sz val="10"/>
      <color rgb="FFFFFF00"/>
      <name val="Arial"/>
      <family val="2"/>
    </font>
    <font>
      <b/>
      <sz val="13"/>
      <color rgb="FFFFFF99"/>
      <name val="Arial"/>
      <family val="2"/>
    </font>
    <font>
      <b/>
      <sz val="16"/>
      <color indexed="43"/>
      <name val="Berlin Sans FB Demi"/>
      <family val="2"/>
    </font>
    <font>
      <sz val="9"/>
      <color indexed="81"/>
      <name val="Tahoma"/>
      <family val="2"/>
    </font>
    <font>
      <b/>
      <sz val="9"/>
      <color indexed="81"/>
      <name val="Tahoma"/>
      <family val="2"/>
    </font>
    <font>
      <sz val="9"/>
      <color rgb="FF0070C0"/>
      <name val="Arial"/>
      <family val="2"/>
    </font>
    <font>
      <b/>
      <sz val="9"/>
      <name val="Arial"/>
      <family val="2"/>
    </font>
    <font>
      <b/>
      <sz val="9"/>
      <color theme="0"/>
      <name val="Arial"/>
      <family val="2"/>
    </font>
    <font>
      <b/>
      <sz val="20"/>
      <color theme="0"/>
      <name val="Arial"/>
      <family val="2"/>
    </font>
    <font>
      <b/>
      <sz val="14"/>
      <color theme="0"/>
      <name val="Arial"/>
      <family val="2"/>
    </font>
    <font>
      <sz val="12"/>
      <color theme="0"/>
      <name val="Arial"/>
      <family val="2"/>
    </font>
    <font>
      <sz val="10"/>
      <color theme="7" tint="-0.499984740745262"/>
      <name val="Arial"/>
      <family val="2"/>
    </font>
    <font>
      <b/>
      <sz val="11"/>
      <color rgb="FF006600"/>
      <name val="Arial"/>
      <family val="2"/>
    </font>
    <font>
      <b/>
      <sz val="11"/>
      <color theme="3"/>
      <name val="Arial"/>
      <family val="2"/>
    </font>
    <font>
      <sz val="24"/>
      <color theme="0"/>
      <name val="Arial"/>
      <family val="2"/>
    </font>
    <font>
      <sz val="16"/>
      <color theme="0"/>
      <name val="Blackadder ITC"/>
      <family val="5"/>
    </font>
    <font>
      <sz val="11"/>
      <color theme="0"/>
      <name val="Arial"/>
      <family val="2"/>
    </font>
    <font>
      <sz val="18"/>
      <color rgb="FFFFFF99"/>
      <name val="Arial"/>
      <family val="2"/>
    </font>
    <font>
      <b/>
      <sz val="22"/>
      <color theme="0"/>
      <name val="Arial"/>
      <family val="2"/>
    </font>
    <font>
      <b/>
      <sz val="21"/>
      <color theme="0"/>
      <name val="Arial"/>
      <family val="2"/>
    </font>
    <font>
      <b/>
      <sz val="12"/>
      <color rgb="FF7030A0"/>
      <name val="Arial"/>
      <family val="2"/>
    </font>
    <font>
      <u/>
      <sz val="16"/>
      <color rgb="FFFFFF99"/>
      <name val="Arial"/>
      <family val="2"/>
    </font>
    <font>
      <b/>
      <u/>
      <sz val="10"/>
      <color rgb="FFFFC000"/>
      <name val="Arial"/>
      <family val="2"/>
    </font>
    <font>
      <b/>
      <u/>
      <sz val="10"/>
      <color rgb="FFFFFF99"/>
      <name val="Arial"/>
      <family val="2"/>
    </font>
    <font>
      <b/>
      <u/>
      <sz val="10"/>
      <color theme="8" tint="0.79998168889431442"/>
      <name val="Arial"/>
      <family val="2"/>
    </font>
    <font>
      <b/>
      <sz val="14"/>
      <color rgb="FFFFC000"/>
      <name val="Arial"/>
      <family val="2"/>
    </font>
    <font>
      <b/>
      <sz val="11"/>
      <color rgb="FFFFC000"/>
      <name val="Arial"/>
      <family val="2"/>
    </font>
    <font>
      <sz val="12"/>
      <color rgb="FFFFC000"/>
      <name val="Arial"/>
      <family val="2"/>
    </font>
    <font>
      <b/>
      <sz val="12"/>
      <color rgb="FFFFC000"/>
      <name val="Arial"/>
      <family val="2"/>
    </font>
    <font>
      <b/>
      <sz val="12"/>
      <color theme="6" tint="0.39997558519241921"/>
      <name val="Arial"/>
      <family val="2"/>
    </font>
    <font>
      <sz val="11"/>
      <color theme="6" tint="0.39997558519241921"/>
      <name val="Arial"/>
      <family val="2"/>
    </font>
    <font>
      <b/>
      <sz val="11"/>
      <color theme="6" tint="0.39997558519241921"/>
      <name val="Arial"/>
      <family val="2"/>
    </font>
    <font>
      <b/>
      <sz val="10"/>
      <color theme="9" tint="0.59999389629810485"/>
      <name val="Arial"/>
      <family val="2"/>
    </font>
    <font>
      <sz val="11"/>
      <color theme="9" tint="0.59999389629810485"/>
      <name val="Arial"/>
      <family val="2"/>
    </font>
    <font>
      <b/>
      <sz val="11"/>
      <color theme="9" tint="0.59999389629810485"/>
      <name val="Arial"/>
      <family val="2"/>
    </font>
    <font>
      <sz val="9"/>
      <color theme="9" tint="0.59999389629810485"/>
      <name val="Arial"/>
      <family val="2"/>
    </font>
    <font>
      <b/>
      <sz val="10"/>
      <color rgb="FFFF0000"/>
      <name val="Arial"/>
      <family val="2"/>
    </font>
    <font>
      <b/>
      <u/>
      <sz val="16"/>
      <color theme="0"/>
      <name val="Arial"/>
      <family val="2"/>
    </font>
    <font>
      <b/>
      <sz val="9"/>
      <color theme="6" tint="0.39997558519241921"/>
      <name val="Arial"/>
      <family val="2"/>
    </font>
    <font>
      <sz val="9"/>
      <color theme="6" tint="0.39997558519241921"/>
      <name val="Arial"/>
      <family val="2"/>
    </font>
    <font>
      <u/>
      <sz val="9"/>
      <color rgb="FF0070C0"/>
      <name val="Arial"/>
      <family val="2"/>
    </font>
    <font>
      <sz val="10"/>
      <color theme="6" tint="0.39997558519241921"/>
      <name val="Arial"/>
      <family val="2"/>
    </font>
    <font>
      <b/>
      <sz val="10"/>
      <color theme="6" tint="0.39997558519241921"/>
      <name val="Arial"/>
      <family val="2"/>
    </font>
    <font>
      <b/>
      <sz val="11"/>
      <color theme="8" tint="0.79998168889431442"/>
      <name val="Arial"/>
      <family val="2"/>
    </font>
    <font>
      <b/>
      <sz val="12"/>
      <color theme="8" tint="0.79998168889431442"/>
      <name val="Arial"/>
      <family val="2"/>
    </font>
    <font>
      <sz val="12"/>
      <color theme="8" tint="0.79998168889431442"/>
      <name val="Arial"/>
      <family val="2"/>
    </font>
    <font>
      <sz val="10"/>
      <color theme="8" tint="0.79998168889431442"/>
      <name val="Arial"/>
      <family val="2"/>
    </font>
    <font>
      <b/>
      <sz val="12"/>
      <color rgb="FFFFFFCC"/>
      <name val="Arial"/>
      <family val="2"/>
    </font>
    <font>
      <b/>
      <sz val="11"/>
      <color rgb="FFFFFFCC"/>
      <name val="Arial"/>
      <family val="2"/>
    </font>
    <font>
      <sz val="9"/>
      <color rgb="FFFFFFCC"/>
      <name val="Arial"/>
      <family val="2"/>
    </font>
    <font>
      <sz val="8"/>
      <color rgb="FF006600"/>
      <name val="Arial"/>
      <family val="2"/>
    </font>
    <font>
      <b/>
      <sz val="8"/>
      <name val="Arial"/>
      <family val="2"/>
    </font>
    <font>
      <b/>
      <sz val="8"/>
      <color theme="0"/>
      <name val="Arial"/>
      <family val="2"/>
    </font>
    <font>
      <b/>
      <sz val="9"/>
      <color theme="0"/>
      <name val="Arial Unicode MS"/>
      <family val="2"/>
    </font>
    <font>
      <b/>
      <sz val="10"/>
      <color theme="0"/>
      <name val="Arial Unicode MS"/>
    </font>
    <font>
      <b/>
      <sz val="10"/>
      <color rgb="FF00B050"/>
      <name val="Arial Unicode MS"/>
    </font>
    <font>
      <b/>
      <sz val="10"/>
      <color rgb="FF008000"/>
      <name val="Arial Unicode MS"/>
    </font>
    <font>
      <sz val="10"/>
      <name val="Arial unicode"/>
    </font>
    <font>
      <sz val="10"/>
      <color theme="7" tint="-0.249977111117893"/>
      <name val="Arial"/>
      <family val="2"/>
    </font>
    <font>
      <sz val="9"/>
      <color theme="7" tint="-0.249977111117893"/>
      <name val="Arial"/>
      <family val="2"/>
    </font>
    <font>
      <sz val="12"/>
      <name val="Arial unicode"/>
    </font>
    <font>
      <b/>
      <sz val="9"/>
      <color rgb="FF008000"/>
      <name val="Arial"/>
      <family val="2"/>
    </font>
    <font>
      <b/>
      <sz val="9"/>
      <color theme="7" tint="-0.249977111117893"/>
      <name val="Arial"/>
      <family val="2"/>
    </font>
    <font>
      <sz val="10"/>
      <color rgb="FF008000"/>
      <name val="Arial Unicode MS"/>
      <family val="2"/>
    </font>
    <font>
      <b/>
      <sz val="10"/>
      <color theme="1"/>
      <name val="Arial"/>
      <family val="2"/>
    </font>
    <font>
      <sz val="10"/>
      <name val="Arial Unicode MS"/>
    </font>
    <font>
      <sz val="9"/>
      <color theme="6" tint="-0.499984740745262"/>
      <name val="Arial Unicode MS"/>
    </font>
    <font>
      <sz val="9"/>
      <color theme="1"/>
      <name val="Arial Unicode MS"/>
    </font>
    <font>
      <sz val="9"/>
      <color theme="9" tint="-0.499984740745262"/>
      <name val="Arial Unicode MS"/>
    </font>
    <font>
      <b/>
      <sz val="10"/>
      <color rgb="FF92D050"/>
      <name val="Arial"/>
      <family val="2"/>
    </font>
    <font>
      <b/>
      <sz val="12"/>
      <color rgb="FF008000"/>
      <name val="Arial"/>
      <family val="2"/>
    </font>
    <font>
      <b/>
      <i/>
      <sz val="9"/>
      <color indexed="81"/>
      <name val="Tahoma"/>
      <family val="2"/>
    </font>
    <font>
      <sz val="9"/>
      <color theme="1" tint="0.499984740745262"/>
      <name val="Arial Unicode MS"/>
      <family val="2"/>
    </font>
    <font>
      <sz val="9"/>
      <color theme="1" tint="0.499984740745262"/>
      <name val="Arial"/>
      <family val="2"/>
    </font>
    <font>
      <sz val="10"/>
      <color rgb="FF92D050"/>
      <name val="Arial"/>
      <family val="2"/>
    </font>
    <font>
      <sz val="10"/>
      <color rgb="FFFFFF99"/>
      <name val="Arial"/>
      <family val="2"/>
    </font>
    <font>
      <sz val="9"/>
      <color theme="9" tint="-0.249977111117893"/>
      <name val="Arial"/>
      <family val="2"/>
    </font>
    <font>
      <sz val="9"/>
      <color rgb="FF006600"/>
      <name val="Arial"/>
      <family val="2"/>
    </font>
    <font>
      <sz val="6"/>
      <name val="Arial"/>
      <family val="2"/>
    </font>
    <font>
      <b/>
      <u/>
      <sz val="12"/>
      <color rgb="FFFFFF99"/>
      <name val="Arial"/>
      <family val="2"/>
    </font>
    <font>
      <i/>
      <sz val="9"/>
      <color indexed="81"/>
      <name val="Tahoma"/>
      <family val="2"/>
    </font>
    <font>
      <sz val="8"/>
      <color rgb="FF7030A0"/>
      <name val="Arial"/>
      <family val="2"/>
    </font>
    <font>
      <vertAlign val="superscript"/>
      <sz val="10"/>
      <color rgb="FF7030A0"/>
      <name val="Arial"/>
      <family val="2"/>
    </font>
    <font>
      <sz val="8"/>
      <color rgb="FFFFFF00"/>
      <name val="Arial"/>
      <family val="2"/>
    </font>
    <font>
      <b/>
      <sz val="10"/>
      <color rgb="FFFFFF00"/>
      <name val="Arial Unicode MS"/>
      <family val="2"/>
    </font>
    <font>
      <b/>
      <sz val="10"/>
      <color rgb="FF0070C0"/>
      <name val="Arial"/>
      <family val="2"/>
    </font>
    <font>
      <b/>
      <sz val="9"/>
      <color rgb="FF000000"/>
      <name val="Tahoma"/>
      <family val="2"/>
    </font>
    <font>
      <sz val="9"/>
      <color rgb="FF000000"/>
      <name val="Tahoma"/>
      <family val="2"/>
    </font>
    <font>
      <i/>
      <sz val="9"/>
      <color rgb="FF000000"/>
      <name val="Tahoma"/>
      <family val="2"/>
    </font>
    <font>
      <b/>
      <i/>
      <sz val="9"/>
      <color rgb="FF000000"/>
      <name val="Tahoma"/>
      <family val="2"/>
    </font>
    <font>
      <u/>
      <sz val="9"/>
      <color rgb="FF000000"/>
      <name val="Tahoma"/>
      <family val="2"/>
    </font>
    <font>
      <sz val="10"/>
      <color rgb="FF000000"/>
      <name val="Tahoma"/>
      <family val="2"/>
    </font>
    <font>
      <b/>
      <sz val="10"/>
      <color rgb="FF000000"/>
      <name val="Tahoma"/>
      <family val="2"/>
    </font>
    <font>
      <b/>
      <sz val="7"/>
      <color rgb="FF0070C0"/>
      <name val="Arial Unicode MS"/>
      <family val="2"/>
    </font>
  </fonts>
  <fills count="4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7"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rgb="FFFFFF99"/>
        <bgColor indexed="64"/>
      </patternFill>
    </fill>
    <fill>
      <patternFill patternType="solid">
        <fgColor rgb="FFFFFFCC"/>
        <bgColor indexed="64"/>
      </patternFill>
    </fill>
    <fill>
      <patternFill patternType="solid">
        <fgColor theme="3" tint="-0.499984740745262"/>
        <bgColor indexed="64"/>
      </patternFill>
    </fill>
    <fill>
      <patternFill patternType="solid">
        <fgColor rgb="FF0066FF"/>
        <bgColor indexed="64"/>
      </patternFill>
    </fill>
    <fill>
      <patternFill patternType="solid">
        <fgColor theme="1"/>
        <bgColor indexed="64"/>
      </patternFill>
    </fill>
    <fill>
      <patternFill patternType="solid">
        <fgColor rgb="FF00B050"/>
        <bgColor indexed="64"/>
      </patternFill>
    </fill>
    <fill>
      <patternFill patternType="solid">
        <fgColor theme="7"/>
        <bgColor indexed="64"/>
      </patternFill>
    </fill>
    <fill>
      <patternFill patternType="solid">
        <fgColor rgb="FF006600"/>
        <bgColor indexed="64"/>
      </patternFill>
    </fill>
    <fill>
      <patternFill patternType="solid">
        <fgColor rgb="FFC00000"/>
        <bgColor indexed="64"/>
      </patternFill>
    </fill>
    <fill>
      <patternFill patternType="solid">
        <fgColor theme="5"/>
        <bgColor indexed="64"/>
      </patternFill>
    </fill>
    <fill>
      <patternFill patternType="solid">
        <fgColor theme="0" tint="-0.14999847407452621"/>
        <bgColor indexed="64"/>
      </patternFill>
    </fill>
    <fill>
      <patternFill patternType="solid">
        <fgColor theme="3"/>
        <bgColor indexed="64"/>
      </patternFill>
    </fill>
    <fill>
      <patternFill patternType="solid">
        <fgColor rgb="FFFF0000"/>
        <bgColor indexed="64"/>
      </patternFill>
    </fill>
    <fill>
      <patternFill patternType="solid">
        <fgColor rgb="FF002060"/>
        <bgColor indexed="64"/>
      </patternFill>
    </fill>
    <fill>
      <patternFill patternType="solid">
        <fgColor rgb="FF00B0F0"/>
        <bgColor indexed="64"/>
      </patternFill>
    </fill>
    <fill>
      <patternFill patternType="solid">
        <fgColor theme="8"/>
        <bgColor indexed="64"/>
      </patternFill>
    </fill>
    <fill>
      <patternFill patternType="solid">
        <fgColor theme="3" tint="0.39997558519241921"/>
        <bgColor indexed="64"/>
      </patternFill>
    </fill>
    <fill>
      <patternFill patternType="solid">
        <fgColor indexed="54"/>
        <bgColor indexed="64"/>
      </patternFill>
    </fill>
    <fill>
      <patternFill patternType="solid">
        <fgColor indexed="9"/>
        <bgColor indexed="64"/>
      </patternFill>
    </fill>
    <fill>
      <patternFill patternType="solid">
        <fgColor indexed="57"/>
        <bgColor indexed="64"/>
      </patternFill>
    </fill>
    <fill>
      <patternFill patternType="solid">
        <fgColor indexed="58"/>
        <bgColor indexed="64"/>
      </patternFill>
    </fill>
    <fill>
      <patternFill patternType="solid">
        <fgColor indexed="52"/>
        <bgColor indexed="64"/>
      </patternFill>
    </fill>
    <fill>
      <patternFill patternType="solid">
        <fgColor rgb="FF0070C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CC0099"/>
        <bgColor indexed="64"/>
      </patternFill>
    </fill>
    <fill>
      <patternFill patternType="solid">
        <fgColor theme="4" tint="0.39997558519241921"/>
        <bgColor indexed="64"/>
      </patternFill>
    </fill>
    <fill>
      <patternFill patternType="solid">
        <fgColor theme="7" tint="-0.249977111117893"/>
        <bgColor indexed="64"/>
      </patternFill>
    </fill>
    <fill>
      <patternFill patternType="solid">
        <fgColor theme="3" tint="-0.249977111117893"/>
        <bgColor indexed="64"/>
      </patternFill>
    </fill>
    <fill>
      <patternFill patternType="solid">
        <fgColor rgb="FF008000"/>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6" tint="0.39997558519241921"/>
        <bgColor indexed="64"/>
      </patternFill>
    </fill>
  </fills>
  <borders count="8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theme="0"/>
      </right>
      <top style="thin">
        <color theme="0"/>
      </top>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medium">
        <color theme="0"/>
      </left>
      <right style="medium">
        <color theme="0"/>
      </right>
      <top style="medium">
        <color theme="0"/>
      </top>
      <bottom style="thin">
        <color theme="0"/>
      </bottom>
      <diagonal/>
    </border>
    <border>
      <left style="medium">
        <color theme="0"/>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style="medium">
        <color theme="0"/>
      </right>
      <top style="thin">
        <color theme="0"/>
      </top>
      <bottom/>
      <diagonal/>
    </border>
    <border>
      <left style="medium">
        <color theme="0"/>
      </left>
      <right style="medium">
        <color theme="0"/>
      </right>
      <top/>
      <bottom style="medium">
        <color theme="0"/>
      </bottom>
      <diagonal/>
    </border>
    <border>
      <left style="medium">
        <color theme="0"/>
      </left>
      <right/>
      <top style="thin">
        <color theme="0"/>
      </top>
      <bottom/>
      <diagonal/>
    </border>
    <border>
      <left/>
      <right style="medium">
        <color theme="0"/>
      </right>
      <top style="thin">
        <color theme="0"/>
      </top>
      <bottom/>
      <diagonal/>
    </border>
    <border>
      <left style="medium">
        <color theme="0"/>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theme="0"/>
      </left>
      <right/>
      <top/>
      <bottom/>
      <diagonal/>
    </border>
    <border>
      <left style="thin">
        <color indexed="64"/>
      </left>
      <right/>
      <top style="thin">
        <color theme="0"/>
      </top>
      <bottom style="thin">
        <color indexed="64"/>
      </bottom>
      <diagonal/>
    </border>
    <border>
      <left style="thin">
        <color theme="0"/>
      </left>
      <right/>
      <top style="thin">
        <color indexed="64"/>
      </top>
      <bottom style="thin">
        <color theme="0"/>
      </bottom>
      <diagonal/>
    </border>
    <border>
      <left style="medium">
        <color theme="0"/>
      </left>
      <right style="medium">
        <color theme="0"/>
      </right>
      <top style="thin">
        <color theme="0"/>
      </top>
      <bottom style="thin">
        <color indexed="64"/>
      </bottom>
      <diagonal/>
    </border>
    <border>
      <left style="medium">
        <color theme="0"/>
      </left>
      <right style="medium">
        <color theme="0"/>
      </right>
      <top style="thin">
        <color indexed="64"/>
      </top>
      <bottom style="medium">
        <color theme="0"/>
      </bottom>
      <diagonal/>
    </border>
    <border>
      <left style="thin">
        <color theme="0"/>
      </left>
      <right style="medium">
        <color theme="0"/>
      </right>
      <top style="thin">
        <color theme="0"/>
      </top>
      <bottom/>
      <diagonal/>
    </border>
    <border>
      <left style="thin">
        <color theme="0"/>
      </left>
      <right style="medium">
        <color theme="0"/>
      </right>
      <top/>
      <bottom style="thin">
        <color theme="0"/>
      </bottom>
      <diagonal/>
    </border>
    <border>
      <left style="medium">
        <color theme="0"/>
      </left>
      <right style="medium">
        <color theme="0"/>
      </right>
      <top/>
      <bottom style="thin">
        <color theme="0"/>
      </bottom>
      <diagonal/>
    </border>
    <border>
      <left style="medium">
        <color theme="0"/>
      </left>
      <right/>
      <top/>
      <bottom style="thin">
        <color theme="0"/>
      </bottom>
      <diagonal/>
    </border>
    <border>
      <left/>
      <right style="medium">
        <color theme="0"/>
      </right>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top/>
      <bottom style="medium">
        <color theme="0"/>
      </bottom>
      <diagonal/>
    </border>
    <border>
      <left style="thin">
        <color theme="0"/>
      </left>
      <right style="medium">
        <color theme="0"/>
      </right>
      <top style="thin">
        <color theme="0"/>
      </top>
      <bottom style="thin">
        <color theme="0"/>
      </bottom>
      <diagonal/>
    </border>
    <border>
      <left style="thin">
        <color theme="0"/>
      </left>
      <right style="thin">
        <color theme="0"/>
      </right>
      <top/>
      <bottom/>
      <diagonal/>
    </border>
    <border>
      <left style="thin">
        <color indexed="64"/>
      </left>
      <right/>
      <top/>
      <bottom style="medium">
        <color indexed="64"/>
      </bottom>
      <diagonal/>
    </border>
    <border>
      <left/>
      <right style="thin">
        <color indexed="64"/>
      </right>
      <top/>
      <bottom style="medium">
        <color indexed="64"/>
      </bottom>
      <diagonal/>
    </border>
  </borders>
  <cellStyleXfs count="4">
    <xf numFmtId="0" fontId="0" fillId="0" borderId="0"/>
    <xf numFmtId="0" fontId="7" fillId="0" borderId="0" applyNumberFormat="0" applyFill="0" applyBorder="0" applyAlignment="0" applyProtection="0">
      <alignment vertical="top"/>
      <protection locked="0"/>
    </xf>
    <xf numFmtId="0" fontId="14" fillId="0" borderId="0"/>
    <xf numFmtId="0" fontId="68" fillId="0" borderId="0" applyNumberFormat="0" applyFill="0" applyBorder="0" applyAlignment="0" applyProtection="0">
      <alignment vertical="top"/>
      <protection locked="0"/>
    </xf>
  </cellStyleXfs>
  <cellXfs count="819">
    <xf numFmtId="0" fontId="0" fillId="0" borderId="0" xfId="0"/>
    <xf numFmtId="0" fontId="0" fillId="14" borderId="0" xfId="0" applyFill="1" applyProtection="1">
      <protection hidden="1"/>
    </xf>
    <xf numFmtId="0" fontId="5" fillId="5" borderId="7" xfId="0" applyFont="1" applyFill="1" applyBorder="1" applyProtection="1">
      <protection hidden="1"/>
    </xf>
    <xf numFmtId="0" fontId="0" fillId="5" borderId="8" xfId="0" applyFill="1" applyBorder="1" applyProtection="1">
      <protection hidden="1"/>
    </xf>
    <xf numFmtId="0" fontId="0" fillId="5" borderId="9" xfId="0" applyFill="1" applyBorder="1" applyProtection="1">
      <protection hidden="1"/>
    </xf>
    <xf numFmtId="0" fontId="0" fillId="5" borderId="10" xfId="0" applyFill="1" applyBorder="1" applyProtection="1">
      <protection hidden="1"/>
    </xf>
    <xf numFmtId="0" fontId="0" fillId="5" borderId="0" xfId="0" applyFill="1" applyProtection="1">
      <protection hidden="1"/>
    </xf>
    <xf numFmtId="0" fontId="0" fillId="5" borderId="11" xfId="0" applyFill="1" applyBorder="1" applyProtection="1">
      <protection hidden="1"/>
    </xf>
    <xf numFmtId="0" fontId="2" fillId="5" borderId="0" xfId="0" applyFont="1" applyFill="1" applyProtection="1">
      <protection hidden="1"/>
    </xf>
    <xf numFmtId="0" fontId="42" fillId="5" borderId="0" xfId="0" quotePrefix="1" applyFont="1" applyFill="1" applyAlignment="1" applyProtection="1">
      <alignment horizontal="right"/>
      <protection hidden="1"/>
    </xf>
    <xf numFmtId="0" fontId="42" fillId="5" borderId="0" xfId="0" applyFont="1" applyFill="1" applyProtection="1">
      <protection hidden="1"/>
    </xf>
    <xf numFmtId="0" fontId="12" fillId="5" borderId="0" xfId="0" applyFont="1" applyFill="1" applyProtection="1">
      <protection hidden="1"/>
    </xf>
    <xf numFmtId="0" fontId="8" fillId="5" borderId="0" xfId="0" applyFont="1" applyFill="1" applyProtection="1">
      <protection hidden="1"/>
    </xf>
    <xf numFmtId="0" fontId="10" fillId="5" borderId="0" xfId="0" applyFont="1" applyFill="1" applyProtection="1">
      <protection hidden="1"/>
    </xf>
    <xf numFmtId="0" fontId="7" fillId="5" borderId="0" xfId="1" applyFill="1" applyBorder="1" applyAlignment="1" applyProtection="1">
      <protection hidden="1"/>
    </xf>
    <xf numFmtId="0" fontId="11" fillId="5" borderId="0" xfId="0" applyFont="1" applyFill="1" applyProtection="1">
      <protection hidden="1"/>
    </xf>
    <xf numFmtId="0" fontId="9" fillId="5" borderId="0" xfId="0" applyFont="1" applyFill="1" applyProtection="1">
      <protection hidden="1"/>
    </xf>
    <xf numFmtId="0" fontId="13" fillId="5" borderId="0" xfId="0" applyFont="1" applyFill="1" applyProtection="1">
      <protection hidden="1"/>
    </xf>
    <xf numFmtId="0" fontId="3" fillId="5" borderId="0" xfId="0" applyFont="1" applyFill="1" applyProtection="1">
      <protection hidden="1"/>
    </xf>
    <xf numFmtId="0" fontId="0" fillId="5" borderId="12" xfId="0" applyFill="1" applyBorder="1" applyProtection="1">
      <protection hidden="1"/>
    </xf>
    <xf numFmtId="0" fontId="0" fillId="5" borderId="13" xfId="0" applyFill="1" applyBorder="1" applyProtection="1">
      <protection hidden="1"/>
    </xf>
    <xf numFmtId="0" fontId="0" fillId="5" borderId="14" xfId="0" applyFill="1" applyBorder="1" applyProtection="1">
      <protection hidden="1"/>
    </xf>
    <xf numFmtId="0" fontId="70" fillId="5" borderId="10" xfId="0" applyFont="1" applyFill="1" applyBorder="1" applyAlignment="1" applyProtection="1">
      <alignment horizontal="center"/>
      <protection hidden="1"/>
    </xf>
    <xf numFmtId="0" fontId="70" fillId="5" borderId="10" xfId="0" applyFont="1" applyFill="1" applyBorder="1" applyProtection="1">
      <protection hidden="1"/>
    </xf>
    <xf numFmtId="0" fontId="14" fillId="5" borderId="11" xfId="0" applyFont="1" applyFill="1" applyBorder="1" applyProtection="1">
      <protection hidden="1"/>
    </xf>
    <xf numFmtId="0" fontId="16" fillId="14" borderId="0" xfId="0" applyFont="1" applyFill="1" applyAlignment="1" applyProtection="1">
      <alignment horizontal="center"/>
      <protection hidden="1"/>
    </xf>
    <xf numFmtId="166" fontId="116" fillId="11" borderId="53" xfId="0" applyNumberFormat="1" applyFont="1" applyFill="1" applyBorder="1" applyAlignment="1" applyProtection="1">
      <alignment horizontal="center"/>
      <protection hidden="1"/>
    </xf>
    <xf numFmtId="166" fontId="116" fillId="7" borderId="53" xfId="0" applyNumberFormat="1" applyFont="1" applyFill="1" applyBorder="1" applyAlignment="1" applyProtection="1">
      <alignment horizontal="center"/>
      <protection hidden="1"/>
    </xf>
    <xf numFmtId="0" fontId="54" fillId="12" borderId="15" xfId="0" applyFont="1" applyFill="1" applyBorder="1" applyAlignment="1" applyProtection="1">
      <alignment horizontal="center"/>
      <protection locked="0" hidden="1"/>
    </xf>
    <xf numFmtId="0" fontId="0" fillId="5" borderId="0" xfId="0" applyFill="1" applyProtection="1">
      <protection locked="0" hidden="1"/>
    </xf>
    <xf numFmtId="0" fontId="14" fillId="5" borderId="0" xfId="0" applyFont="1" applyFill="1" applyProtection="1">
      <protection locked="0" hidden="1"/>
    </xf>
    <xf numFmtId="0" fontId="2" fillId="5" borderId="0" xfId="0" applyFont="1" applyFill="1" applyProtection="1">
      <protection locked="0" hidden="1"/>
    </xf>
    <xf numFmtId="0" fontId="55" fillId="12" borderId="15" xfId="0" applyFont="1" applyFill="1" applyBorder="1" applyAlignment="1" applyProtection="1">
      <alignment horizontal="center"/>
      <protection locked="0" hidden="1"/>
    </xf>
    <xf numFmtId="0" fontId="55" fillId="5" borderId="0" xfId="0" applyFont="1" applyFill="1" applyProtection="1">
      <protection locked="0" hidden="1"/>
    </xf>
    <xf numFmtId="0" fontId="55" fillId="5" borderId="0" xfId="0" applyFont="1" applyFill="1" applyAlignment="1" applyProtection="1">
      <alignment horizontal="center"/>
      <protection locked="0" hidden="1"/>
    </xf>
    <xf numFmtId="17" fontId="55" fillId="12" borderId="15" xfId="0" quotePrefix="1" applyNumberFormat="1" applyFont="1" applyFill="1" applyBorder="1" applyAlignment="1" applyProtection="1">
      <alignment horizontal="center"/>
      <protection locked="0" hidden="1"/>
    </xf>
    <xf numFmtId="0" fontId="8" fillId="5" borderId="0" xfId="0" applyFont="1" applyFill="1" applyProtection="1">
      <protection locked="0" hidden="1"/>
    </xf>
    <xf numFmtId="0" fontId="10" fillId="5" borderId="0" xfId="0" applyFont="1" applyFill="1" applyProtection="1">
      <protection locked="0" hidden="1"/>
    </xf>
    <xf numFmtId="0" fontId="23" fillId="19" borderId="15" xfId="0" applyFont="1" applyFill="1" applyBorder="1" applyAlignment="1" applyProtection="1">
      <alignment horizontal="center"/>
      <protection hidden="1"/>
    </xf>
    <xf numFmtId="0" fontId="5" fillId="14" borderId="0" xfId="0" applyFont="1" applyFill="1" applyAlignment="1" applyProtection="1">
      <alignment horizontal="center"/>
      <protection hidden="1"/>
    </xf>
    <xf numFmtId="0" fontId="23" fillId="14" borderId="0" xfId="0" applyFont="1" applyFill="1" applyProtection="1">
      <protection hidden="1"/>
    </xf>
    <xf numFmtId="0" fontId="71" fillId="14" borderId="0" xfId="0" applyFont="1" applyFill="1" applyAlignment="1" applyProtection="1">
      <alignment horizontal="center"/>
      <protection hidden="1"/>
    </xf>
    <xf numFmtId="0" fontId="72" fillId="14" borderId="0" xfId="0" applyFont="1" applyFill="1" applyAlignment="1" applyProtection="1">
      <alignment horizontal="center"/>
      <protection hidden="1"/>
    </xf>
    <xf numFmtId="0" fontId="72" fillId="14" borderId="0" xfId="0" applyFont="1" applyFill="1" applyProtection="1">
      <protection hidden="1"/>
    </xf>
    <xf numFmtId="0" fontId="7" fillId="14" borderId="0" xfId="1" applyFill="1" applyAlignment="1" applyProtection="1">
      <alignment horizontal="center"/>
      <protection hidden="1"/>
    </xf>
    <xf numFmtId="0" fontId="4" fillId="7" borderId="1" xfId="0" applyFont="1" applyFill="1" applyBorder="1" applyAlignment="1" applyProtection="1">
      <alignment horizontal="center"/>
      <protection hidden="1"/>
    </xf>
    <xf numFmtId="0" fontId="75" fillId="22" borderId="41" xfId="0" applyFont="1" applyFill="1" applyBorder="1" applyAlignment="1" applyProtection="1">
      <alignment horizontal="center"/>
      <protection hidden="1"/>
    </xf>
    <xf numFmtId="0" fontId="75" fillId="22" borderId="16" xfId="0" applyFont="1" applyFill="1" applyBorder="1" applyAlignment="1" applyProtection="1">
      <alignment horizontal="center"/>
      <protection hidden="1"/>
    </xf>
    <xf numFmtId="0" fontId="75" fillId="22" borderId="42" xfId="0" applyFont="1" applyFill="1" applyBorder="1" applyAlignment="1" applyProtection="1">
      <alignment horizontal="center"/>
      <protection hidden="1"/>
    </xf>
    <xf numFmtId="0" fontId="5" fillId="7" borderId="1" xfId="0" applyFont="1" applyFill="1" applyBorder="1" applyAlignment="1" applyProtection="1">
      <alignment horizontal="center"/>
      <protection hidden="1"/>
    </xf>
    <xf numFmtId="167" fontId="8" fillId="0" borderId="43" xfId="0" applyNumberFormat="1" applyFont="1" applyBorder="1" applyAlignment="1" applyProtection="1">
      <alignment horizontal="center"/>
      <protection hidden="1"/>
    </xf>
    <xf numFmtId="167" fontId="0" fillId="0" borderId="15" xfId="0" applyNumberFormat="1" applyBorder="1" applyAlignment="1" applyProtection="1">
      <alignment horizontal="center"/>
      <protection hidden="1"/>
    </xf>
    <xf numFmtId="167" fontId="0" fillId="0" borderId="44" xfId="0" applyNumberFormat="1" applyBorder="1" applyAlignment="1" applyProtection="1">
      <alignment horizontal="center"/>
      <protection hidden="1"/>
    </xf>
    <xf numFmtId="0" fontId="5" fillId="7" borderId="1" xfId="0" quotePrefix="1" applyFont="1" applyFill="1" applyBorder="1" applyAlignment="1" applyProtection="1">
      <alignment horizontal="center"/>
      <protection hidden="1"/>
    </xf>
    <xf numFmtId="167" fontId="8" fillId="7" borderId="43" xfId="0" applyNumberFormat="1" applyFont="1" applyFill="1" applyBorder="1" applyAlignment="1" applyProtection="1">
      <alignment horizontal="center"/>
      <protection hidden="1"/>
    </xf>
    <xf numFmtId="167" fontId="0" fillId="7" borderId="15" xfId="0" applyNumberFormat="1" applyFill="1" applyBorder="1" applyAlignment="1" applyProtection="1">
      <alignment horizontal="center"/>
      <protection hidden="1"/>
    </xf>
    <xf numFmtId="167" fontId="0" fillId="7" borderId="44" xfId="0" applyNumberFormat="1" applyFill="1" applyBorder="1" applyAlignment="1" applyProtection="1">
      <alignment horizontal="center"/>
      <protection hidden="1"/>
    </xf>
    <xf numFmtId="0" fontId="8" fillId="14" borderId="0" xfId="0" applyFont="1" applyFill="1" applyProtection="1">
      <protection hidden="1"/>
    </xf>
    <xf numFmtId="167" fontId="8" fillId="0" borderId="45" xfId="0" applyNumberFormat="1" applyFont="1" applyBorder="1" applyAlignment="1" applyProtection="1">
      <alignment horizontal="center"/>
      <protection hidden="1"/>
    </xf>
    <xf numFmtId="167" fontId="0" fillId="0" borderId="28" xfId="0" applyNumberFormat="1" applyBorder="1" applyAlignment="1" applyProtection="1">
      <alignment horizontal="center"/>
      <protection hidden="1"/>
    </xf>
    <xf numFmtId="167" fontId="0" fillId="0" borderId="46" xfId="0" applyNumberFormat="1" applyBorder="1" applyAlignment="1" applyProtection="1">
      <alignment horizontal="center"/>
      <protection hidden="1"/>
    </xf>
    <xf numFmtId="167" fontId="71" fillId="11" borderId="16" xfId="0" applyNumberFormat="1" applyFont="1" applyFill="1" applyBorder="1" applyAlignment="1" applyProtection="1">
      <alignment horizontal="center"/>
      <protection locked="0" hidden="1"/>
    </xf>
    <xf numFmtId="167" fontId="72" fillId="14" borderId="0" xfId="0" applyNumberFormat="1" applyFont="1" applyFill="1" applyAlignment="1" applyProtection="1">
      <alignment horizontal="center"/>
      <protection locked="0" hidden="1"/>
    </xf>
    <xf numFmtId="0" fontId="71" fillId="11" borderId="16" xfId="0" applyFont="1" applyFill="1" applyBorder="1" applyAlignment="1" applyProtection="1">
      <alignment horizontal="center"/>
      <protection locked="0" hidden="1"/>
    </xf>
    <xf numFmtId="0" fontId="0" fillId="9" borderId="0" xfId="0" applyFill="1" applyProtection="1">
      <protection hidden="1"/>
    </xf>
    <xf numFmtId="0" fontId="16" fillId="9" borderId="0" xfId="0" applyFont="1" applyFill="1" applyProtection="1">
      <protection hidden="1"/>
    </xf>
    <xf numFmtId="0" fontId="48" fillId="9" borderId="0" xfId="0" applyFont="1" applyFill="1" applyProtection="1">
      <protection hidden="1"/>
    </xf>
    <xf numFmtId="0" fontId="30" fillId="9" borderId="0" xfId="0" applyFont="1" applyFill="1" applyProtection="1">
      <protection hidden="1"/>
    </xf>
    <xf numFmtId="0" fontId="42" fillId="5" borderId="15" xfId="0" applyFont="1" applyFill="1" applyBorder="1" applyProtection="1">
      <protection hidden="1"/>
    </xf>
    <xf numFmtId="0" fontId="0" fillId="0" borderId="0" xfId="0" applyProtection="1">
      <protection hidden="1"/>
    </xf>
    <xf numFmtId="0" fontId="7" fillId="0" borderId="0" xfId="1" applyFill="1" applyAlignment="1" applyProtection="1">
      <protection hidden="1"/>
    </xf>
    <xf numFmtId="0" fontId="6" fillId="2" borderId="0" xfId="0" applyFont="1" applyFill="1" applyProtection="1">
      <protection hidden="1"/>
    </xf>
    <xf numFmtId="0" fontId="4" fillId="0" borderId="0" xfId="0" applyFont="1" applyProtection="1">
      <protection hidden="1"/>
    </xf>
    <xf numFmtId="0" fontId="14" fillId="0" borderId="0" xfId="0" applyFont="1" applyProtection="1">
      <protection hidden="1"/>
    </xf>
    <xf numFmtId="0" fontId="0" fillId="3" borderId="0" xfId="0" applyFill="1" applyAlignment="1" applyProtection="1">
      <alignment horizontal="left"/>
      <protection hidden="1"/>
    </xf>
    <xf numFmtId="0" fontId="14" fillId="3" borderId="0" xfId="0" applyFont="1" applyFill="1" applyAlignment="1" applyProtection="1">
      <alignment horizontal="left"/>
      <protection hidden="1"/>
    </xf>
    <xf numFmtId="0" fontId="6" fillId="0" borderId="0" xfId="0" applyFont="1" applyProtection="1">
      <protection hidden="1"/>
    </xf>
    <xf numFmtId="0" fontId="1" fillId="0" borderId="0" xfId="0" applyFont="1" applyProtection="1">
      <protection hidden="1"/>
    </xf>
    <xf numFmtId="0" fontId="0" fillId="3" borderId="0" xfId="0" quotePrefix="1" applyFill="1" applyAlignment="1" applyProtection="1">
      <alignment horizontal="center"/>
      <protection hidden="1"/>
    </xf>
    <xf numFmtId="0" fontId="0" fillId="3" borderId="0" xfId="0" quotePrefix="1" applyFill="1" applyProtection="1">
      <protection hidden="1"/>
    </xf>
    <xf numFmtId="0" fontId="51" fillId="0" borderId="0" xfId="0" applyFont="1" applyAlignment="1" applyProtection="1">
      <alignment horizontal="center"/>
      <protection hidden="1"/>
    </xf>
    <xf numFmtId="0" fontId="0" fillId="3" borderId="0" xfId="0" applyFill="1" applyAlignment="1" applyProtection="1">
      <alignment horizontal="center"/>
      <protection hidden="1"/>
    </xf>
    <xf numFmtId="0" fontId="0" fillId="3" borderId="0" xfId="0" applyFill="1" applyProtection="1">
      <protection hidden="1"/>
    </xf>
    <xf numFmtId="17" fontId="0" fillId="3" borderId="0" xfId="0" quotePrefix="1" applyNumberFormat="1" applyFill="1" applyProtection="1">
      <protection hidden="1"/>
    </xf>
    <xf numFmtId="0" fontId="14" fillId="3" borderId="0" xfId="0" applyFont="1" applyFill="1" applyProtection="1">
      <protection hidden="1"/>
    </xf>
    <xf numFmtId="0" fontId="0" fillId="3" borderId="0" xfId="0" applyFill="1" applyAlignment="1" applyProtection="1">
      <alignment horizontal="right"/>
      <protection hidden="1"/>
    </xf>
    <xf numFmtId="0" fontId="17" fillId="0" borderId="0" xfId="0" applyFont="1" applyProtection="1">
      <protection hidden="1"/>
    </xf>
    <xf numFmtId="0" fontId="17" fillId="6" borderId="0" xfId="0" applyFont="1" applyFill="1" applyProtection="1">
      <protection hidden="1"/>
    </xf>
    <xf numFmtId="0" fontId="0" fillId="8" borderId="0" xfId="0" applyFill="1" applyProtection="1">
      <protection hidden="1"/>
    </xf>
    <xf numFmtId="17" fontId="0" fillId="7" borderId="0" xfId="0" quotePrefix="1" applyNumberFormat="1" applyFill="1" applyProtection="1">
      <protection hidden="1"/>
    </xf>
    <xf numFmtId="0" fontId="67" fillId="0" borderId="0" xfId="0" applyFont="1" applyProtection="1">
      <protection hidden="1"/>
    </xf>
    <xf numFmtId="0" fontId="0" fillId="7" borderId="0" xfId="0" applyFill="1" applyProtection="1">
      <protection hidden="1"/>
    </xf>
    <xf numFmtId="0" fontId="14" fillId="7" borderId="0" xfId="0" applyFont="1" applyFill="1" applyProtection="1">
      <protection hidden="1"/>
    </xf>
    <xf numFmtId="0" fontId="0" fillId="7" borderId="0" xfId="0" quotePrefix="1" applyFill="1" applyProtection="1">
      <protection hidden="1"/>
    </xf>
    <xf numFmtId="0" fontId="14" fillId="10" borderId="0" xfId="0" applyFont="1" applyFill="1" applyProtection="1">
      <protection hidden="1"/>
    </xf>
    <xf numFmtId="0" fontId="14" fillId="8" borderId="0" xfId="0" quotePrefix="1" applyFont="1" applyFill="1" applyAlignment="1" applyProtection="1">
      <alignment horizontal="center"/>
      <protection hidden="1"/>
    </xf>
    <xf numFmtId="0" fontId="0" fillId="22" borderId="0" xfId="0" applyFill="1" applyProtection="1">
      <protection hidden="1"/>
    </xf>
    <xf numFmtId="0" fontId="3" fillId="22" borderId="0" xfId="0" applyFont="1" applyFill="1" applyProtection="1">
      <protection hidden="1"/>
    </xf>
    <xf numFmtId="0" fontId="41" fillId="15" borderId="0" xfId="1" applyFont="1" applyFill="1" applyAlignment="1" applyProtection="1">
      <alignment horizontal="center" vertical="center"/>
      <protection hidden="1"/>
    </xf>
    <xf numFmtId="0" fontId="105" fillId="22" borderId="0" xfId="0" applyFont="1" applyFill="1" applyProtection="1">
      <protection hidden="1"/>
    </xf>
    <xf numFmtId="0" fontId="102" fillId="22" borderId="0" xfId="0" applyFont="1" applyFill="1" applyAlignment="1" applyProtection="1">
      <alignment horizontal="center"/>
      <protection hidden="1"/>
    </xf>
    <xf numFmtId="0" fontId="76" fillId="19" borderId="0" xfId="1" applyFont="1" applyFill="1" applyAlignment="1" applyProtection="1">
      <alignment horizontal="center"/>
      <protection hidden="1"/>
    </xf>
    <xf numFmtId="0" fontId="76" fillId="26" borderId="0" xfId="1" applyFont="1" applyFill="1" applyAlignment="1" applyProtection="1">
      <alignment horizontal="center" vertical="center"/>
      <protection hidden="1"/>
    </xf>
    <xf numFmtId="0" fontId="79" fillId="22" borderId="0" xfId="0" applyFont="1" applyFill="1" applyProtection="1">
      <protection hidden="1"/>
    </xf>
    <xf numFmtId="0" fontId="80" fillId="22" borderId="0" xfId="0" applyFont="1" applyFill="1" applyProtection="1">
      <protection hidden="1"/>
    </xf>
    <xf numFmtId="0" fontId="0" fillId="19" borderId="7" xfId="0" applyFill="1" applyBorder="1" applyProtection="1">
      <protection hidden="1"/>
    </xf>
    <xf numFmtId="0" fontId="0" fillId="19" borderId="8" xfId="0" applyFill="1" applyBorder="1" applyProtection="1">
      <protection hidden="1"/>
    </xf>
    <xf numFmtId="0" fontId="0" fillId="19" borderId="9" xfId="0" applyFill="1" applyBorder="1" applyProtection="1">
      <protection hidden="1"/>
    </xf>
    <xf numFmtId="0" fontId="81" fillId="22" borderId="0" xfId="0" applyFont="1" applyFill="1" applyProtection="1">
      <protection hidden="1"/>
    </xf>
    <xf numFmtId="0" fontId="0" fillId="19" borderId="10" xfId="0" applyFill="1" applyBorder="1" applyProtection="1">
      <protection hidden="1"/>
    </xf>
    <xf numFmtId="0" fontId="81" fillId="19" borderId="0" xfId="0" applyFont="1" applyFill="1" applyProtection="1">
      <protection hidden="1"/>
    </xf>
    <xf numFmtId="0" fontId="0" fillId="19" borderId="11" xfId="0" applyFill="1" applyBorder="1" applyProtection="1">
      <protection hidden="1"/>
    </xf>
    <xf numFmtId="0" fontId="82" fillId="22" borderId="0" xfId="0" applyFont="1" applyFill="1" applyProtection="1">
      <protection hidden="1"/>
    </xf>
    <xf numFmtId="166" fontId="82" fillId="22" borderId="0" xfId="0" applyNumberFormat="1" applyFont="1" applyFill="1" applyAlignment="1" applyProtection="1">
      <alignment horizontal="center"/>
      <protection hidden="1"/>
    </xf>
    <xf numFmtId="166" fontId="82" fillId="22" borderId="0" xfId="0" quotePrefix="1" applyNumberFormat="1" applyFont="1" applyFill="1" applyAlignment="1" applyProtection="1">
      <alignment horizontal="center"/>
      <protection hidden="1"/>
    </xf>
    <xf numFmtId="0" fontId="82" fillId="19" borderId="10" xfId="0" applyFont="1" applyFill="1" applyBorder="1" applyProtection="1">
      <protection hidden="1"/>
    </xf>
    <xf numFmtId="0" fontId="82" fillId="19" borderId="0" xfId="0" applyFont="1" applyFill="1" applyProtection="1">
      <protection hidden="1"/>
    </xf>
    <xf numFmtId="0" fontId="82" fillId="19" borderId="11" xfId="0" applyFont="1" applyFill="1" applyBorder="1" applyProtection="1">
      <protection hidden="1"/>
    </xf>
    <xf numFmtId="0" fontId="0" fillId="0" borderId="15" xfId="0" applyBorder="1" applyProtection="1">
      <protection hidden="1"/>
    </xf>
    <xf numFmtId="0" fontId="86" fillId="22" borderId="0" xfId="0" applyFont="1" applyFill="1" applyAlignment="1" applyProtection="1">
      <alignment horizontal="right"/>
      <protection hidden="1"/>
    </xf>
    <xf numFmtId="166" fontId="87" fillId="30" borderId="1" xfId="0" applyNumberFormat="1" applyFont="1" applyFill="1" applyBorder="1" applyProtection="1">
      <protection hidden="1"/>
    </xf>
    <xf numFmtId="166" fontId="88" fillId="30" borderId="2" xfId="0" applyNumberFormat="1" applyFont="1" applyFill="1" applyBorder="1" applyProtection="1">
      <protection hidden="1"/>
    </xf>
    <xf numFmtId="166" fontId="89" fillId="30" borderId="3" xfId="0" applyNumberFormat="1" applyFont="1" applyFill="1" applyBorder="1" applyProtection="1">
      <protection hidden="1"/>
    </xf>
    <xf numFmtId="0" fontId="86" fillId="19" borderId="0" xfId="0" applyFont="1" applyFill="1" applyAlignment="1" applyProtection="1">
      <alignment horizontal="right"/>
      <protection hidden="1"/>
    </xf>
    <xf numFmtId="0" fontId="0" fillId="19" borderId="0" xfId="0" applyFill="1" applyProtection="1">
      <protection hidden="1"/>
    </xf>
    <xf numFmtId="166" fontId="83" fillId="2" borderId="1" xfId="0" applyNumberFormat="1" applyFont="1" applyFill="1" applyBorder="1" applyProtection="1">
      <protection hidden="1"/>
    </xf>
    <xf numFmtId="166" fontId="92" fillId="2" borderId="2" xfId="0" applyNumberFormat="1" applyFont="1" applyFill="1" applyBorder="1" applyProtection="1">
      <protection hidden="1"/>
    </xf>
    <xf numFmtId="166" fontId="93" fillId="2" borderId="3" xfId="0" applyNumberFormat="1" applyFont="1" applyFill="1" applyBorder="1" applyProtection="1">
      <protection hidden="1"/>
    </xf>
    <xf numFmtId="0" fontId="94" fillId="22" borderId="0" xfId="0" applyFont="1" applyFill="1" applyAlignment="1" applyProtection="1">
      <alignment horizontal="right"/>
      <protection hidden="1"/>
    </xf>
    <xf numFmtId="165" fontId="83" fillId="29" borderId="1" xfId="0" applyNumberFormat="1" applyFont="1" applyFill="1" applyBorder="1" applyProtection="1">
      <protection hidden="1"/>
    </xf>
    <xf numFmtId="165" fontId="92" fillId="29" borderId="2" xfId="0" applyNumberFormat="1" applyFont="1" applyFill="1" applyBorder="1" applyProtection="1">
      <protection hidden="1"/>
    </xf>
    <xf numFmtId="165" fontId="93" fillId="29" borderId="3" xfId="0" applyNumberFormat="1" applyFont="1" applyFill="1" applyBorder="1" applyProtection="1">
      <protection hidden="1"/>
    </xf>
    <xf numFmtId="0" fontId="94" fillId="19" borderId="0" xfId="0" applyFont="1" applyFill="1" applyAlignment="1" applyProtection="1">
      <alignment horizontal="right"/>
      <protection hidden="1"/>
    </xf>
    <xf numFmtId="0" fontId="101" fillId="22" borderId="0" xfId="0" applyFont="1" applyFill="1" applyProtection="1">
      <protection hidden="1"/>
    </xf>
    <xf numFmtId="0" fontId="101" fillId="13" borderId="48" xfId="0" applyFont="1" applyFill="1" applyBorder="1" applyAlignment="1" applyProtection="1">
      <alignment horizontal="center"/>
      <protection hidden="1"/>
    </xf>
    <xf numFmtId="0" fontId="81" fillId="22" borderId="0" xfId="0" applyFont="1" applyFill="1" applyAlignment="1" applyProtection="1">
      <alignment horizontal="right"/>
      <protection hidden="1"/>
    </xf>
    <xf numFmtId="0" fontId="81" fillId="19" borderId="0" xfId="0" applyFont="1" applyFill="1" applyAlignment="1" applyProtection="1">
      <alignment horizontal="right"/>
      <protection hidden="1"/>
    </xf>
    <xf numFmtId="0" fontId="0" fillId="19" borderId="12" xfId="0" applyFill="1" applyBorder="1" applyProtection="1">
      <protection hidden="1"/>
    </xf>
    <xf numFmtId="0" fontId="0" fillId="19" borderId="13" xfId="0" applyFill="1" applyBorder="1" applyProtection="1">
      <protection hidden="1"/>
    </xf>
    <xf numFmtId="0" fontId="0" fillId="19" borderId="14" xfId="0" applyFill="1" applyBorder="1" applyProtection="1">
      <protection hidden="1"/>
    </xf>
    <xf numFmtId="0" fontId="96" fillId="22" borderId="0" xfId="0" applyFont="1" applyFill="1" applyProtection="1">
      <protection hidden="1"/>
    </xf>
    <xf numFmtId="0" fontId="97" fillId="22" borderId="0" xfId="0" applyFont="1" applyFill="1" applyAlignment="1" applyProtection="1">
      <alignment horizontal="left"/>
      <protection hidden="1"/>
    </xf>
    <xf numFmtId="0" fontId="98" fillId="22" borderId="0" xfId="0" applyFont="1" applyFill="1" applyAlignment="1" applyProtection="1">
      <alignment horizontal="left"/>
      <protection hidden="1"/>
    </xf>
    <xf numFmtId="0" fontId="99" fillId="22" borderId="0" xfId="0" applyFont="1" applyFill="1" applyProtection="1">
      <protection hidden="1"/>
    </xf>
    <xf numFmtId="0" fontId="16" fillId="22" borderId="0" xfId="0" applyFont="1" applyFill="1" applyAlignment="1" applyProtection="1">
      <alignment horizontal="right"/>
      <protection hidden="1"/>
    </xf>
    <xf numFmtId="0" fontId="16" fillId="22" borderId="0" xfId="0" applyFont="1" applyFill="1" applyAlignment="1" applyProtection="1">
      <alignment horizontal="right" vertical="top"/>
      <protection hidden="1"/>
    </xf>
    <xf numFmtId="0" fontId="23" fillId="22" borderId="0" xfId="0" applyFont="1" applyFill="1" applyAlignment="1" applyProtection="1">
      <alignment horizontal="right"/>
      <protection hidden="1"/>
    </xf>
    <xf numFmtId="0" fontId="97" fillId="22" borderId="0" xfId="0" applyFont="1" applyFill="1" applyProtection="1">
      <protection hidden="1"/>
    </xf>
    <xf numFmtId="0" fontId="0" fillId="28" borderId="0" xfId="0" applyFill="1" applyProtection="1">
      <protection hidden="1"/>
    </xf>
    <xf numFmtId="0" fontId="3" fillId="28" borderId="0" xfId="0" applyFont="1" applyFill="1" applyProtection="1">
      <protection hidden="1"/>
    </xf>
    <xf numFmtId="0" fontId="79" fillId="22" borderId="0" xfId="0" applyFont="1" applyFill="1" applyProtection="1">
      <protection locked="0" hidden="1"/>
    </xf>
    <xf numFmtId="0" fontId="100" fillId="22" borderId="0" xfId="0" applyFont="1" applyFill="1" applyProtection="1">
      <protection locked="0" hidden="1"/>
    </xf>
    <xf numFmtId="165" fontId="50" fillId="5" borderId="47" xfId="0" applyNumberFormat="1" applyFont="1" applyFill="1" applyBorder="1" applyAlignment="1" applyProtection="1">
      <alignment horizontal="center"/>
      <protection locked="0" hidden="1"/>
    </xf>
    <xf numFmtId="0" fontId="97" fillId="22" borderId="0" xfId="0" applyFont="1" applyFill="1" applyAlignment="1" applyProtection="1">
      <alignment horizontal="left"/>
      <protection locked="0" hidden="1"/>
    </xf>
    <xf numFmtId="0" fontId="98" fillId="22" borderId="0" xfId="0" applyFont="1" applyFill="1" applyAlignment="1" applyProtection="1">
      <alignment horizontal="left"/>
      <protection locked="0" hidden="1"/>
    </xf>
    <xf numFmtId="0" fontId="0" fillId="5" borderId="3" xfId="0" applyFill="1" applyBorder="1" applyProtection="1">
      <protection hidden="1"/>
    </xf>
    <xf numFmtId="0" fontId="16" fillId="14" borderId="0" xfId="0" applyFont="1" applyFill="1" applyProtection="1">
      <protection hidden="1"/>
    </xf>
    <xf numFmtId="0" fontId="62" fillId="14" borderId="0" xfId="0" applyFont="1" applyFill="1" applyProtection="1">
      <protection hidden="1"/>
    </xf>
    <xf numFmtId="0" fontId="16" fillId="22" borderId="0" xfId="0" applyFont="1" applyFill="1" applyProtection="1">
      <protection hidden="1"/>
    </xf>
    <xf numFmtId="0" fontId="14" fillId="8" borderId="0" xfId="0" applyFont="1" applyFill="1" applyProtection="1">
      <protection hidden="1"/>
    </xf>
    <xf numFmtId="0" fontId="22" fillId="4" borderId="49" xfId="0" applyFont="1" applyFill="1" applyBorder="1" applyAlignment="1" applyProtection="1">
      <alignment horizontal="center"/>
      <protection hidden="1"/>
    </xf>
    <xf numFmtId="17" fontId="123" fillId="5" borderId="15" xfId="0" quotePrefix="1" applyNumberFormat="1" applyFont="1" applyFill="1" applyBorder="1" applyAlignment="1" applyProtection="1">
      <alignment horizontal="center"/>
      <protection locked="0" hidden="1"/>
    </xf>
    <xf numFmtId="0" fontId="41" fillId="26" borderId="0" xfId="1" applyFont="1" applyFill="1" applyAlignment="1" applyProtection="1">
      <alignment horizontal="center" vertical="center"/>
      <protection hidden="1"/>
    </xf>
    <xf numFmtId="0" fontId="0" fillId="17" borderId="0" xfId="0" applyFill="1" applyProtection="1">
      <protection hidden="1"/>
    </xf>
    <xf numFmtId="0" fontId="16" fillId="17" borderId="0" xfId="0" applyFont="1" applyFill="1" applyAlignment="1" applyProtection="1">
      <alignment horizontal="left"/>
      <protection hidden="1"/>
    </xf>
    <xf numFmtId="0" fontId="0" fillId="38" borderId="0" xfId="0" applyFill="1" applyProtection="1">
      <protection hidden="1"/>
    </xf>
    <xf numFmtId="0" fontId="12" fillId="17" borderId="0" xfId="0" applyFont="1" applyFill="1" applyProtection="1">
      <protection hidden="1"/>
    </xf>
    <xf numFmtId="0" fontId="12" fillId="38" borderId="0" xfId="0" applyFont="1" applyFill="1" applyProtection="1">
      <protection hidden="1"/>
    </xf>
    <xf numFmtId="0" fontId="113" fillId="38" borderId="0" xfId="0" applyFont="1" applyFill="1" applyProtection="1">
      <protection hidden="1"/>
    </xf>
    <xf numFmtId="0" fontId="123" fillId="38" borderId="0" xfId="0" applyFont="1" applyFill="1" applyAlignment="1" applyProtection="1">
      <alignment horizontal="center"/>
      <protection hidden="1"/>
    </xf>
    <xf numFmtId="17" fontId="123" fillId="5" borderId="15" xfId="0" quotePrefix="1" applyNumberFormat="1" applyFont="1" applyFill="1" applyBorder="1" applyAlignment="1" applyProtection="1">
      <alignment horizontal="center"/>
      <protection hidden="1"/>
    </xf>
    <xf numFmtId="0" fontId="16" fillId="38" borderId="0" xfId="0" applyFont="1" applyFill="1" applyProtection="1">
      <protection hidden="1"/>
    </xf>
    <xf numFmtId="0" fontId="0" fillId="4" borderId="0" xfId="0" applyFill="1" applyProtection="1">
      <protection hidden="1"/>
    </xf>
    <xf numFmtId="0" fontId="44" fillId="17" borderId="0" xfId="0" applyFont="1" applyFill="1" applyAlignment="1" applyProtection="1">
      <alignment horizontal="center"/>
      <protection hidden="1"/>
    </xf>
    <xf numFmtId="0" fontId="23" fillId="17" borderId="0" xfId="0" applyFont="1" applyFill="1" applyAlignment="1" applyProtection="1">
      <alignment horizontal="center"/>
      <protection hidden="1"/>
    </xf>
    <xf numFmtId="0" fontId="22" fillId="17" borderId="0" xfId="0" applyFont="1" applyFill="1" applyAlignment="1" applyProtection="1">
      <alignment horizontal="right"/>
      <protection hidden="1"/>
    </xf>
    <xf numFmtId="0" fontId="21" fillId="14" borderId="0" xfId="0" applyFont="1" applyFill="1" applyProtection="1">
      <protection hidden="1"/>
    </xf>
    <xf numFmtId="0" fontId="22" fillId="14" borderId="0" xfId="0" applyFont="1" applyFill="1" applyProtection="1">
      <protection hidden="1"/>
    </xf>
    <xf numFmtId="0" fontId="22" fillId="22" borderId="0" xfId="0" applyFont="1" applyFill="1" applyProtection="1">
      <protection hidden="1"/>
    </xf>
    <xf numFmtId="166" fontId="0" fillId="5" borderId="65" xfId="0" applyNumberFormat="1" applyFill="1" applyBorder="1" applyAlignment="1" applyProtection="1">
      <alignment horizontal="center"/>
      <protection hidden="1"/>
    </xf>
    <xf numFmtId="0" fontId="0" fillId="14" borderId="0" xfId="0" applyFill="1" applyAlignment="1" applyProtection="1">
      <alignment horizontal="left"/>
      <protection hidden="1"/>
    </xf>
    <xf numFmtId="0" fontId="43" fillId="14" borderId="0" xfId="0" applyFont="1" applyFill="1" applyProtection="1">
      <protection hidden="1"/>
    </xf>
    <xf numFmtId="0" fontId="0" fillId="13" borderId="0" xfId="0" applyFill="1" applyProtection="1">
      <protection hidden="1"/>
    </xf>
    <xf numFmtId="17" fontId="58" fillId="14" borderId="0" xfId="0" applyNumberFormat="1" applyFont="1" applyFill="1" applyProtection="1">
      <protection hidden="1"/>
    </xf>
    <xf numFmtId="0" fontId="58" fillId="14" borderId="0" xfId="0" applyFont="1" applyFill="1" applyProtection="1">
      <protection hidden="1"/>
    </xf>
    <xf numFmtId="0" fontId="0" fillId="14" borderId="0" xfId="0" applyFill="1" applyAlignment="1" applyProtection="1">
      <alignment horizontal="center"/>
      <protection hidden="1"/>
    </xf>
    <xf numFmtId="0" fontId="23" fillId="14" borderId="0" xfId="0" applyFont="1" applyFill="1" applyAlignment="1" applyProtection="1">
      <alignment horizontal="center"/>
      <protection hidden="1"/>
    </xf>
    <xf numFmtId="0" fontId="16" fillId="14" borderId="0" xfId="0" applyFont="1" applyFill="1" applyAlignment="1" applyProtection="1">
      <alignment horizontal="left"/>
      <protection hidden="1"/>
    </xf>
    <xf numFmtId="0" fontId="19" fillId="14" borderId="0" xfId="0" applyFont="1" applyFill="1" applyProtection="1">
      <protection hidden="1"/>
    </xf>
    <xf numFmtId="0" fontId="0" fillId="5" borderId="0" xfId="0" applyFill="1" applyAlignment="1" applyProtection="1">
      <alignment horizontal="center"/>
      <protection hidden="1"/>
    </xf>
    <xf numFmtId="0" fontId="5" fillId="5" borderId="0" xfId="0" applyFont="1" applyFill="1" applyAlignment="1" applyProtection="1">
      <alignment horizontal="center"/>
      <protection hidden="1"/>
    </xf>
    <xf numFmtId="0" fontId="108" fillId="5" borderId="0" xfId="0" applyFont="1" applyFill="1" applyProtection="1">
      <protection hidden="1"/>
    </xf>
    <xf numFmtId="165" fontId="53" fillId="5" borderId="0" xfId="0" applyNumberFormat="1" applyFont="1" applyFill="1" applyAlignment="1" applyProtection="1">
      <alignment horizontal="center"/>
      <protection hidden="1"/>
    </xf>
    <xf numFmtId="165" fontId="52" fillId="5" borderId="0" xfId="0" applyNumberFormat="1" applyFont="1" applyFill="1" applyAlignment="1" applyProtection="1">
      <alignment horizontal="center"/>
      <protection hidden="1"/>
    </xf>
    <xf numFmtId="165" fontId="50" fillId="5" borderId="0" xfId="0" applyNumberFormat="1" applyFont="1" applyFill="1" applyAlignment="1" applyProtection="1">
      <alignment horizontal="center"/>
      <protection hidden="1"/>
    </xf>
    <xf numFmtId="165" fontId="59" fillId="5" borderId="0" xfId="0" applyNumberFormat="1" applyFont="1" applyFill="1" applyAlignment="1" applyProtection="1">
      <alignment horizontal="center"/>
      <protection hidden="1"/>
    </xf>
    <xf numFmtId="166" fontId="0" fillId="7" borderId="0" xfId="0" applyNumberFormat="1" applyFill="1" applyAlignment="1" applyProtection="1">
      <alignment horizontal="center"/>
      <protection hidden="1"/>
    </xf>
    <xf numFmtId="0" fontId="5" fillId="7" borderId="0" xfId="0" applyFont="1" applyFill="1" applyProtection="1">
      <protection hidden="1"/>
    </xf>
    <xf numFmtId="166" fontId="50" fillId="7" borderId="0" xfId="0" applyNumberFormat="1" applyFont="1" applyFill="1" applyAlignment="1" applyProtection="1">
      <alignment horizontal="center"/>
      <protection hidden="1"/>
    </xf>
    <xf numFmtId="166" fontId="57" fillId="7" borderId="0" xfId="0" applyNumberFormat="1" applyFont="1" applyFill="1" applyAlignment="1" applyProtection="1">
      <alignment horizontal="center"/>
      <protection hidden="1"/>
    </xf>
    <xf numFmtId="165" fontId="50" fillId="7" borderId="0" xfId="0" applyNumberFormat="1" applyFont="1" applyFill="1" applyAlignment="1" applyProtection="1">
      <alignment horizontal="center"/>
      <protection hidden="1"/>
    </xf>
    <xf numFmtId="166" fontId="59" fillId="7" borderId="0" xfId="0" applyNumberFormat="1" applyFont="1" applyFill="1" applyAlignment="1" applyProtection="1">
      <alignment horizontal="center"/>
      <protection hidden="1"/>
    </xf>
    <xf numFmtId="166" fontId="0" fillId="14" borderId="0" xfId="0" applyNumberFormat="1" applyFill="1" applyAlignment="1" applyProtection="1">
      <alignment horizontal="center"/>
      <protection hidden="1"/>
    </xf>
    <xf numFmtId="0" fontId="0" fillId="23" borderId="0" xfId="0" applyFill="1" applyProtection="1">
      <protection hidden="1"/>
    </xf>
    <xf numFmtId="17" fontId="0" fillId="14" borderId="0" xfId="0" applyNumberFormat="1" applyFill="1" applyProtection="1">
      <protection hidden="1"/>
    </xf>
    <xf numFmtId="0" fontId="26" fillId="14" borderId="0" xfId="0" applyFont="1" applyFill="1" applyProtection="1">
      <protection hidden="1"/>
    </xf>
    <xf numFmtId="0" fontId="26" fillId="14" borderId="0" xfId="0" applyFont="1" applyFill="1" applyAlignment="1" applyProtection="1">
      <alignment horizontal="right"/>
      <protection hidden="1"/>
    </xf>
    <xf numFmtId="0" fontId="44" fillId="22" borderId="0" xfId="0" applyFont="1" applyFill="1" applyAlignment="1" applyProtection="1">
      <alignment horizontal="center"/>
      <protection hidden="1"/>
    </xf>
    <xf numFmtId="166" fontId="69" fillId="15" borderId="20" xfId="1" applyNumberFormat="1" applyFont="1" applyFill="1" applyBorder="1" applyAlignment="1" applyProtection="1">
      <protection hidden="1"/>
    </xf>
    <xf numFmtId="0" fontId="0" fillId="16" borderId="0" xfId="0" applyFill="1" applyProtection="1">
      <protection hidden="1"/>
    </xf>
    <xf numFmtId="0" fontId="21" fillId="18" borderId="16" xfId="0" applyFont="1" applyFill="1" applyBorder="1" applyAlignment="1" applyProtection="1">
      <alignment horizontal="center"/>
      <protection locked="0" hidden="1"/>
    </xf>
    <xf numFmtId="0" fontId="21" fillId="16" borderId="18" xfId="0" applyFont="1" applyFill="1" applyBorder="1" applyAlignment="1" applyProtection="1">
      <alignment horizontal="right"/>
      <protection locked="0" hidden="1"/>
    </xf>
    <xf numFmtId="165" fontId="25" fillId="5" borderId="15" xfId="0" applyNumberFormat="1" applyFont="1" applyFill="1" applyBorder="1" applyAlignment="1" applyProtection="1">
      <alignment horizontal="right"/>
      <protection hidden="1"/>
    </xf>
    <xf numFmtId="165" fontId="24" fillId="16" borderId="15" xfId="0" applyNumberFormat="1" applyFont="1" applyFill="1" applyBorder="1" applyProtection="1">
      <protection hidden="1"/>
    </xf>
    <xf numFmtId="0" fontId="21" fillId="17" borderId="17" xfId="0" applyFont="1" applyFill="1" applyBorder="1" applyAlignment="1" applyProtection="1">
      <alignment horizontal="center"/>
      <protection hidden="1"/>
    </xf>
    <xf numFmtId="0" fontId="21" fillId="17" borderId="20" xfId="0" applyFont="1" applyFill="1" applyBorder="1" applyAlignment="1" applyProtection="1">
      <alignment horizontal="center"/>
      <protection hidden="1"/>
    </xf>
    <xf numFmtId="0" fontId="16" fillId="23" borderId="0" xfId="0" applyFont="1" applyFill="1" applyProtection="1">
      <protection hidden="1"/>
    </xf>
    <xf numFmtId="165" fontId="31" fillId="5" borderId="28" xfId="0" applyNumberFormat="1" applyFont="1" applyFill="1" applyBorder="1" applyProtection="1">
      <protection hidden="1"/>
    </xf>
    <xf numFmtId="165" fontId="34" fillId="5" borderId="29" xfId="0" applyNumberFormat="1" applyFont="1" applyFill="1" applyBorder="1" applyProtection="1">
      <protection hidden="1"/>
    </xf>
    <xf numFmtId="0" fontId="31" fillId="5" borderId="18" xfId="0" applyFont="1" applyFill="1" applyBorder="1" applyProtection="1">
      <protection hidden="1"/>
    </xf>
    <xf numFmtId="165" fontId="29" fillId="5" borderId="16" xfId="0" applyNumberFormat="1" applyFont="1" applyFill="1" applyBorder="1" applyProtection="1">
      <protection hidden="1"/>
    </xf>
    <xf numFmtId="0" fontId="16" fillId="17" borderId="3" xfId="0" applyFont="1" applyFill="1" applyBorder="1" applyProtection="1">
      <protection hidden="1"/>
    </xf>
    <xf numFmtId="0" fontId="21" fillId="19" borderId="1" xfId="0" applyFont="1" applyFill="1" applyBorder="1" applyAlignment="1" applyProtection="1">
      <alignment horizontal="center"/>
      <protection hidden="1"/>
    </xf>
    <xf numFmtId="165" fontId="14" fillId="5" borderId="28" xfId="0" applyNumberFormat="1" applyFont="1" applyFill="1" applyBorder="1" applyProtection="1">
      <protection hidden="1"/>
    </xf>
    <xf numFmtId="165" fontId="21" fillId="19" borderId="18" xfId="0" applyNumberFormat="1" applyFont="1" applyFill="1" applyBorder="1" applyProtection="1">
      <protection hidden="1"/>
    </xf>
    <xf numFmtId="165" fontId="21" fillId="19" borderId="17" xfId="0" applyNumberFormat="1" applyFont="1" applyFill="1" applyBorder="1" applyProtection="1">
      <protection hidden="1"/>
    </xf>
    <xf numFmtId="0" fontId="14" fillId="5" borderId="16" xfId="0" applyFont="1" applyFill="1" applyBorder="1" applyProtection="1">
      <protection hidden="1"/>
    </xf>
    <xf numFmtId="0" fontId="16" fillId="19" borderId="3" xfId="0" applyFont="1" applyFill="1" applyBorder="1" applyProtection="1">
      <protection hidden="1"/>
    </xf>
    <xf numFmtId="0" fontId="18" fillId="11" borderId="21" xfId="0" applyFont="1" applyFill="1" applyBorder="1" applyAlignment="1" applyProtection="1">
      <alignment horizontal="center"/>
      <protection hidden="1"/>
    </xf>
    <xf numFmtId="0" fontId="18" fillId="11" borderId="1" xfId="0" applyFont="1" applyFill="1" applyBorder="1" applyAlignment="1" applyProtection="1">
      <alignment horizontal="center"/>
      <protection hidden="1"/>
    </xf>
    <xf numFmtId="0" fontId="0" fillId="11" borderId="0" xfId="0" applyFill="1" applyProtection="1">
      <protection hidden="1"/>
    </xf>
    <xf numFmtId="0" fontId="31" fillId="11" borderId="3" xfId="0" applyFont="1" applyFill="1" applyBorder="1" applyProtection="1">
      <protection hidden="1"/>
    </xf>
    <xf numFmtId="166" fontId="15" fillId="15" borderId="12" xfId="0" applyNumberFormat="1" applyFont="1" applyFill="1" applyBorder="1" applyAlignment="1" applyProtection="1">
      <alignment vertical="center"/>
      <protection hidden="1"/>
    </xf>
    <xf numFmtId="166" fontId="15" fillId="15" borderId="13" xfId="0" applyNumberFormat="1" applyFont="1" applyFill="1" applyBorder="1" applyAlignment="1" applyProtection="1">
      <alignment vertical="center"/>
      <protection hidden="1"/>
    </xf>
    <xf numFmtId="0" fontId="18" fillId="21" borderId="1" xfId="0" applyFont="1" applyFill="1" applyBorder="1" applyAlignment="1" applyProtection="1">
      <alignment horizontal="center"/>
      <protection hidden="1"/>
    </xf>
    <xf numFmtId="0" fontId="0" fillId="21" borderId="0" xfId="0" applyFill="1" applyProtection="1">
      <protection hidden="1"/>
    </xf>
    <xf numFmtId="0" fontId="21" fillId="14" borderId="0" xfId="0" applyFont="1" applyFill="1" applyAlignment="1" applyProtection="1">
      <alignment horizontal="right"/>
      <protection hidden="1"/>
    </xf>
    <xf numFmtId="165" fontId="31" fillId="5" borderId="19" xfId="0" applyNumberFormat="1" applyFont="1" applyFill="1" applyBorder="1" applyProtection="1">
      <protection hidden="1"/>
    </xf>
    <xf numFmtId="165" fontId="31" fillId="5" borderId="15" xfId="0" applyNumberFormat="1" applyFont="1" applyFill="1" applyBorder="1" applyProtection="1">
      <protection hidden="1"/>
    </xf>
    <xf numFmtId="166" fontId="36" fillId="5" borderId="28" xfId="0" applyNumberFormat="1" applyFont="1" applyFill="1" applyBorder="1" applyProtection="1">
      <protection hidden="1"/>
    </xf>
    <xf numFmtId="166" fontId="5" fillId="21" borderId="3" xfId="0" applyNumberFormat="1" applyFont="1" applyFill="1" applyBorder="1" applyProtection="1">
      <protection hidden="1"/>
    </xf>
    <xf numFmtId="0" fontId="0" fillId="22" borderId="0" xfId="0" applyFill="1" applyAlignment="1" applyProtection="1">
      <alignment horizontal="right"/>
      <protection hidden="1"/>
    </xf>
    <xf numFmtId="0" fontId="31" fillId="5" borderId="3" xfId="0" applyFont="1" applyFill="1" applyBorder="1" applyProtection="1">
      <protection hidden="1"/>
    </xf>
    <xf numFmtId="166" fontId="45" fillId="5" borderId="3" xfId="0" applyNumberFormat="1" applyFont="1" applyFill="1" applyBorder="1" applyProtection="1">
      <protection hidden="1"/>
    </xf>
    <xf numFmtId="0" fontId="31" fillId="5" borderId="22" xfId="0" applyFont="1" applyFill="1" applyBorder="1" applyProtection="1">
      <protection hidden="1"/>
    </xf>
    <xf numFmtId="166" fontId="38" fillId="5" borderId="3" xfId="0" applyNumberFormat="1" applyFont="1" applyFill="1" applyBorder="1" applyProtection="1">
      <protection hidden="1"/>
    </xf>
    <xf numFmtId="0" fontId="31" fillId="5" borderId="6" xfId="0" applyFont="1" applyFill="1" applyBorder="1" applyProtection="1">
      <protection hidden="1"/>
    </xf>
    <xf numFmtId="165" fontId="29" fillId="5" borderId="6" xfId="0" applyNumberFormat="1" applyFont="1" applyFill="1" applyBorder="1" applyProtection="1">
      <protection hidden="1"/>
    </xf>
    <xf numFmtId="0" fontId="23" fillId="14" borderId="0" xfId="0" applyFont="1" applyFill="1" applyAlignment="1" applyProtection="1">
      <alignment horizontal="right"/>
      <protection hidden="1"/>
    </xf>
    <xf numFmtId="165" fontId="29" fillId="14" borderId="0" xfId="0" applyNumberFormat="1" applyFont="1" applyFill="1" applyAlignment="1" applyProtection="1">
      <alignment horizontal="right"/>
      <protection hidden="1"/>
    </xf>
    <xf numFmtId="0" fontId="31" fillId="14" borderId="0" xfId="0" applyFont="1" applyFill="1" applyProtection="1">
      <protection hidden="1"/>
    </xf>
    <xf numFmtId="0" fontId="60" fillId="14" borderId="0" xfId="0" applyFont="1" applyFill="1" applyAlignment="1" applyProtection="1">
      <alignment horizontal="right"/>
      <protection hidden="1"/>
    </xf>
    <xf numFmtId="0" fontId="16" fillId="14" borderId="0" xfId="1" applyFont="1" applyFill="1" applyAlignment="1" applyProtection="1">
      <alignment horizontal="center" wrapText="1"/>
      <protection hidden="1"/>
    </xf>
    <xf numFmtId="0" fontId="123" fillId="5" borderId="0" xfId="0" applyFont="1" applyFill="1" applyAlignment="1" applyProtection="1">
      <alignment horizontal="center"/>
      <protection locked="0" hidden="1"/>
    </xf>
    <xf numFmtId="14" fontId="123" fillId="5" borderId="0" xfId="0" applyNumberFormat="1" applyFont="1" applyFill="1" applyAlignment="1" applyProtection="1">
      <alignment horizontal="center"/>
      <protection locked="0" hidden="1"/>
    </xf>
    <xf numFmtId="0" fontId="0" fillId="17" borderId="0" xfId="0" applyFill="1" applyProtection="1">
      <protection locked="0" hidden="1"/>
    </xf>
    <xf numFmtId="0" fontId="19" fillId="17" borderId="0" xfId="0" applyFont="1" applyFill="1" applyProtection="1">
      <protection locked="0" hidden="1"/>
    </xf>
    <xf numFmtId="0" fontId="14" fillId="17" borderId="0" xfId="0" applyFont="1" applyFill="1" applyProtection="1">
      <protection locked="0" hidden="1"/>
    </xf>
    <xf numFmtId="0" fontId="22" fillId="17" borderId="0" xfId="0" applyFont="1" applyFill="1" applyProtection="1">
      <protection locked="0" hidden="1"/>
    </xf>
    <xf numFmtId="0" fontId="0" fillId="17" borderId="0" xfId="0" applyFill="1" applyAlignment="1" applyProtection="1">
      <alignment horizontal="center"/>
      <protection locked="0" hidden="1"/>
    </xf>
    <xf numFmtId="0" fontId="18" fillId="17" borderId="0" xfId="0" applyFont="1" applyFill="1" applyAlignment="1" applyProtection="1">
      <alignment horizontal="center"/>
      <protection locked="0" hidden="1"/>
    </xf>
    <xf numFmtId="0" fontId="19" fillId="17" borderId="0" xfId="0" applyFont="1" applyFill="1" applyAlignment="1" applyProtection="1">
      <alignment horizontal="center"/>
      <protection locked="0" hidden="1"/>
    </xf>
    <xf numFmtId="0" fontId="19" fillId="17" borderId="0" xfId="0" applyFont="1" applyFill="1" applyProtection="1">
      <protection hidden="1"/>
    </xf>
    <xf numFmtId="0" fontId="77" fillId="17" borderId="0" xfId="0" applyFont="1" applyFill="1" applyAlignment="1" applyProtection="1">
      <alignment horizontal="center"/>
      <protection hidden="1"/>
    </xf>
    <xf numFmtId="0" fontId="14" fillId="17" borderId="0" xfId="0" applyFont="1" applyFill="1" applyProtection="1">
      <protection hidden="1"/>
    </xf>
    <xf numFmtId="0" fontId="41" fillId="37" borderId="49" xfId="1" applyFont="1" applyFill="1" applyBorder="1" applyAlignment="1" applyProtection="1">
      <alignment horizontal="center" vertical="center"/>
      <protection hidden="1"/>
    </xf>
    <xf numFmtId="0" fontId="56" fillId="17" borderId="0" xfId="0" applyFont="1" applyFill="1" applyAlignment="1" applyProtection="1">
      <alignment vertical="center" wrapText="1"/>
      <protection hidden="1"/>
    </xf>
    <xf numFmtId="0" fontId="111" fillId="17" borderId="0" xfId="0" applyFont="1" applyFill="1" applyProtection="1">
      <protection hidden="1"/>
    </xf>
    <xf numFmtId="0" fontId="111" fillId="17" borderId="0" xfId="0" applyFont="1" applyFill="1" applyAlignment="1" applyProtection="1">
      <alignment horizontal="center"/>
      <protection hidden="1"/>
    </xf>
    <xf numFmtId="0" fontId="23" fillId="17" borderId="0" xfId="0" quotePrefix="1" applyFont="1" applyFill="1" applyProtection="1">
      <protection hidden="1"/>
    </xf>
    <xf numFmtId="0" fontId="22" fillId="17" borderId="0" xfId="0" applyFont="1" applyFill="1" applyProtection="1">
      <protection hidden="1"/>
    </xf>
    <xf numFmtId="0" fontId="22" fillId="17" borderId="0" xfId="0" applyFont="1" applyFill="1" applyAlignment="1" applyProtection="1">
      <alignment horizontal="center"/>
      <protection hidden="1"/>
    </xf>
    <xf numFmtId="0" fontId="17" fillId="17" borderId="0" xfId="0" applyFont="1" applyFill="1" applyProtection="1">
      <protection hidden="1"/>
    </xf>
    <xf numFmtId="0" fontId="112" fillId="17" borderId="0" xfId="0" applyFont="1" applyFill="1" applyProtection="1">
      <protection hidden="1"/>
    </xf>
    <xf numFmtId="0" fontId="101" fillId="17" borderId="0" xfId="0" applyFont="1" applyFill="1" applyAlignment="1" applyProtection="1">
      <alignment horizontal="left"/>
      <protection hidden="1"/>
    </xf>
    <xf numFmtId="0" fontId="18" fillId="17" borderId="0" xfId="0" applyFont="1" applyFill="1" applyAlignment="1" applyProtection="1">
      <alignment horizontal="center"/>
      <protection hidden="1"/>
    </xf>
    <xf numFmtId="0" fontId="0" fillId="17" borderId="0" xfId="0" applyFill="1" applyAlignment="1" applyProtection="1">
      <alignment horizontal="center"/>
      <protection hidden="1"/>
    </xf>
    <xf numFmtId="0" fontId="19" fillId="17" borderId="0" xfId="0" applyFont="1" applyFill="1" applyAlignment="1" applyProtection="1">
      <alignment horizontal="center"/>
      <protection hidden="1"/>
    </xf>
    <xf numFmtId="166" fontId="135" fillId="38" borderId="32" xfId="0" applyNumberFormat="1" applyFont="1" applyFill="1" applyBorder="1" applyAlignment="1" applyProtection="1">
      <alignment horizontal="center"/>
      <protection hidden="1"/>
    </xf>
    <xf numFmtId="166" fontId="132" fillId="38" borderId="53" xfId="0" applyNumberFormat="1" applyFont="1" applyFill="1" applyBorder="1" applyAlignment="1" applyProtection="1">
      <alignment horizontal="center"/>
      <protection hidden="1"/>
    </xf>
    <xf numFmtId="165" fontId="110" fillId="5" borderId="51" xfId="0" applyNumberFormat="1" applyFont="1" applyFill="1" applyBorder="1" applyAlignment="1" applyProtection="1">
      <alignment horizontal="center"/>
      <protection hidden="1"/>
    </xf>
    <xf numFmtId="0" fontId="0" fillId="17" borderId="66" xfId="0" applyFill="1" applyBorder="1" applyProtection="1">
      <protection hidden="1"/>
    </xf>
    <xf numFmtId="0" fontId="44" fillId="4" borderId="49" xfId="0" applyFont="1" applyFill="1" applyBorder="1" applyAlignment="1" applyProtection="1">
      <alignment horizontal="center"/>
      <protection hidden="1"/>
    </xf>
    <xf numFmtId="0" fontId="113" fillId="4" borderId="49" xfId="0" applyFont="1" applyFill="1" applyBorder="1" applyAlignment="1" applyProtection="1">
      <alignment horizontal="center"/>
      <protection hidden="1"/>
    </xf>
    <xf numFmtId="0" fontId="119" fillId="4" borderId="49" xfId="0" applyFont="1" applyFill="1" applyBorder="1" applyAlignment="1" applyProtection="1">
      <alignment horizontal="center"/>
      <protection hidden="1"/>
    </xf>
    <xf numFmtId="166" fontId="139" fillId="35" borderId="49" xfId="0" applyNumberFormat="1" applyFont="1" applyFill="1" applyBorder="1" applyAlignment="1" applyProtection="1">
      <alignment horizontal="center" vertical="center"/>
      <protection hidden="1"/>
    </xf>
    <xf numFmtId="0" fontId="110" fillId="34" borderId="1" xfId="0" applyFont="1" applyFill="1" applyBorder="1" applyProtection="1">
      <protection locked="0" hidden="1"/>
    </xf>
    <xf numFmtId="0" fontId="110" fillId="17" borderId="0" xfId="0" applyFont="1" applyFill="1" applyProtection="1">
      <protection locked="0" hidden="1"/>
    </xf>
    <xf numFmtId="166" fontId="0" fillId="5" borderId="20" xfId="0" applyNumberFormat="1" applyFill="1" applyBorder="1" applyAlignment="1" applyProtection="1">
      <alignment horizontal="center"/>
      <protection hidden="1"/>
    </xf>
    <xf numFmtId="0" fontId="109" fillId="17" borderId="0" xfId="0" applyFont="1" applyFill="1" applyProtection="1">
      <protection locked="0" hidden="1"/>
    </xf>
    <xf numFmtId="166" fontId="14" fillId="5" borderId="15" xfId="0" applyNumberFormat="1" applyFont="1" applyFill="1" applyBorder="1" applyAlignment="1" applyProtection="1">
      <alignment horizontal="center"/>
      <protection locked="0" hidden="1"/>
    </xf>
    <xf numFmtId="166" fontId="0" fillId="5" borderId="15" xfId="0" applyNumberFormat="1" applyFill="1" applyBorder="1" applyAlignment="1" applyProtection="1">
      <alignment horizontal="center"/>
      <protection locked="0" hidden="1"/>
    </xf>
    <xf numFmtId="0" fontId="19" fillId="5" borderId="15" xfId="0" applyFont="1" applyFill="1" applyBorder="1" applyAlignment="1" applyProtection="1">
      <alignment horizontal="center"/>
      <protection locked="0" hidden="1"/>
    </xf>
    <xf numFmtId="0" fontId="19" fillId="5" borderId="15" xfId="0" applyFont="1" applyFill="1" applyBorder="1" applyAlignment="1" applyProtection="1">
      <alignment horizontal="center"/>
      <protection hidden="1"/>
    </xf>
    <xf numFmtId="0" fontId="19" fillId="5" borderId="3" xfId="0" applyFont="1" applyFill="1" applyBorder="1" applyProtection="1">
      <protection locked="0" hidden="1"/>
    </xf>
    <xf numFmtId="166" fontId="0" fillId="5" borderId="67" xfId="0" applyNumberFormat="1" applyFill="1" applyBorder="1" applyAlignment="1" applyProtection="1">
      <alignment horizontal="center"/>
      <protection hidden="1"/>
    </xf>
    <xf numFmtId="0" fontId="22" fillId="4" borderId="0" xfId="1" applyFont="1" applyFill="1" applyAlignment="1" applyProtection="1">
      <protection hidden="1"/>
    </xf>
    <xf numFmtId="0" fontId="16" fillId="17" borderId="0" xfId="0" applyFont="1" applyFill="1" applyProtection="1">
      <protection hidden="1"/>
    </xf>
    <xf numFmtId="0" fontId="130" fillId="4" borderId="49" xfId="0" applyFont="1" applyFill="1" applyBorder="1" applyAlignment="1" applyProtection="1">
      <alignment horizontal="center"/>
      <protection hidden="1"/>
    </xf>
    <xf numFmtId="0" fontId="131" fillId="17" borderId="0" xfId="0" applyFont="1" applyFill="1" applyAlignment="1" applyProtection="1">
      <alignment horizontal="center"/>
      <protection hidden="1"/>
    </xf>
    <xf numFmtId="0" fontId="23" fillId="17" borderId="0" xfId="0" applyFont="1" applyFill="1" applyAlignment="1" applyProtection="1">
      <alignment horizontal="right"/>
      <protection locked="0" hidden="1"/>
    </xf>
    <xf numFmtId="0" fontId="21" fillId="20" borderId="15" xfId="0" applyFont="1" applyFill="1" applyBorder="1" applyProtection="1">
      <protection locked="0" hidden="1"/>
    </xf>
    <xf numFmtId="0" fontId="0" fillId="22" borderId="0" xfId="0" applyFill="1" applyAlignment="1" applyProtection="1">
      <alignment horizontal="left"/>
      <protection locked="0" hidden="1"/>
    </xf>
    <xf numFmtId="0" fontId="14" fillId="22" borderId="0" xfId="0" applyFont="1" applyFill="1" applyAlignment="1" applyProtection="1">
      <alignment horizontal="left"/>
      <protection locked="0" hidden="1"/>
    </xf>
    <xf numFmtId="0" fontId="3" fillId="22" borderId="0" xfId="0" applyFont="1" applyFill="1" applyAlignment="1" applyProtection="1">
      <alignment horizontal="left"/>
      <protection locked="0" hidden="1"/>
    </xf>
    <xf numFmtId="0" fontId="0" fillId="5" borderId="0" xfId="0" applyFill="1" applyAlignment="1" applyProtection="1">
      <alignment horizontal="left"/>
      <protection locked="0" hidden="1"/>
    </xf>
    <xf numFmtId="0" fontId="3" fillId="5" borderId="0" xfId="0" applyFont="1" applyFill="1" applyAlignment="1" applyProtection="1">
      <alignment horizontal="left"/>
      <protection locked="0" hidden="1"/>
    </xf>
    <xf numFmtId="0" fontId="121" fillId="17" borderId="0" xfId="0" quotePrefix="1" applyFont="1" applyFill="1" applyAlignment="1" applyProtection="1">
      <alignment horizontal="left"/>
      <protection hidden="1"/>
    </xf>
    <xf numFmtId="0" fontId="22" fillId="4" borderId="49" xfId="0" applyFont="1" applyFill="1" applyBorder="1" applyAlignment="1" applyProtection="1">
      <alignment horizontal="center"/>
      <protection locked="0" hidden="1"/>
    </xf>
    <xf numFmtId="0" fontId="22" fillId="4" borderId="52" xfId="0" applyFont="1" applyFill="1" applyBorder="1" applyAlignment="1" applyProtection="1">
      <alignment horizontal="center"/>
      <protection locked="0" hidden="1"/>
    </xf>
    <xf numFmtId="166" fontId="5" fillId="5" borderId="1" xfId="0" applyNumberFormat="1" applyFont="1" applyFill="1" applyBorder="1" applyAlignment="1" applyProtection="1">
      <alignment horizontal="center"/>
      <protection hidden="1"/>
    </xf>
    <xf numFmtId="166" fontId="5" fillId="5" borderId="20" xfId="0" applyNumberFormat="1" applyFont="1" applyFill="1" applyBorder="1" applyAlignment="1" applyProtection="1">
      <alignment horizontal="center"/>
      <protection hidden="1"/>
    </xf>
    <xf numFmtId="0" fontId="108" fillId="17" borderId="0" xfId="0" applyFont="1" applyFill="1" applyProtection="1">
      <protection locked="0" hidden="1"/>
    </xf>
    <xf numFmtId="0" fontId="108" fillId="17" borderId="0" xfId="0" applyFont="1" applyFill="1" applyProtection="1">
      <protection hidden="1"/>
    </xf>
    <xf numFmtId="166" fontId="143" fillId="5" borderId="15" xfId="1" applyNumberFormat="1" applyFont="1" applyFill="1" applyBorder="1" applyAlignment="1" applyProtection="1">
      <alignment horizontal="center"/>
      <protection locked="0" hidden="1"/>
    </xf>
    <xf numFmtId="0" fontId="151" fillId="4" borderId="49" xfId="0" applyFont="1" applyFill="1" applyBorder="1" applyAlignment="1" applyProtection="1">
      <alignment horizontal="center"/>
      <protection hidden="1"/>
    </xf>
    <xf numFmtId="166" fontId="116" fillId="11" borderId="73" xfId="0" applyNumberFormat="1" applyFont="1" applyFill="1" applyBorder="1" applyAlignment="1" applyProtection="1">
      <alignment horizontal="center"/>
      <protection hidden="1"/>
    </xf>
    <xf numFmtId="166" fontId="23" fillId="38" borderId="80" xfId="0" applyNumberFormat="1" applyFont="1" applyFill="1" applyBorder="1" applyAlignment="1" applyProtection="1">
      <alignment horizontal="center"/>
      <protection hidden="1"/>
    </xf>
    <xf numFmtId="166" fontId="139" fillId="35" borderId="49" xfId="0" applyNumberFormat="1" applyFont="1" applyFill="1" applyBorder="1" applyAlignment="1" applyProtection="1">
      <alignment horizontal="center"/>
      <protection hidden="1"/>
    </xf>
    <xf numFmtId="0" fontId="0" fillId="17" borderId="81" xfId="0" applyFill="1" applyBorder="1" applyProtection="1">
      <protection hidden="1"/>
    </xf>
    <xf numFmtId="166" fontId="59" fillId="35" borderId="0" xfId="0" applyNumberFormat="1" applyFont="1" applyFill="1" applyAlignment="1" applyProtection="1">
      <alignment horizontal="center"/>
      <protection hidden="1"/>
    </xf>
    <xf numFmtId="0" fontId="16" fillId="17" borderId="0" xfId="0" applyFont="1" applyFill="1" applyAlignment="1" applyProtection="1">
      <alignment horizontal="right"/>
      <protection hidden="1"/>
    </xf>
    <xf numFmtId="0" fontId="23" fillId="16" borderId="17" xfId="0" applyFont="1" applyFill="1" applyBorder="1" applyProtection="1">
      <protection locked="0"/>
    </xf>
    <xf numFmtId="0" fontId="32" fillId="5" borderId="3" xfId="0" applyFont="1" applyFill="1" applyBorder="1" applyProtection="1">
      <protection locked="0"/>
    </xf>
    <xf numFmtId="40" fontId="32" fillId="5" borderId="21" xfId="0" applyNumberFormat="1" applyFont="1" applyFill="1" applyBorder="1" applyProtection="1">
      <protection locked="0"/>
    </xf>
    <xf numFmtId="165" fontId="31" fillId="5" borderId="19" xfId="0" applyNumberFormat="1" applyFont="1" applyFill="1" applyBorder="1" applyProtection="1">
      <protection locked="0"/>
    </xf>
    <xf numFmtId="0" fontId="32" fillId="5" borderId="22" xfId="0" applyFont="1" applyFill="1" applyBorder="1" applyProtection="1">
      <protection locked="0"/>
    </xf>
    <xf numFmtId="40" fontId="33" fillId="5" borderId="23" xfId="0" applyNumberFormat="1" applyFont="1" applyFill="1" applyBorder="1" applyProtection="1">
      <protection locked="0"/>
    </xf>
    <xf numFmtId="165" fontId="34" fillId="5" borderId="0" xfId="0" applyNumberFormat="1" applyFont="1" applyFill="1" applyProtection="1">
      <protection locked="0"/>
    </xf>
    <xf numFmtId="0" fontId="32" fillId="5" borderId="24" xfId="0" applyFont="1" applyFill="1" applyBorder="1" applyProtection="1">
      <protection locked="0"/>
    </xf>
    <xf numFmtId="165" fontId="83" fillId="0" borderId="1" xfId="0" applyNumberFormat="1" applyFont="1" applyBorder="1" applyProtection="1">
      <protection locked="0"/>
    </xf>
    <xf numFmtId="165" fontId="84" fillId="29" borderId="2" xfId="0" applyNumberFormat="1" applyFont="1" applyFill="1" applyBorder="1" applyProtection="1">
      <protection locked="0"/>
    </xf>
    <xf numFmtId="165" fontId="83" fillId="0" borderId="1" xfId="0" quotePrefix="1" applyNumberFormat="1" applyFont="1" applyBorder="1" applyProtection="1">
      <protection locked="0"/>
    </xf>
    <xf numFmtId="0" fontId="14" fillId="0" borderId="15" xfId="0" applyFont="1" applyBorder="1" applyProtection="1">
      <protection locked="0"/>
    </xf>
    <xf numFmtId="0" fontId="109" fillId="0" borderId="1" xfId="0" applyFont="1" applyBorder="1" applyProtection="1">
      <protection locked="0"/>
    </xf>
    <xf numFmtId="0" fontId="110" fillId="34" borderId="1" xfId="0" applyFont="1" applyFill="1" applyBorder="1" applyProtection="1">
      <protection locked="0"/>
    </xf>
    <xf numFmtId="0" fontId="16" fillId="17" borderId="0" xfId="0" applyFont="1" applyFill="1" applyAlignment="1">
      <alignment horizontal="right"/>
    </xf>
    <xf numFmtId="0" fontId="0" fillId="17" borderId="0" xfId="0" applyFill="1" applyProtection="1">
      <protection locked="0"/>
    </xf>
    <xf numFmtId="0" fontId="44" fillId="4" borderId="49" xfId="0" applyFont="1" applyFill="1" applyBorder="1" applyAlignment="1">
      <alignment horizontal="center"/>
    </xf>
    <xf numFmtId="0" fontId="109" fillId="0" borderId="0" xfId="0" applyFont="1" applyProtection="1">
      <protection locked="0"/>
    </xf>
    <xf numFmtId="168" fontId="114" fillId="5" borderId="65" xfId="0" applyNumberFormat="1" applyFont="1" applyFill="1" applyBorder="1" applyAlignment="1" applyProtection="1">
      <alignment horizontal="center"/>
      <protection locked="0"/>
    </xf>
    <xf numFmtId="166" fontId="0" fillId="5" borderId="67" xfId="0" applyNumberFormat="1" applyFill="1" applyBorder="1" applyProtection="1">
      <protection locked="0"/>
    </xf>
    <xf numFmtId="166" fontId="18" fillId="5" borderId="67" xfId="0" applyNumberFormat="1" applyFont="1" applyFill="1" applyBorder="1" applyAlignment="1" applyProtection="1">
      <alignment horizontal="center"/>
      <protection locked="0"/>
    </xf>
    <xf numFmtId="0" fontId="19" fillId="5" borderId="67" xfId="0" applyFont="1" applyFill="1" applyBorder="1" applyAlignment="1" applyProtection="1">
      <alignment horizontal="center"/>
      <protection locked="0"/>
    </xf>
    <xf numFmtId="0" fontId="19" fillId="5" borderId="67" xfId="0" applyFont="1" applyFill="1" applyBorder="1" applyAlignment="1" applyProtection="1">
      <alignment horizontal="left"/>
      <protection locked="0"/>
    </xf>
    <xf numFmtId="0" fontId="22" fillId="14" borderId="0" xfId="0" applyFont="1" applyFill="1" applyProtection="1">
      <protection locked="0"/>
    </xf>
    <xf numFmtId="165" fontId="18" fillId="5" borderId="1" xfId="0" applyNumberFormat="1" applyFont="1" applyFill="1" applyBorder="1" applyProtection="1">
      <protection locked="0"/>
    </xf>
    <xf numFmtId="0" fontId="16" fillId="14" borderId="0" xfId="0" applyFont="1" applyFill="1" applyProtection="1">
      <protection locked="0"/>
    </xf>
    <xf numFmtId="14" fontId="0" fillId="0" borderId="0" xfId="0" applyNumberFormat="1" applyProtection="1">
      <protection hidden="1"/>
    </xf>
    <xf numFmtId="0" fontId="1" fillId="5" borderId="15" xfId="0" applyFont="1" applyFill="1" applyBorder="1" applyProtection="1">
      <protection locked="0"/>
    </xf>
    <xf numFmtId="0" fontId="0" fillId="5" borderId="15" xfId="0" applyFill="1" applyBorder="1" applyProtection="1">
      <protection locked="0"/>
    </xf>
    <xf numFmtId="165" fontId="16" fillId="16" borderId="0" xfId="0" applyNumberFormat="1" applyFont="1" applyFill="1" applyAlignment="1" applyProtection="1">
      <alignment vertical="center"/>
      <protection hidden="1"/>
    </xf>
    <xf numFmtId="165" fontId="16" fillId="17" borderId="0" xfId="0" applyNumberFormat="1" applyFont="1" applyFill="1" applyAlignment="1" applyProtection="1">
      <alignment vertical="center"/>
      <protection hidden="1"/>
    </xf>
    <xf numFmtId="9" fontId="153" fillId="5" borderId="15" xfId="0" applyNumberFormat="1" applyFont="1" applyFill="1" applyBorder="1" applyAlignment="1" applyProtection="1">
      <alignment horizontal="center" vertical="center"/>
      <protection hidden="1"/>
    </xf>
    <xf numFmtId="0" fontId="16" fillId="39" borderId="0" xfId="0" applyFont="1" applyFill="1" applyAlignment="1" applyProtection="1">
      <alignment vertical="center"/>
      <protection hidden="1"/>
    </xf>
    <xf numFmtId="0" fontId="0" fillId="39" borderId="0" xfId="0" applyFill="1" applyAlignment="1" applyProtection="1">
      <alignment vertical="center"/>
      <protection hidden="1"/>
    </xf>
    <xf numFmtId="0" fontId="16" fillId="39" borderId="0" xfId="0" applyFont="1" applyFill="1" applyAlignment="1" applyProtection="1">
      <alignment vertical="top"/>
      <protection hidden="1"/>
    </xf>
    <xf numFmtId="0" fontId="27" fillId="11" borderId="0" xfId="0" applyFont="1" applyFill="1" applyAlignment="1">
      <alignment horizontal="right"/>
    </xf>
    <xf numFmtId="17" fontId="23" fillId="14" borderId="0" xfId="0" applyNumberFormat="1" applyFont="1" applyFill="1" applyAlignment="1" applyProtection="1">
      <alignment horizontal="center"/>
      <protection hidden="1"/>
    </xf>
    <xf numFmtId="0" fontId="49" fillId="17" borderId="24" xfId="0" applyFont="1" applyFill="1" applyBorder="1"/>
    <xf numFmtId="165" fontId="156" fillId="16" borderId="0" xfId="0" applyNumberFormat="1" applyFont="1" applyFill="1" applyAlignment="1" applyProtection="1">
      <alignment horizontal="center"/>
      <protection hidden="1"/>
    </xf>
    <xf numFmtId="165" fontId="158" fillId="5" borderId="16" xfId="0" applyNumberFormat="1" applyFont="1" applyFill="1" applyBorder="1" applyAlignment="1" applyProtection="1">
      <alignment horizontal="center"/>
      <protection hidden="1"/>
    </xf>
    <xf numFmtId="165" fontId="156" fillId="40" borderId="0" xfId="0" applyNumberFormat="1" applyFont="1" applyFill="1" applyAlignment="1" applyProtection="1">
      <alignment horizontal="center"/>
      <protection hidden="1"/>
    </xf>
    <xf numFmtId="165" fontId="159" fillId="5" borderId="16" xfId="0" applyNumberFormat="1" applyFont="1" applyFill="1" applyBorder="1" applyAlignment="1" applyProtection="1">
      <alignment horizontal="center"/>
      <protection hidden="1"/>
    </xf>
    <xf numFmtId="165" fontId="24" fillId="16" borderId="1" xfId="0" applyNumberFormat="1" applyFont="1" applyFill="1" applyBorder="1" applyAlignment="1" applyProtection="1">
      <alignment horizontal="center"/>
      <protection hidden="1"/>
    </xf>
    <xf numFmtId="0" fontId="21" fillId="14" borderId="0" xfId="0" applyFont="1" applyFill="1" applyAlignment="1" applyProtection="1">
      <alignment horizontal="center" vertical="center"/>
      <protection locked="0"/>
    </xf>
    <xf numFmtId="0" fontId="0" fillId="5" borderId="29" xfId="0" applyFill="1" applyBorder="1" applyProtection="1">
      <protection hidden="1"/>
    </xf>
    <xf numFmtId="0" fontId="20" fillId="5" borderId="28" xfId="0" applyFont="1" applyFill="1" applyBorder="1" applyAlignment="1" applyProtection="1">
      <alignment horizontal="center"/>
      <protection hidden="1"/>
    </xf>
    <xf numFmtId="0" fontId="1" fillId="7" borderId="0" xfId="0" applyFont="1" applyFill="1" applyProtection="1">
      <protection hidden="1"/>
    </xf>
    <xf numFmtId="165" fontId="24" fillId="40" borderId="1" xfId="0" applyNumberFormat="1" applyFont="1" applyFill="1" applyBorder="1" applyAlignment="1" applyProtection="1">
      <alignment horizontal="center"/>
      <protection hidden="1"/>
    </xf>
    <xf numFmtId="0" fontId="16" fillId="22" borderId="0" xfId="0" applyFont="1" applyFill="1" applyAlignment="1" applyProtection="1">
      <alignment horizontal="right" vertical="center"/>
      <protection hidden="1"/>
    </xf>
    <xf numFmtId="0" fontId="161" fillId="41" borderId="0" xfId="0" applyFont="1" applyFill="1" applyProtection="1">
      <protection hidden="1"/>
    </xf>
    <xf numFmtId="0" fontId="161" fillId="41" borderId="24" xfId="0" applyFont="1" applyFill="1" applyBorder="1" applyProtection="1">
      <protection hidden="1"/>
    </xf>
    <xf numFmtId="0" fontId="0" fillId="12" borderId="3" xfId="0" applyFill="1" applyBorder="1" applyProtection="1">
      <protection hidden="1"/>
    </xf>
    <xf numFmtId="0" fontId="53" fillId="12" borderId="3" xfId="0" applyFont="1" applyFill="1" applyBorder="1" applyProtection="1">
      <protection hidden="1"/>
    </xf>
    <xf numFmtId="0" fontId="21" fillId="17" borderId="0" xfId="0" applyFont="1" applyFill="1" applyProtection="1">
      <protection hidden="1"/>
    </xf>
    <xf numFmtId="166" fontId="168" fillId="11" borderId="3" xfId="0" applyNumberFormat="1" applyFont="1" applyFill="1" applyBorder="1" applyProtection="1">
      <protection hidden="1"/>
    </xf>
    <xf numFmtId="0" fontId="16" fillId="14" borderId="0" xfId="0" applyFont="1" applyFill="1" applyAlignment="1" applyProtection="1">
      <alignment horizontal="right"/>
      <protection hidden="1"/>
    </xf>
    <xf numFmtId="0" fontId="144" fillId="14" borderId="0" xfId="0" applyFont="1" applyFill="1" applyAlignment="1" applyProtection="1">
      <alignment horizontal="right"/>
      <protection hidden="1"/>
    </xf>
    <xf numFmtId="0" fontId="103" fillId="14" borderId="0" xfId="0" applyFont="1" applyFill="1" applyAlignment="1" applyProtection="1">
      <alignment horizontal="right"/>
      <protection hidden="1"/>
    </xf>
    <xf numFmtId="17" fontId="23" fillId="14" borderId="17" xfId="0" applyNumberFormat="1" applyFont="1" applyFill="1" applyBorder="1" applyAlignment="1" applyProtection="1">
      <alignment horizontal="center"/>
      <protection hidden="1"/>
    </xf>
    <xf numFmtId="0" fontId="1" fillId="14" borderId="0" xfId="0" applyFont="1" applyFill="1" applyProtection="1">
      <protection hidden="1"/>
    </xf>
    <xf numFmtId="0" fontId="0" fillId="16" borderId="28" xfId="0" applyFill="1" applyBorder="1" applyProtection="1">
      <protection hidden="1"/>
    </xf>
    <xf numFmtId="0" fontId="0" fillId="16" borderId="29" xfId="0" applyFill="1" applyBorder="1" applyProtection="1">
      <protection hidden="1"/>
    </xf>
    <xf numFmtId="0" fontId="0" fillId="16" borderId="16" xfId="0" applyFill="1" applyBorder="1" applyProtection="1">
      <protection hidden="1"/>
    </xf>
    <xf numFmtId="0" fontId="0" fillId="22" borderId="28" xfId="0" applyFill="1" applyBorder="1" applyProtection="1">
      <protection hidden="1"/>
    </xf>
    <xf numFmtId="0" fontId="0" fillId="22" borderId="29" xfId="0" applyFill="1" applyBorder="1" applyProtection="1">
      <protection hidden="1"/>
    </xf>
    <xf numFmtId="0" fontId="0" fillId="22" borderId="16" xfId="0" applyFill="1" applyBorder="1" applyProtection="1">
      <protection hidden="1"/>
    </xf>
    <xf numFmtId="0" fontId="0" fillId="17" borderId="28" xfId="0" applyFill="1" applyBorder="1" applyProtection="1">
      <protection hidden="1"/>
    </xf>
    <xf numFmtId="0" fontId="0" fillId="17" borderId="29" xfId="0" applyFill="1" applyBorder="1" applyProtection="1">
      <protection hidden="1"/>
    </xf>
    <xf numFmtId="0" fontId="0" fillId="17" borderId="16" xfId="0" applyFill="1" applyBorder="1" applyProtection="1">
      <protection hidden="1"/>
    </xf>
    <xf numFmtId="0" fontId="0" fillId="11" borderId="28" xfId="0" applyFill="1" applyBorder="1" applyProtection="1">
      <protection hidden="1"/>
    </xf>
    <xf numFmtId="0" fontId="0" fillId="11" borderId="29" xfId="0" applyFill="1" applyBorder="1" applyProtection="1">
      <protection hidden="1"/>
    </xf>
    <xf numFmtId="0" fontId="0" fillId="11" borderId="16" xfId="0" applyFill="1" applyBorder="1" applyProtection="1">
      <protection hidden="1"/>
    </xf>
    <xf numFmtId="0" fontId="0" fillId="21" borderId="28" xfId="0" applyFill="1" applyBorder="1" applyProtection="1">
      <protection hidden="1"/>
    </xf>
    <xf numFmtId="0" fontId="0" fillId="21" borderId="29" xfId="0" applyFill="1" applyBorder="1" applyProtection="1">
      <protection hidden="1"/>
    </xf>
    <xf numFmtId="0" fontId="0" fillId="21" borderId="16" xfId="0" applyFill="1" applyBorder="1" applyProtection="1">
      <protection hidden="1"/>
    </xf>
    <xf numFmtId="0" fontId="172" fillId="14" borderId="0" xfId="0" applyFont="1" applyFill="1" applyAlignment="1" applyProtection="1">
      <alignment horizontal="right"/>
      <protection hidden="1"/>
    </xf>
    <xf numFmtId="165" fontId="173" fillId="5" borderId="0" xfId="0" applyNumberFormat="1" applyFont="1" applyFill="1" applyAlignment="1" applyProtection="1">
      <alignment horizontal="center"/>
      <protection hidden="1"/>
    </xf>
    <xf numFmtId="0" fontId="23" fillId="15" borderId="0" xfId="0" applyFont="1" applyFill="1" applyAlignment="1" applyProtection="1">
      <alignment horizontal="center"/>
      <protection hidden="1"/>
    </xf>
    <xf numFmtId="166" fontId="69" fillId="14" borderId="0" xfId="1" applyNumberFormat="1" applyFont="1" applyFill="1" applyBorder="1" applyAlignment="1" applyProtection="1">
      <protection hidden="1"/>
    </xf>
    <xf numFmtId="0" fontId="16" fillId="15" borderId="0" xfId="0" applyFont="1" applyFill="1" applyAlignment="1" applyProtection="1">
      <alignment horizontal="center" vertical="center"/>
      <protection hidden="1"/>
    </xf>
    <xf numFmtId="0" fontId="22" fillId="15" borderId="0" xfId="0" applyFont="1" applyFill="1" applyAlignment="1" applyProtection="1">
      <alignment horizontal="center" vertical="center"/>
      <protection hidden="1"/>
    </xf>
    <xf numFmtId="164" fontId="175" fillId="5" borderId="1" xfId="0" applyNumberFormat="1" applyFont="1" applyFill="1" applyBorder="1" applyAlignment="1" applyProtection="1">
      <alignment horizontal="right"/>
      <protection hidden="1"/>
    </xf>
    <xf numFmtId="165" fontId="31" fillId="5" borderId="21" xfId="0" applyNumberFormat="1" applyFont="1" applyFill="1" applyBorder="1" applyProtection="1">
      <protection hidden="1"/>
    </xf>
    <xf numFmtId="165" fontId="176" fillId="5" borderId="22" xfId="0" applyNumberFormat="1" applyFont="1" applyFill="1" applyBorder="1" applyAlignment="1" applyProtection="1">
      <alignment horizontal="center"/>
      <protection hidden="1"/>
    </xf>
    <xf numFmtId="165" fontId="34" fillId="5" borderId="23" xfId="0" applyNumberFormat="1" applyFont="1" applyFill="1" applyBorder="1" applyProtection="1">
      <protection hidden="1"/>
    </xf>
    <xf numFmtId="165" fontId="29" fillId="5" borderId="20" xfId="0" applyNumberFormat="1" applyFont="1" applyFill="1" applyBorder="1" applyProtection="1">
      <protection hidden="1"/>
    </xf>
    <xf numFmtId="165" fontId="175" fillId="5" borderId="15" xfId="0" applyNumberFormat="1" applyFont="1" applyFill="1" applyBorder="1" applyProtection="1">
      <protection hidden="1"/>
    </xf>
    <xf numFmtId="0" fontId="177" fillId="22" borderId="0" xfId="0" applyFont="1" applyFill="1" applyAlignment="1" applyProtection="1">
      <alignment horizontal="right" vertical="center"/>
      <protection hidden="1"/>
    </xf>
    <xf numFmtId="0" fontId="178" fillId="22" borderId="0" xfId="0" applyFont="1" applyFill="1" applyAlignment="1" applyProtection="1">
      <alignment horizontal="right" vertical="center"/>
      <protection hidden="1"/>
    </xf>
    <xf numFmtId="165" fontId="171" fillId="11" borderId="1" xfId="0" applyNumberFormat="1" applyFont="1" applyFill="1" applyBorder="1" applyProtection="1">
      <protection hidden="1"/>
    </xf>
    <xf numFmtId="165" fontId="159" fillId="44" borderId="1" xfId="0" applyNumberFormat="1" applyFont="1" applyFill="1" applyBorder="1" applyProtection="1">
      <protection hidden="1"/>
    </xf>
    <xf numFmtId="0" fontId="16" fillId="22" borderId="0" xfId="0" applyFont="1" applyFill="1" applyAlignment="1" applyProtection="1">
      <alignment vertical="center"/>
      <protection hidden="1"/>
    </xf>
    <xf numFmtId="165" fontId="29" fillId="5" borderId="29" xfId="0" applyNumberFormat="1" applyFont="1" applyFill="1" applyBorder="1" applyProtection="1">
      <protection hidden="1"/>
    </xf>
    <xf numFmtId="165" fontId="24" fillId="17" borderId="16" xfId="0" applyNumberFormat="1" applyFont="1" applyFill="1" applyBorder="1" applyProtection="1">
      <protection hidden="1"/>
    </xf>
    <xf numFmtId="0" fontId="14" fillId="5" borderId="29" xfId="0" applyFont="1" applyFill="1" applyBorder="1" applyProtection="1">
      <protection hidden="1"/>
    </xf>
    <xf numFmtId="165" fontId="24" fillId="19" borderId="16" xfId="0" applyNumberFormat="1" applyFont="1" applyFill="1" applyBorder="1" applyProtection="1">
      <protection hidden="1"/>
    </xf>
    <xf numFmtId="165" fontId="28" fillId="17" borderId="1" xfId="0" applyNumberFormat="1" applyFont="1" applyFill="1" applyBorder="1" applyAlignment="1" applyProtection="1">
      <alignment vertical="center"/>
      <protection hidden="1"/>
    </xf>
    <xf numFmtId="165" fontId="24" fillId="19" borderId="1" xfId="0" applyNumberFormat="1" applyFont="1" applyFill="1" applyBorder="1" applyAlignment="1" applyProtection="1">
      <alignment vertical="center"/>
      <protection hidden="1"/>
    </xf>
    <xf numFmtId="165" fontId="29" fillId="5" borderId="23" xfId="0" applyNumberFormat="1" applyFont="1" applyFill="1" applyBorder="1" applyProtection="1">
      <protection hidden="1"/>
    </xf>
    <xf numFmtId="166" fontId="29" fillId="11" borderId="18" xfId="0" applyNumberFormat="1" applyFont="1" applyFill="1" applyBorder="1" applyProtection="1">
      <protection hidden="1"/>
    </xf>
    <xf numFmtId="166" fontId="31" fillId="11" borderId="1" xfId="0" applyNumberFormat="1" applyFont="1" applyFill="1" applyBorder="1" applyProtection="1">
      <protection hidden="1"/>
    </xf>
    <xf numFmtId="165" fontId="175" fillId="5" borderId="28" xfId="0" applyNumberFormat="1" applyFont="1" applyFill="1" applyBorder="1" applyProtection="1">
      <protection hidden="1"/>
    </xf>
    <xf numFmtId="166" fontId="168" fillId="21" borderId="16" xfId="0" applyNumberFormat="1" applyFont="1" applyFill="1" applyBorder="1" applyProtection="1">
      <protection hidden="1"/>
    </xf>
    <xf numFmtId="166" fontId="29" fillId="21" borderId="1" xfId="0" applyNumberFormat="1" applyFont="1" applyFill="1" applyBorder="1" applyProtection="1">
      <protection hidden="1"/>
    </xf>
    <xf numFmtId="9" fontId="181" fillId="12" borderId="22" xfId="0" applyNumberFormat="1" applyFont="1" applyFill="1" applyBorder="1" applyAlignment="1" applyProtection="1">
      <alignment horizontal="center" vertical="center"/>
      <protection hidden="1"/>
    </xf>
    <xf numFmtId="165" fontId="180" fillId="12" borderId="0" xfId="0" applyNumberFormat="1" applyFont="1" applyFill="1" applyAlignment="1" applyProtection="1">
      <alignment vertical="center"/>
      <protection hidden="1"/>
    </xf>
    <xf numFmtId="165" fontId="179" fillId="12" borderId="17" xfId="0" applyNumberFormat="1" applyFont="1" applyFill="1" applyBorder="1" applyAlignment="1" applyProtection="1">
      <alignment vertical="center"/>
      <protection hidden="1"/>
    </xf>
    <xf numFmtId="9" fontId="181" fillId="12" borderId="24" xfId="0" applyNumberFormat="1" applyFont="1" applyFill="1" applyBorder="1" applyAlignment="1" applyProtection="1">
      <alignment horizontal="center" vertical="center"/>
      <protection hidden="1"/>
    </xf>
    <xf numFmtId="9" fontId="181" fillId="12" borderId="18" xfId="0" applyNumberFormat="1" applyFont="1" applyFill="1" applyBorder="1" applyAlignment="1" applyProtection="1">
      <alignment horizontal="center" vertical="center"/>
      <protection hidden="1"/>
    </xf>
    <xf numFmtId="165" fontId="109" fillId="12" borderId="19" xfId="0" applyNumberFormat="1" applyFont="1" applyFill="1" applyBorder="1" applyAlignment="1" applyProtection="1">
      <alignment vertical="center"/>
      <protection hidden="1"/>
    </xf>
    <xf numFmtId="0" fontId="3" fillId="12" borderId="21" xfId="0" applyFont="1" applyFill="1" applyBorder="1" applyAlignment="1" applyProtection="1">
      <alignment vertical="center"/>
      <protection hidden="1"/>
    </xf>
    <xf numFmtId="0" fontId="3" fillId="12" borderId="23" xfId="0" applyFont="1" applyFill="1" applyBorder="1" applyAlignment="1" applyProtection="1">
      <alignment vertical="center"/>
      <protection hidden="1"/>
    </xf>
    <xf numFmtId="0" fontId="3" fillId="12" borderId="20" xfId="0" applyFont="1" applyFill="1" applyBorder="1" applyAlignment="1" applyProtection="1">
      <alignment vertical="center"/>
      <protection hidden="1"/>
    </xf>
    <xf numFmtId="0" fontId="182" fillId="14" borderId="0" xfId="0" applyFont="1" applyFill="1" applyAlignment="1" applyProtection="1">
      <alignment horizontal="right"/>
      <protection hidden="1"/>
    </xf>
    <xf numFmtId="9" fontId="155" fillId="17" borderId="23" xfId="0" applyNumberFormat="1" applyFont="1" applyFill="1" applyBorder="1" applyProtection="1">
      <protection hidden="1"/>
    </xf>
    <xf numFmtId="9" fontId="154" fillId="11" borderId="23" xfId="0" applyNumberFormat="1" applyFont="1" applyFill="1" applyBorder="1" applyProtection="1">
      <protection hidden="1"/>
    </xf>
    <xf numFmtId="9" fontId="3" fillId="11" borderId="0" xfId="0" applyNumberFormat="1" applyFont="1" applyFill="1" applyProtection="1">
      <protection hidden="1"/>
    </xf>
    <xf numFmtId="0" fontId="184" fillId="5" borderId="1" xfId="0" applyFont="1" applyFill="1" applyBorder="1" applyAlignment="1" applyProtection="1">
      <alignment horizontal="right" vertical="center"/>
      <protection hidden="1"/>
    </xf>
    <xf numFmtId="0" fontId="185" fillId="5" borderId="3" xfId="0" applyFont="1" applyFill="1" applyBorder="1" applyAlignment="1" applyProtection="1">
      <alignment horizontal="left" vertical="center"/>
      <protection hidden="1"/>
    </xf>
    <xf numFmtId="0" fontId="16" fillId="15" borderId="0" xfId="0" quotePrefix="1" applyFont="1" applyFill="1" applyAlignment="1" applyProtection="1">
      <alignment horizontal="center" vertical="center"/>
      <protection hidden="1"/>
    </xf>
    <xf numFmtId="0" fontId="1" fillId="5" borderId="15" xfId="0" applyFont="1" applyFill="1" applyBorder="1"/>
    <xf numFmtId="165" fontId="187" fillId="17" borderId="0" xfId="0" applyNumberFormat="1" applyFont="1" applyFill="1" applyProtection="1">
      <protection hidden="1"/>
    </xf>
    <xf numFmtId="0" fontId="118" fillId="14" borderId="0" xfId="0" applyFont="1" applyFill="1" applyAlignment="1" applyProtection="1">
      <alignment horizontal="center" vertical="center"/>
      <protection hidden="1"/>
    </xf>
    <xf numFmtId="0" fontId="7" fillId="5" borderId="0" xfId="1" applyFill="1" applyBorder="1" applyAlignment="1" applyProtection="1">
      <alignment horizontal="center"/>
      <protection locked="0" hidden="1"/>
    </xf>
    <xf numFmtId="0" fontId="65" fillId="14" borderId="0" xfId="0" applyFont="1" applyFill="1" applyAlignment="1" applyProtection="1">
      <alignment horizontal="center"/>
      <protection hidden="1"/>
    </xf>
    <xf numFmtId="0" fontId="16" fillId="14" borderId="0" xfId="0" applyFont="1" applyFill="1" applyAlignment="1" applyProtection="1">
      <alignment horizontal="center"/>
      <protection hidden="1"/>
    </xf>
    <xf numFmtId="0" fontId="66" fillId="5" borderId="10" xfId="0" applyFont="1" applyFill="1" applyBorder="1" applyAlignment="1" applyProtection="1">
      <alignment horizontal="center"/>
      <protection hidden="1"/>
    </xf>
    <xf numFmtId="0" fontId="66" fillId="5" borderId="0" xfId="0" applyFont="1" applyFill="1" applyAlignment="1" applyProtection="1">
      <alignment horizontal="center"/>
      <protection hidden="1"/>
    </xf>
    <xf numFmtId="0" fontId="66" fillId="5" borderId="11" xfId="0" applyFont="1" applyFill="1" applyBorder="1" applyAlignment="1" applyProtection="1">
      <alignment horizontal="center"/>
      <protection hidden="1"/>
    </xf>
    <xf numFmtId="0" fontId="7" fillId="5" borderId="0" xfId="1" applyFill="1" applyBorder="1" applyAlignment="1" applyProtection="1">
      <alignment horizontal="left"/>
      <protection locked="0" hidden="1"/>
    </xf>
    <xf numFmtId="0" fontId="41" fillId="19" borderId="0" xfId="1" applyFont="1" applyFill="1" applyAlignment="1" applyProtection="1">
      <alignment horizontal="center" vertical="center"/>
      <protection hidden="1"/>
    </xf>
    <xf numFmtId="0" fontId="16" fillId="33" borderId="0" xfId="0" applyFont="1" applyFill="1" applyAlignment="1" applyProtection="1">
      <alignment horizontal="center" vertical="center" wrapText="1"/>
      <protection locked="0" hidden="1"/>
    </xf>
    <xf numFmtId="0" fontId="16" fillId="36" borderId="0" xfId="1" applyFont="1" applyFill="1" applyBorder="1" applyAlignment="1" applyProtection="1">
      <alignment horizontal="center" vertical="center" wrapText="1"/>
      <protection locked="0" hidden="1"/>
    </xf>
    <xf numFmtId="0" fontId="41" fillId="25" borderId="0" xfId="1" applyFont="1" applyFill="1" applyAlignment="1" applyProtection="1">
      <alignment horizontal="center" vertical="center"/>
      <protection hidden="1"/>
    </xf>
    <xf numFmtId="0" fontId="103" fillId="22" borderId="0" xfId="0" applyFont="1" applyFill="1" applyAlignment="1" applyProtection="1">
      <alignment horizontal="right"/>
      <protection hidden="1"/>
    </xf>
    <xf numFmtId="0" fontId="103" fillId="22" borderId="24" xfId="0" applyFont="1" applyFill="1" applyBorder="1" applyAlignment="1" applyProtection="1">
      <alignment horizontal="right"/>
      <protection hidden="1"/>
    </xf>
    <xf numFmtId="0" fontId="103" fillId="17" borderId="23" xfId="0" applyFont="1" applyFill="1" applyBorder="1" applyAlignment="1">
      <alignment horizontal="left"/>
    </xf>
    <xf numFmtId="0" fontId="103" fillId="17" borderId="0" xfId="0" applyFont="1" applyFill="1" applyAlignment="1">
      <alignment horizontal="left"/>
    </xf>
    <xf numFmtId="0" fontId="103" fillId="17" borderId="24" xfId="0" applyFont="1" applyFill="1" applyBorder="1" applyAlignment="1">
      <alignment horizontal="left"/>
    </xf>
    <xf numFmtId="0" fontId="23" fillId="17" borderId="21" xfId="0" applyFont="1" applyFill="1" applyBorder="1" applyAlignment="1" applyProtection="1">
      <alignment horizontal="left"/>
      <protection hidden="1"/>
    </xf>
    <xf numFmtId="0" fontId="23" fillId="17" borderId="19" xfId="0" applyFont="1" applyFill="1" applyBorder="1" applyAlignment="1" applyProtection="1">
      <alignment horizontal="left"/>
      <protection hidden="1"/>
    </xf>
    <xf numFmtId="0" fontId="23" fillId="17" borderId="22" xfId="0" applyFont="1" applyFill="1" applyBorder="1" applyAlignment="1" applyProtection="1">
      <alignment horizontal="left"/>
      <protection hidden="1"/>
    </xf>
    <xf numFmtId="0" fontId="21" fillId="17" borderId="23" xfId="0" applyFont="1" applyFill="1" applyBorder="1" applyAlignment="1" applyProtection="1">
      <alignment horizontal="right"/>
      <protection hidden="1"/>
    </xf>
    <xf numFmtId="0" fontId="21" fillId="17" borderId="0" xfId="0" applyFont="1" applyFill="1" applyAlignment="1" applyProtection="1">
      <alignment horizontal="right"/>
      <protection hidden="1"/>
    </xf>
    <xf numFmtId="0" fontId="23" fillId="14" borderId="19" xfId="0" applyFont="1" applyFill="1" applyBorder="1" applyAlignment="1" applyProtection="1">
      <alignment horizontal="right"/>
      <protection hidden="1"/>
    </xf>
    <xf numFmtId="165" fontId="29" fillId="5" borderId="20" xfId="0" applyNumberFormat="1" applyFont="1" applyFill="1" applyBorder="1" applyAlignment="1" applyProtection="1">
      <alignment horizontal="right"/>
      <protection hidden="1"/>
    </xf>
    <xf numFmtId="0" fontId="29" fillId="5" borderId="17" xfId="0" applyFont="1" applyFill="1" applyBorder="1" applyAlignment="1" applyProtection="1">
      <alignment horizontal="right"/>
      <protection hidden="1"/>
    </xf>
    <xf numFmtId="0" fontId="103" fillId="14" borderId="0" xfId="0" applyFont="1" applyFill="1" applyAlignment="1" applyProtection="1">
      <alignment horizontal="right"/>
      <protection hidden="1"/>
    </xf>
    <xf numFmtId="165" fontId="187" fillId="17" borderId="1" xfId="0" applyNumberFormat="1" applyFont="1" applyFill="1" applyBorder="1" applyAlignment="1" applyProtection="1">
      <alignment horizontal="right"/>
      <protection hidden="1"/>
    </xf>
    <xf numFmtId="0" fontId="187" fillId="17" borderId="2" xfId="0" applyFont="1" applyFill="1" applyBorder="1" applyAlignment="1" applyProtection="1">
      <alignment horizontal="right"/>
      <protection hidden="1"/>
    </xf>
    <xf numFmtId="0" fontId="21" fillId="17" borderId="20" xfId="0" applyFont="1" applyFill="1" applyBorder="1" applyAlignment="1" applyProtection="1">
      <alignment horizontal="left"/>
      <protection hidden="1"/>
    </xf>
    <xf numFmtId="0" fontId="21" fillId="17" borderId="17" xfId="0" applyFont="1" applyFill="1" applyBorder="1" applyAlignment="1" applyProtection="1">
      <alignment horizontal="left"/>
      <protection hidden="1"/>
    </xf>
    <xf numFmtId="0" fontId="21" fillId="17" borderId="18" xfId="0" applyFont="1" applyFill="1" applyBorder="1" applyAlignment="1" applyProtection="1">
      <alignment horizontal="left"/>
      <protection hidden="1"/>
    </xf>
    <xf numFmtId="0" fontId="186" fillId="17" borderId="20" xfId="0" applyFont="1" applyFill="1" applyBorder="1" applyAlignment="1" applyProtection="1">
      <alignment horizontal="right"/>
      <protection locked="0"/>
    </xf>
    <xf numFmtId="0" fontId="186" fillId="17" borderId="17" xfId="0" applyFont="1" applyFill="1" applyBorder="1" applyAlignment="1" applyProtection="1">
      <alignment horizontal="right"/>
      <protection locked="0"/>
    </xf>
    <xf numFmtId="0" fontId="186" fillId="17" borderId="18" xfId="0" applyFont="1" applyFill="1" applyBorder="1" applyAlignment="1" applyProtection="1">
      <alignment horizontal="right"/>
      <protection locked="0"/>
    </xf>
    <xf numFmtId="0" fontId="21" fillId="15" borderId="0" xfId="0" applyFont="1" applyFill="1" applyAlignment="1" applyProtection="1">
      <alignment horizontal="center" vertical="center"/>
      <protection hidden="1"/>
    </xf>
    <xf numFmtId="0" fontId="5" fillId="11" borderId="23" xfId="0" applyFont="1" applyFill="1" applyBorder="1" applyAlignment="1" applyProtection="1">
      <alignment horizontal="left"/>
      <protection locked="0"/>
    </xf>
    <xf numFmtId="0" fontId="5" fillId="11" borderId="0" xfId="0" applyFont="1" applyFill="1" applyAlignment="1" applyProtection="1">
      <alignment horizontal="left"/>
      <protection locked="0"/>
    </xf>
    <xf numFmtId="0" fontId="5" fillId="11" borderId="21" xfId="0" applyFont="1" applyFill="1" applyBorder="1" applyAlignment="1" applyProtection="1">
      <alignment horizontal="left"/>
      <protection hidden="1"/>
    </xf>
    <xf numFmtId="0" fontId="5" fillId="11" borderId="19" xfId="0" applyFont="1" applyFill="1" applyBorder="1" applyAlignment="1" applyProtection="1">
      <alignment horizontal="left"/>
      <protection hidden="1"/>
    </xf>
    <xf numFmtId="0" fontId="5" fillId="11" borderId="22" xfId="0" applyFont="1" applyFill="1" applyBorder="1" applyAlignment="1" applyProtection="1">
      <alignment horizontal="left"/>
      <protection hidden="1"/>
    </xf>
    <xf numFmtId="0" fontId="27" fillId="11" borderId="23" xfId="0" quotePrefix="1" applyFont="1" applyFill="1" applyBorder="1" applyAlignment="1" applyProtection="1">
      <alignment horizontal="right"/>
      <protection hidden="1"/>
    </xf>
    <xf numFmtId="0" fontId="27" fillId="11" borderId="0" xfId="0" applyFont="1" applyFill="1" applyAlignment="1" applyProtection="1">
      <alignment horizontal="right"/>
      <protection hidden="1"/>
    </xf>
    <xf numFmtId="0" fontId="27" fillId="11" borderId="24" xfId="0" applyFont="1" applyFill="1" applyBorder="1" applyAlignment="1" applyProtection="1">
      <alignment horizontal="right"/>
      <protection hidden="1"/>
    </xf>
    <xf numFmtId="0" fontId="176" fillId="5" borderId="24" xfId="0" applyFont="1" applyFill="1" applyBorder="1" applyAlignment="1" applyProtection="1">
      <alignment horizontal="center" vertical="top" wrapText="1"/>
      <protection hidden="1"/>
    </xf>
    <xf numFmtId="0" fontId="18" fillId="11" borderId="20" xfId="0" applyFont="1" applyFill="1" applyBorder="1" applyAlignment="1" applyProtection="1">
      <alignment horizontal="right"/>
      <protection locked="0"/>
    </xf>
    <xf numFmtId="0" fontId="18" fillId="11" borderId="17" xfId="0" applyFont="1" applyFill="1" applyBorder="1" applyAlignment="1" applyProtection="1">
      <alignment horizontal="right"/>
      <protection locked="0"/>
    </xf>
    <xf numFmtId="0" fontId="18" fillId="11" borderId="18" xfId="0" applyFont="1" applyFill="1" applyBorder="1" applyAlignment="1" applyProtection="1">
      <alignment horizontal="right"/>
      <protection locked="0"/>
    </xf>
    <xf numFmtId="0" fontId="18" fillId="11" borderId="20" xfId="0" applyFont="1" applyFill="1" applyBorder="1" applyAlignment="1" applyProtection="1">
      <alignment horizontal="right"/>
      <protection hidden="1"/>
    </xf>
    <xf numFmtId="0" fontId="18" fillId="11" borderId="17" xfId="0" applyFont="1" applyFill="1" applyBorder="1" applyAlignment="1" applyProtection="1">
      <alignment horizontal="right"/>
      <protection hidden="1"/>
    </xf>
    <xf numFmtId="0" fontId="18" fillId="11" borderId="18" xfId="0" applyFont="1" applyFill="1" applyBorder="1" applyAlignment="1" applyProtection="1">
      <alignment horizontal="right"/>
      <protection hidden="1"/>
    </xf>
    <xf numFmtId="0" fontId="39" fillId="14" borderId="0" xfId="0" applyFont="1" applyFill="1" applyAlignment="1" applyProtection="1">
      <alignment horizontal="left"/>
      <protection hidden="1"/>
    </xf>
    <xf numFmtId="0" fontId="19" fillId="5" borderId="0" xfId="0" applyFont="1" applyFill="1" applyAlignment="1" applyProtection="1">
      <alignment horizontal="left" wrapText="1"/>
      <protection locked="0"/>
    </xf>
    <xf numFmtId="0" fontId="19" fillId="5" borderId="0" xfId="0" applyFont="1" applyFill="1" applyAlignment="1" applyProtection="1">
      <alignment horizontal="left"/>
      <protection locked="0"/>
    </xf>
    <xf numFmtId="0" fontId="3" fillId="11" borderId="2" xfId="0" applyFont="1" applyFill="1" applyBorder="1" applyAlignment="1" applyProtection="1">
      <alignment horizontal="center" vertical="center"/>
      <protection hidden="1"/>
    </xf>
    <xf numFmtId="0" fontId="3" fillId="11" borderId="3" xfId="0" applyFont="1" applyFill="1" applyBorder="1" applyAlignment="1" applyProtection="1">
      <alignment horizontal="center" vertical="center"/>
      <protection hidden="1"/>
    </xf>
    <xf numFmtId="0" fontId="3" fillId="21" borderId="2" xfId="0" applyFont="1" applyFill="1" applyBorder="1" applyAlignment="1" applyProtection="1">
      <alignment horizontal="center" vertical="center"/>
      <protection hidden="1"/>
    </xf>
    <xf numFmtId="0" fontId="3" fillId="21" borderId="3" xfId="0" applyFont="1" applyFill="1" applyBorder="1" applyAlignment="1" applyProtection="1">
      <alignment horizontal="center" vertical="center"/>
      <protection hidden="1"/>
    </xf>
    <xf numFmtId="0" fontId="21" fillId="17" borderId="20" xfId="0" applyFont="1" applyFill="1" applyBorder="1" applyAlignment="1" applyProtection="1">
      <alignment horizontal="right"/>
      <protection locked="0"/>
    </xf>
    <xf numFmtId="0" fontId="21" fillId="17" borderId="17" xfId="0" applyFont="1" applyFill="1" applyBorder="1" applyAlignment="1" applyProtection="1">
      <alignment horizontal="right"/>
      <protection locked="0"/>
    </xf>
    <xf numFmtId="0" fontId="21" fillId="17" borderId="18" xfId="0" applyFont="1" applyFill="1" applyBorder="1" applyAlignment="1" applyProtection="1">
      <alignment horizontal="right"/>
      <protection locked="0"/>
    </xf>
    <xf numFmtId="165" fontId="169" fillId="43" borderId="1" xfId="0" applyNumberFormat="1" applyFont="1" applyFill="1" applyBorder="1" applyAlignment="1" applyProtection="1">
      <alignment horizontal="center"/>
      <protection hidden="1"/>
    </xf>
    <xf numFmtId="165" fontId="169" fillId="43" borderId="2" xfId="0" applyNumberFormat="1" applyFont="1" applyFill="1" applyBorder="1" applyAlignment="1" applyProtection="1">
      <alignment horizontal="center"/>
      <protection hidden="1"/>
    </xf>
    <xf numFmtId="165" fontId="169" fillId="43" borderId="3" xfId="0" applyNumberFormat="1" applyFont="1" applyFill="1" applyBorder="1" applyAlignment="1" applyProtection="1">
      <alignment horizontal="center"/>
      <protection hidden="1"/>
    </xf>
    <xf numFmtId="0" fontId="23" fillId="17" borderId="23" xfId="0" applyFont="1" applyFill="1" applyBorder="1" applyAlignment="1" applyProtection="1">
      <alignment horizontal="left"/>
      <protection locked="0"/>
    </xf>
    <xf numFmtId="0" fontId="23" fillId="17" borderId="0" xfId="0" applyFont="1" applyFill="1" applyAlignment="1" applyProtection="1">
      <alignment horizontal="left"/>
      <protection locked="0"/>
    </xf>
    <xf numFmtId="0" fontId="23" fillId="17" borderId="24" xfId="0" applyFont="1" applyFill="1" applyBorder="1" applyAlignment="1" applyProtection="1">
      <alignment horizontal="left"/>
      <protection locked="0"/>
    </xf>
    <xf numFmtId="165" fontId="25" fillId="5" borderId="1" xfId="0" applyNumberFormat="1" applyFont="1" applyFill="1" applyBorder="1" applyAlignment="1" applyProtection="1">
      <alignment horizontal="center"/>
      <protection locked="0"/>
    </xf>
    <xf numFmtId="165" fontId="25" fillId="5" borderId="2" xfId="0" applyNumberFormat="1" applyFont="1" applyFill="1" applyBorder="1" applyAlignment="1" applyProtection="1">
      <alignment horizontal="center"/>
      <protection locked="0"/>
    </xf>
    <xf numFmtId="165" fontId="24" fillId="17" borderId="1" xfId="0" applyNumberFormat="1" applyFont="1" applyFill="1" applyBorder="1" applyAlignment="1" applyProtection="1">
      <alignment horizontal="right"/>
      <protection hidden="1"/>
    </xf>
    <xf numFmtId="0" fontId="24" fillId="17" borderId="2" xfId="0" applyFont="1" applyFill="1" applyBorder="1" applyAlignment="1" applyProtection="1">
      <alignment horizontal="right"/>
      <protection hidden="1"/>
    </xf>
    <xf numFmtId="165" fontId="28" fillId="17" borderId="1" xfId="0" applyNumberFormat="1" applyFont="1" applyFill="1" applyBorder="1" applyAlignment="1" applyProtection="1">
      <alignment horizontal="right"/>
      <protection hidden="1"/>
    </xf>
    <xf numFmtId="0" fontId="28" fillId="17" borderId="2" xfId="0" applyFont="1" applyFill="1" applyBorder="1" applyAlignment="1" applyProtection="1">
      <alignment horizontal="right"/>
      <protection hidden="1"/>
    </xf>
    <xf numFmtId="0" fontId="23" fillId="16" borderId="1" xfId="0" applyFont="1" applyFill="1" applyBorder="1" applyAlignment="1" applyProtection="1">
      <alignment horizontal="left"/>
      <protection hidden="1"/>
    </xf>
    <xf numFmtId="0" fontId="23" fillId="16" borderId="2" xfId="0" applyFont="1" applyFill="1" applyBorder="1" applyAlignment="1" applyProtection="1">
      <alignment horizontal="left"/>
      <protection hidden="1"/>
    </xf>
    <xf numFmtId="0" fontId="23" fillId="16" borderId="3" xfId="0" applyFont="1" applyFill="1" applyBorder="1" applyAlignment="1" applyProtection="1">
      <alignment horizontal="left"/>
      <protection hidden="1"/>
    </xf>
    <xf numFmtId="0" fontId="5" fillId="11" borderId="23" xfId="0" applyFont="1" applyFill="1" applyBorder="1" applyAlignment="1" applyProtection="1">
      <alignment horizontal="left"/>
      <protection hidden="1"/>
    </xf>
    <xf numFmtId="0" fontId="5" fillId="11" borderId="0" xfId="0" applyFont="1" applyFill="1" applyAlignment="1" applyProtection="1">
      <alignment horizontal="left"/>
      <protection hidden="1"/>
    </xf>
    <xf numFmtId="0" fontId="5" fillId="11" borderId="24" xfId="0" applyFont="1" applyFill="1" applyBorder="1" applyAlignment="1" applyProtection="1">
      <alignment horizontal="left"/>
      <protection hidden="1"/>
    </xf>
    <xf numFmtId="165" fontId="159" fillId="44" borderId="1" xfId="0" applyNumberFormat="1" applyFont="1" applyFill="1" applyBorder="1" applyAlignment="1" applyProtection="1">
      <alignment horizontal="center"/>
      <protection hidden="1"/>
    </xf>
    <xf numFmtId="165" fontId="159" fillId="44" borderId="2" xfId="0" applyNumberFormat="1" applyFont="1" applyFill="1" applyBorder="1" applyAlignment="1" applyProtection="1">
      <alignment horizontal="center"/>
      <protection hidden="1"/>
    </xf>
    <xf numFmtId="165" fontId="159" fillId="44" borderId="3" xfId="0" applyNumberFormat="1" applyFont="1" applyFill="1" applyBorder="1" applyAlignment="1" applyProtection="1">
      <alignment horizontal="center"/>
      <protection hidden="1"/>
    </xf>
    <xf numFmtId="165" fontId="166" fillId="12" borderId="1" xfId="0" applyNumberFormat="1" applyFont="1" applyFill="1" applyBorder="1" applyAlignment="1" applyProtection="1">
      <alignment horizontal="right"/>
      <protection hidden="1"/>
    </xf>
    <xf numFmtId="165" fontId="166" fillId="12" borderId="2" xfId="0" applyNumberFormat="1" applyFont="1" applyFill="1" applyBorder="1" applyAlignment="1" applyProtection="1">
      <alignment horizontal="right"/>
      <protection hidden="1"/>
    </xf>
    <xf numFmtId="0" fontId="15" fillId="15" borderId="82" xfId="0" applyFont="1" applyFill="1" applyBorder="1" applyAlignment="1" applyProtection="1">
      <alignment horizontal="center" vertical="center"/>
      <protection hidden="1"/>
    </xf>
    <xf numFmtId="0" fontId="15" fillId="15" borderId="13" xfId="0" applyFont="1" applyFill="1" applyBorder="1" applyAlignment="1" applyProtection="1">
      <alignment horizontal="center" vertical="center"/>
      <protection hidden="1"/>
    </xf>
    <xf numFmtId="0" fontId="15" fillId="15" borderId="83" xfId="0" applyFont="1" applyFill="1" applyBorder="1" applyAlignment="1" applyProtection="1">
      <alignment horizontal="center" vertical="center"/>
      <protection hidden="1"/>
    </xf>
    <xf numFmtId="166" fontId="41" fillId="15" borderId="25" xfId="1" applyNumberFormat="1" applyFont="1" applyFill="1" applyBorder="1" applyAlignment="1" applyProtection="1">
      <alignment horizontal="center"/>
      <protection hidden="1"/>
    </xf>
    <xf numFmtId="166" fontId="41" fillId="15" borderId="27" xfId="1" applyNumberFormat="1" applyFont="1" applyFill="1" applyBorder="1" applyAlignment="1" applyProtection="1">
      <alignment horizontal="center"/>
      <protection hidden="1"/>
    </xf>
    <xf numFmtId="165" fontId="171" fillId="11" borderId="1" xfId="0" applyNumberFormat="1" applyFont="1" applyFill="1" applyBorder="1" applyAlignment="1" applyProtection="1">
      <alignment horizontal="center"/>
      <protection locked="0"/>
    </xf>
    <xf numFmtId="165" fontId="171" fillId="11" borderId="2" xfId="0" applyNumberFormat="1" applyFont="1" applyFill="1" applyBorder="1" applyAlignment="1" applyProtection="1">
      <alignment horizontal="center"/>
      <protection locked="0"/>
    </xf>
    <xf numFmtId="165" fontId="171" fillId="11" borderId="3" xfId="0" applyNumberFormat="1" applyFont="1" applyFill="1" applyBorder="1" applyAlignment="1" applyProtection="1">
      <alignment horizontal="center"/>
      <protection locked="0"/>
    </xf>
    <xf numFmtId="0" fontId="23" fillId="17" borderId="0" xfId="0" applyFont="1" applyFill="1" applyAlignment="1" applyProtection="1">
      <alignment horizontal="center" vertical="center"/>
      <protection hidden="1"/>
    </xf>
    <xf numFmtId="166" fontId="15" fillId="15" borderId="7" xfId="0" applyNumberFormat="1" applyFont="1" applyFill="1" applyBorder="1" applyAlignment="1" applyProtection="1">
      <alignment horizontal="center"/>
      <protection hidden="1"/>
    </xf>
    <xf numFmtId="166" fontId="15" fillId="15" borderId="8" xfId="0" applyNumberFormat="1" applyFont="1" applyFill="1" applyBorder="1" applyAlignment="1" applyProtection="1">
      <alignment horizontal="center"/>
      <protection hidden="1"/>
    </xf>
    <xf numFmtId="166" fontId="30" fillId="15" borderId="10" xfId="0" applyNumberFormat="1" applyFont="1" applyFill="1" applyBorder="1" applyAlignment="1" applyProtection="1">
      <alignment horizontal="right"/>
      <protection hidden="1"/>
    </xf>
    <xf numFmtId="166" fontId="30" fillId="15" borderId="24" xfId="0" applyNumberFormat="1" applyFont="1" applyFill="1" applyBorder="1" applyAlignment="1" applyProtection="1">
      <alignment horizontal="right"/>
      <protection hidden="1"/>
    </xf>
    <xf numFmtId="0" fontId="23" fillId="19" borderId="0" xfId="1" applyFont="1" applyFill="1" applyBorder="1" applyAlignment="1" applyProtection="1">
      <alignment horizontal="center" vertical="center"/>
      <protection hidden="1"/>
    </xf>
    <xf numFmtId="0" fontId="46" fillId="5" borderId="20" xfId="0" applyFont="1" applyFill="1" applyBorder="1" applyAlignment="1" applyProtection="1">
      <alignment horizontal="right"/>
      <protection hidden="1"/>
    </xf>
    <xf numFmtId="0" fontId="46" fillId="5" borderId="17" xfId="0" applyFont="1" applyFill="1" applyBorder="1" applyAlignment="1" applyProtection="1">
      <alignment horizontal="right"/>
      <protection hidden="1"/>
    </xf>
    <xf numFmtId="0" fontId="46" fillId="5" borderId="18" xfId="0" applyFont="1" applyFill="1" applyBorder="1" applyAlignment="1" applyProtection="1">
      <alignment horizontal="right"/>
      <protection hidden="1"/>
    </xf>
    <xf numFmtId="166" fontId="19" fillId="5" borderId="1" xfId="0" applyNumberFormat="1" applyFont="1" applyFill="1" applyBorder="1" applyAlignment="1" applyProtection="1">
      <alignment horizontal="center"/>
      <protection hidden="1"/>
    </xf>
    <xf numFmtId="166" fontId="19" fillId="5" borderId="2" xfId="0" applyNumberFormat="1" applyFont="1" applyFill="1" applyBorder="1" applyAlignment="1" applyProtection="1">
      <alignment horizontal="center"/>
      <protection hidden="1"/>
    </xf>
    <xf numFmtId="166" fontId="19" fillId="5" borderId="3" xfId="0" applyNumberFormat="1" applyFont="1" applyFill="1" applyBorder="1" applyAlignment="1" applyProtection="1">
      <alignment horizontal="center"/>
      <protection hidden="1"/>
    </xf>
    <xf numFmtId="0" fontId="163" fillId="5" borderId="21" xfId="0" applyFont="1" applyFill="1" applyBorder="1" applyAlignment="1" applyProtection="1">
      <alignment horizontal="right" vertical="center"/>
      <protection locked="0"/>
    </xf>
    <xf numFmtId="0" fontId="163" fillId="5" borderId="19" xfId="0" applyFont="1" applyFill="1" applyBorder="1" applyAlignment="1" applyProtection="1">
      <alignment horizontal="right" vertical="center"/>
      <protection locked="0"/>
    </xf>
    <xf numFmtId="0" fontId="163" fillId="5" borderId="20" xfId="0" applyFont="1" applyFill="1" applyBorder="1" applyAlignment="1" applyProtection="1">
      <alignment horizontal="right" vertical="center"/>
      <protection locked="0"/>
    </xf>
    <xf numFmtId="0" fontId="163" fillId="5" borderId="17" xfId="0" applyFont="1" applyFill="1" applyBorder="1" applyAlignment="1" applyProtection="1">
      <alignment horizontal="right" vertical="center"/>
      <protection locked="0"/>
    </xf>
    <xf numFmtId="166" fontId="160" fillId="5" borderId="22" xfId="0" applyNumberFormat="1" applyFont="1" applyFill="1" applyBorder="1" applyAlignment="1" applyProtection="1">
      <alignment horizontal="left" vertical="center"/>
      <protection locked="0" hidden="1"/>
    </xf>
    <xf numFmtId="166" fontId="160" fillId="5" borderId="18" xfId="0" applyNumberFormat="1" applyFont="1" applyFill="1" applyBorder="1" applyAlignment="1" applyProtection="1">
      <alignment horizontal="left" vertical="center"/>
      <protection locked="0" hidden="1"/>
    </xf>
    <xf numFmtId="0" fontId="21" fillId="19" borderId="2" xfId="0" applyFont="1" applyFill="1" applyBorder="1" applyAlignment="1" applyProtection="1">
      <alignment horizontal="center"/>
      <protection hidden="1"/>
    </xf>
    <xf numFmtId="0" fontId="21" fillId="19" borderId="3" xfId="0" applyFont="1" applyFill="1" applyBorder="1" applyAlignment="1" applyProtection="1">
      <alignment horizontal="center"/>
      <protection hidden="1"/>
    </xf>
    <xf numFmtId="165" fontId="24" fillId="19" borderId="1" xfId="0" applyNumberFormat="1" applyFont="1" applyFill="1" applyBorder="1" applyAlignment="1" applyProtection="1">
      <alignment horizontal="right"/>
      <protection hidden="1"/>
    </xf>
    <xf numFmtId="0" fontId="24" fillId="19" borderId="2" xfId="0" applyFont="1" applyFill="1" applyBorder="1" applyAlignment="1" applyProtection="1">
      <alignment horizontal="right"/>
      <protection hidden="1"/>
    </xf>
    <xf numFmtId="166" fontId="36" fillId="5" borderId="21" xfId="0" applyNumberFormat="1" applyFont="1" applyFill="1" applyBorder="1" applyAlignment="1" applyProtection="1">
      <alignment horizontal="right"/>
      <protection hidden="1"/>
    </xf>
    <xf numFmtId="166" fontId="36" fillId="5" borderId="19" xfId="0" applyNumberFormat="1" applyFont="1" applyFill="1" applyBorder="1" applyAlignment="1" applyProtection="1">
      <alignment horizontal="right"/>
      <protection hidden="1"/>
    </xf>
    <xf numFmtId="165" fontId="29" fillId="11" borderId="1" xfId="0" applyNumberFormat="1" applyFont="1" applyFill="1" applyBorder="1" applyAlignment="1" applyProtection="1">
      <alignment horizontal="right"/>
      <protection hidden="1"/>
    </xf>
    <xf numFmtId="0" fontId="29" fillId="11" borderId="2" xfId="0" applyFont="1" applyFill="1" applyBorder="1" applyAlignment="1" applyProtection="1">
      <alignment horizontal="right"/>
      <protection hidden="1"/>
    </xf>
    <xf numFmtId="0" fontId="18" fillId="21" borderId="2" xfId="0" applyFont="1" applyFill="1" applyBorder="1" applyAlignment="1" applyProtection="1">
      <alignment horizontal="center"/>
      <protection hidden="1"/>
    </xf>
    <xf numFmtId="0" fontId="18" fillId="21" borderId="3" xfId="0" applyFont="1" applyFill="1" applyBorder="1" applyAlignment="1" applyProtection="1">
      <alignment horizontal="center"/>
      <protection hidden="1"/>
    </xf>
    <xf numFmtId="165" fontId="31" fillId="11" borderId="1" xfId="0" applyNumberFormat="1" applyFont="1" applyFill="1" applyBorder="1" applyAlignment="1" applyProtection="1">
      <alignment horizontal="right"/>
      <protection hidden="1"/>
    </xf>
    <xf numFmtId="0" fontId="31" fillId="11" borderId="2" xfId="0" applyFont="1" applyFill="1" applyBorder="1" applyAlignment="1" applyProtection="1">
      <alignment horizontal="right"/>
      <protection hidden="1"/>
    </xf>
    <xf numFmtId="166" fontId="36" fillId="5" borderId="1" xfId="0" applyNumberFormat="1" applyFont="1" applyFill="1" applyBorder="1" applyAlignment="1" applyProtection="1">
      <alignment horizontal="right"/>
      <protection hidden="1"/>
    </xf>
    <xf numFmtId="166" fontId="36" fillId="5" borderId="2" xfId="0" applyNumberFormat="1" applyFont="1" applyFill="1" applyBorder="1" applyAlignment="1" applyProtection="1">
      <alignment horizontal="right"/>
      <protection hidden="1"/>
    </xf>
    <xf numFmtId="17" fontId="23" fillId="19" borderId="0" xfId="0" applyNumberFormat="1" applyFont="1" applyFill="1" applyAlignment="1" applyProtection="1">
      <alignment horizontal="center"/>
      <protection hidden="1"/>
    </xf>
    <xf numFmtId="0" fontId="1" fillId="11" borderId="0" xfId="1" applyFont="1" applyFill="1" applyBorder="1" applyAlignment="1" applyProtection="1">
      <alignment horizontal="center" vertical="center"/>
      <protection hidden="1"/>
    </xf>
    <xf numFmtId="0" fontId="1" fillId="42" borderId="0" xfId="1" applyFont="1" applyFill="1" applyBorder="1" applyAlignment="1" applyProtection="1">
      <alignment horizontal="center" vertical="center"/>
      <protection hidden="1"/>
    </xf>
    <xf numFmtId="0" fontId="23" fillId="16" borderId="0" xfId="0" applyFont="1" applyFill="1" applyAlignment="1" applyProtection="1">
      <alignment horizontal="center" vertical="center" wrapText="1"/>
      <protection hidden="1"/>
    </xf>
    <xf numFmtId="165" fontId="29" fillId="5" borderId="1" xfId="0" applyNumberFormat="1" applyFont="1" applyFill="1" applyBorder="1" applyAlignment="1" applyProtection="1">
      <alignment horizontal="center"/>
      <protection hidden="1"/>
    </xf>
    <xf numFmtId="165" fontId="29" fillId="5" borderId="2" xfId="0" applyNumberFormat="1" applyFont="1" applyFill="1" applyBorder="1" applyAlignment="1" applyProtection="1">
      <alignment horizontal="center"/>
      <protection hidden="1"/>
    </xf>
    <xf numFmtId="165" fontId="29" fillId="5" borderId="30" xfId="0" applyNumberFormat="1" applyFont="1" applyFill="1" applyBorder="1" applyAlignment="1" applyProtection="1">
      <alignment horizontal="center"/>
      <protection hidden="1"/>
    </xf>
    <xf numFmtId="0" fontId="41" fillId="15" borderId="0" xfId="1" applyFont="1" applyFill="1" applyAlignment="1" applyProtection="1">
      <alignment horizontal="center" vertical="center"/>
      <protection hidden="1"/>
    </xf>
    <xf numFmtId="0" fontId="15" fillId="14" borderId="0" xfId="0" applyFont="1" applyFill="1" applyAlignment="1" applyProtection="1">
      <alignment horizontal="center"/>
      <protection hidden="1"/>
    </xf>
    <xf numFmtId="17" fontId="23" fillId="14" borderId="0" xfId="0" applyNumberFormat="1" applyFont="1" applyFill="1" applyAlignment="1" applyProtection="1">
      <alignment horizontal="center"/>
      <protection hidden="1"/>
    </xf>
    <xf numFmtId="17" fontId="110" fillId="14" borderId="17" xfId="0" applyNumberFormat="1" applyFont="1" applyFill="1" applyBorder="1" applyAlignment="1" applyProtection="1">
      <alignment horizontal="center"/>
      <protection hidden="1"/>
    </xf>
    <xf numFmtId="17" fontId="23" fillId="14" borderId="17" xfId="0" applyNumberFormat="1" applyFont="1" applyFill="1" applyBorder="1" applyAlignment="1" applyProtection="1">
      <alignment horizontal="center"/>
      <protection hidden="1"/>
    </xf>
    <xf numFmtId="0" fontId="22" fillId="22" borderId="24" xfId="0" applyFont="1" applyFill="1" applyBorder="1" applyAlignment="1" applyProtection="1">
      <alignment horizontal="center" vertical="center" wrapText="1"/>
      <protection locked="0" hidden="1"/>
    </xf>
    <xf numFmtId="165" fontId="61" fillId="24" borderId="32" xfId="1" applyNumberFormat="1" applyFont="1" applyFill="1" applyBorder="1" applyAlignment="1" applyProtection="1">
      <alignment horizontal="center" vertical="center" wrapText="1"/>
      <protection hidden="1"/>
    </xf>
    <xf numFmtId="165" fontId="61" fillId="24" borderId="33" xfId="1" applyNumberFormat="1" applyFont="1" applyFill="1" applyBorder="1" applyAlignment="1" applyProtection="1">
      <alignment horizontal="center" vertical="center" wrapText="1"/>
      <protection hidden="1"/>
    </xf>
    <xf numFmtId="165" fontId="61" fillId="24" borderId="34" xfId="1" applyNumberFormat="1" applyFont="1" applyFill="1" applyBorder="1" applyAlignment="1" applyProtection="1">
      <alignment horizontal="center" vertical="center" wrapText="1"/>
      <protection hidden="1"/>
    </xf>
    <xf numFmtId="165" fontId="61" fillId="24" borderId="35" xfId="1" applyNumberFormat="1" applyFont="1" applyFill="1" applyBorder="1" applyAlignment="1" applyProtection="1">
      <alignment horizontal="center" vertical="center" wrapText="1"/>
      <protection hidden="1"/>
    </xf>
    <xf numFmtId="165" fontId="61" fillId="24" borderId="36" xfId="1" applyNumberFormat="1" applyFont="1" applyFill="1" applyBorder="1" applyAlignment="1" applyProtection="1">
      <alignment horizontal="center" vertical="center" wrapText="1"/>
      <protection hidden="1"/>
    </xf>
    <xf numFmtId="165" fontId="61" fillId="24" borderId="37" xfId="1" applyNumberFormat="1" applyFont="1" applyFill="1" applyBorder="1" applyAlignment="1" applyProtection="1">
      <alignment horizontal="center" vertical="center" wrapText="1"/>
      <protection hidden="1"/>
    </xf>
    <xf numFmtId="166" fontId="29" fillId="21" borderId="1" xfId="0" applyNumberFormat="1" applyFont="1" applyFill="1" applyBorder="1" applyAlignment="1" applyProtection="1">
      <alignment horizontal="right"/>
      <protection hidden="1"/>
    </xf>
    <xf numFmtId="166" fontId="29" fillId="21" borderId="2" xfId="0" applyNumberFormat="1" applyFont="1" applyFill="1" applyBorder="1" applyAlignment="1" applyProtection="1">
      <alignment horizontal="right"/>
      <protection hidden="1"/>
    </xf>
    <xf numFmtId="0" fontId="23" fillId="14" borderId="0" xfId="0" applyFont="1" applyFill="1" applyAlignment="1" applyProtection="1">
      <alignment horizontal="right"/>
      <protection hidden="1"/>
    </xf>
    <xf numFmtId="166" fontId="38" fillId="5" borderId="1" xfId="0" applyNumberFormat="1" applyFont="1" applyFill="1" applyBorder="1" applyAlignment="1" applyProtection="1">
      <alignment horizontal="right"/>
      <protection hidden="1"/>
    </xf>
    <xf numFmtId="166" fontId="38" fillId="5" borderId="2" xfId="0" applyNumberFormat="1" applyFont="1" applyFill="1" applyBorder="1" applyAlignment="1" applyProtection="1">
      <alignment horizontal="right"/>
      <protection hidden="1"/>
    </xf>
    <xf numFmtId="0" fontId="5" fillId="42" borderId="0" xfId="0" applyFont="1" applyFill="1" applyAlignment="1" applyProtection="1">
      <alignment horizontal="center" vertical="center"/>
      <protection hidden="1"/>
    </xf>
    <xf numFmtId="0" fontId="5" fillId="21" borderId="25" xfId="0" applyFont="1" applyFill="1" applyBorder="1" applyAlignment="1" applyProtection="1">
      <alignment horizontal="left"/>
      <protection hidden="1"/>
    </xf>
    <xf numFmtId="0" fontId="5" fillId="21" borderId="26" xfId="0" applyFont="1" applyFill="1" applyBorder="1" applyAlignment="1" applyProtection="1">
      <alignment horizontal="left"/>
      <protection hidden="1"/>
    </xf>
    <xf numFmtId="0" fontId="5" fillId="21" borderId="27" xfId="0" applyFont="1" applyFill="1" applyBorder="1" applyAlignment="1" applyProtection="1">
      <alignment horizontal="left"/>
      <protection hidden="1"/>
    </xf>
    <xf numFmtId="0" fontId="5" fillId="21" borderId="1" xfId="0" applyFont="1" applyFill="1" applyBorder="1" applyAlignment="1" applyProtection="1">
      <alignment horizontal="left"/>
      <protection locked="0"/>
    </xf>
    <xf numFmtId="0" fontId="5" fillId="21" borderId="2" xfId="0" applyFont="1" applyFill="1" applyBorder="1" applyAlignment="1" applyProtection="1">
      <alignment horizontal="left"/>
      <protection locked="0"/>
    </xf>
    <xf numFmtId="0" fontId="5" fillId="21" borderId="3" xfId="0" applyFont="1" applyFill="1" applyBorder="1" applyAlignment="1" applyProtection="1">
      <alignment horizontal="left"/>
      <protection locked="0"/>
    </xf>
    <xf numFmtId="0" fontId="35" fillId="21" borderId="1" xfId="0" applyFont="1" applyFill="1" applyBorder="1" applyAlignment="1" applyProtection="1">
      <alignment horizontal="right"/>
      <protection hidden="1"/>
    </xf>
    <xf numFmtId="0" fontId="35" fillId="21" borderId="2" xfId="0" applyFont="1" applyFill="1" applyBorder="1" applyAlignment="1" applyProtection="1">
      <alignment horizontal="right"/>
      <protection hidden="1"/>
    </xf>
    <xf numFmtId="0" fontId="35" fillId="21" borderId="3" xfId="0" applyFont="1" applyFill="1" applyBorder="1" applyAlignment="1" applyProtection="1">
      <alignment horizontal="right"/>
      <protection hidden="1"/>
    </xf>
    <xf numFmtId="0" fontId="188" fillId="21" borderId="1" xfId="0" applyFont="1" applyFill="1" applyBorder="1" applyAlignment="1">
      <alignment horizontal="left"/>
    </xf>
    <xf numFmtId="0" fontId="188" fillId="21" borderId="2" xfId="0" applyFont="1" applyFill="1" applyBorder="1" applyAlignment="1">
      <alignment horizontal="left"/>
    </xf>
    <xf numFmtId="0" fontId="188" fillId="21" borderId="3" xfId="0" applyFont="1" applyFill="1" applyBorder="1" applyAlignment="1">
      <alignment horizontal="left"/>
    </xf>
    <xf numFmtId="9" fontId="37" fillId="5" borderId="1" xfId="0" applyNumberFormat="1" applyFont="1" applyFill="1" applyBorder="1" applyAlignment="1" applyProtection="1">
      <alignment horizontal="right"/>
      <protection hidden="1"/>
    </xf>
    <xf numFmtId="9" fontId="37" fillId="5" borderId="2" xfId="0" applyNumberFormat="1" applyFont="1" applyFill="1" applyBorder="1" applyAlignment="1" applyProtection="1">
      <alignment horizontal="right"/>
      <protection hidden="1"/>
    </xf>
    <xf numFmtId="9" fontId="40" fillId="5" borderId="1" xfId="0" applyNumberFormat="1" applyFont="1" applyFill="1" applyBorder="1" applyAlignment="1" applyProtection="1">
      <alignment horizontal="right"/>
      <protection hidden="1"/>
    </xf>
    <xf numFmtId="0" fontId="40" fillId="5" borderId="2" xfId="0" applyFont="1" applyFill="1" applyBorder="1" applyAlignment="1" applyProtection="1">
      <alignment horizontal="right"/>
      <protection hidden="1"/>
    </xf>
    <xf numFmtId="9" fontId="37" fillId="5" borderId="25" xfId="0" applyNumberFormat="1" applyFont="1" applyFill="1" applyBorder="1" applyAlignment="1" applyProtection="1">
      <alignment horizontal="right"/>
      <protection hidden="1"/>
    </xf>
    <xf numFmtId="9" fontId="37" fillId="5" borderId="26" xfId="0" applyNumberFormat="1" applyFont="1" applyFill="1" applyBorder="1" applyAlignment="1" applyProtection="1">
      <alignment horizontal="right"/>
      <protection hidden="1"/>
    </xf>
    <xf numFmtId="0" fontId="39" fillId="14" borderId="0" xfId="0" applyFont="1" applyFill="1" applyAlignment="1" applyProtection="1">
      <alignment horizontal="right"/>
      <protection hidden="1"/>
    </xf>
    <xf numFmtId="0" fontId="16" fillId="14" borderId="0" xfId="0" applyFont="1" applyFill="1" applyAlignment="1" applyProtection="1">
      <alignment horizontal="right"/>
      <protection hidden="1"/>
    </xf>
    <xf numFmtId="166" fontId="37" fillId="5" borderId="1" xfId="0" applyNumberFormat="1" applyFont="1" applyFill="1" applyBorder="1" applyAlignment="1" applyProtection="1">
      <alignment horizontal="right"/>
      <protection hidden="1"/>
    </xf>
    <xf numFmtId="166" fontId="37" fillId="5" borderId="2" xfId="0" applyNumberFormat="1" applyFont="1" applyFill="1" applyBorder="1" applyAlignment="1" applyProtection="1">
      <alignment horizontal="right"/>
      <protection hidden="1"/>
    </xf>
    <xf numFmtId="165" fontId="29" fillId="5" borderId="4" xfId="0" applyNumberFormat="1" applyFont="1" applyFill="1" applyBorder="1" applyAlignment="1" applyProtection="1">
      <alignment horizontal="right"/>
      <protection hidden="1"/>
    </xf>
    <xf numFmtId="165" fontId="29" fillId="5" borderId="5" xfId="0" applyNumberFormat="1" applyFont="1" applyFill="1" applyBorder="1" applyAlignment="1" applyProtection="1">
      <alignment horizontal="right"/>
      <protection hidden="1"/>
    </xf>
    <xf numFmtId="0" fontId="3" fillId="7" borderId="25" xfId="0" applyFont="1" applyFill="1" applyBorder="1" applyAlignment="1" applyProtection="1">
      <alignment horizontal="left" wrapText="1"/>
      <protection locked="0"/>
    </xf>
    <xf numFmtId="0" fontId="18" fillId="7" borderId="26" xfId="0" applyFont="1" applyFill="1" applyBorder="1" applyAlignment="1" applyProtection="1">
      <alignment horizontal="left" wrapText="1"/>
      <protection locked="0"/>
    </xf>
    <xf numFmtId="0" fontId="18" fillId="7" borderId="27" xfId="0" applyFont="1" applyFill="1" applyBorder="1" applyAlignment="1" applyProtection="1">
      <alignment horizontal="left" wrapText="1"/>
      <protection locked="0"/>
    </xf>
    <xf numFmtId="0" fontId="18" fillId="7" borderId="25" xfId="0" applyFont="1" applyFill="1" applyBorder="1" applyAlignment="1" applyProtection="1">
      <alignment horizontal="left" wrapText="1"/>
      <protection locked="0"/>
    </xf>
    <xf numFmtId="166" fontId="15" fillId="15" borderId="7" xfId="0" applyNumberFormat="1" applyFont="1" applyFill="1" applyBorder="1" applyAlignment="1" applyProtection="1">
      <alignment horizontal="center" vertical="center"/>
      <protection hidden="1"/>
    </xf>
    <xf numFmtId="166" fontId="15" fillId="15" borderId="9" xfId="0" applyNumberFormat="1" applyFont="1" applyFill="1" applyBorder="1" applyAlignment="1" applyProtection="1">
      <alignment horizontal="center" vertical="center"/>
      <protection hidden="1"/>
    </xf>
    <xf numFmtId="166" fontId="47" fillId="15" borderId="10" xfId="0" applyNumberFormat="1" applyFont="1" applyFill="1" applyBorder="1" applyAlignment="1" applyProtection="1">
      <alignment horizontal="right"/>
      <protection hidden="1"/>
    </xf>
    <xf numFmtId="166" fontId="47" fillId="15" borderId="11" xfId="0" applyNumberFormat="1" applyFont="1" applyFill="1" applyBorder="1" applyAlignment="1" applyProtection="1">
      <alignment horizontal="right"/>
      <protection hidden="1"/>
    </xf>
    <xf numFmtId="0" fontId="18" fillId="11" borderId="2" xfId="0" applyFont="1" applyFill="1" applyBorder="1" applyAlignment="1" applyProtection="1">
      <alignment horizontal="center"/>
      <protection hidden="1"/>
    </xf>
    <xf numFmtId="0" fontId="18" fillId="11" borderId="3" xfId="0" applyFont="1" applyFill="1" applyBorder="1" applyAlignment="1" applyProtection="1">
      <alignment horizontal="center"/>
      <protection hidden="1"/>
    </xf>
    <xf numFmtId="0" fontId="23" fillId="19" borderId="23" xfId="0" applyFont="1" applyFill="1" applyBorder="1" applyAlignment="1" applyProtection="1">
      <alignment horizontal="left"/>
      <protection locked="0"/>
    </xf>
    <xf numFmtId="0" fontId="23" fillId="19" borderId="0" xfId="0" applyFont="1" applyFill="1" applyAlignment="1" applyProtection="1">
      <alignment horizontal="left"/>
      <protection locked="0"/>
    </xf>
    <xf numFmtId="0" fontId="23" fillId="19" borderId="24" xfId="0" applyFont="1" applyFill="1" applyBorder="1" applyAlignment="1" applyProtection="1">
      <alignment horizontal="left"/>
      <protection locked="0"/>
    </xf>
    <xf numFmtId="0" fontId="49" fillId="19" borderId="20" xfId="0" applyFont="1" applyFill="1" applyBorder="1" applyAlignment="1" applyProtection="1">
      <alignment horizontal="right"/>
      <protection locked="0" hidden="1"/>
    </xf>
    <xf numFmtId="0" fontId="49" fillId="19" borderId="17" xfId="0" applyFont="1" applyFill="1" applyBorder="1" applyAlignment="1" applyProtection="1">
      <alignment horizontal="right"/>
      <protection locked="0" hidden="1"/>
    </xf>
    <xf numFmtId="0" fontId="21" fillId="17" borderId="17" xfId="0" applyFont="1" applyFill="1" applyBorder="1" applyAlignment="1" applyProtection="1">
      <alignment horizontal="center"/>
      <protection hidden="1"/>
    </xf>
    <xf numFmtId="0" fontId="21" fillId="17" borderId="18" xfId="0" applyFont="1" applyFill="1" applyBorder="1" applyAlignment="1" applyProtection="1">
      <alignment horizontal="center"/>
      <protection hidden="1"/>
    </xf>
    <xf numFmtId="0" fontId="0" fillId="15" borderId="12" xfId="0" applyFill="1" applyBorder="1" applyAlignment="1" applyProtection="1">
      <alignment horizontal="center"/>
      <protection hidden="1"/>
    </xf>
    <xf numFmtId="0" fontId="0" fillId="15" borderId="13" xfId="0" applyFill="1" applyBorder="1" applyAlignment="1" applyProtection="1">
      <alignment horizontal="center"/>
      <protection hidden="1"/>
    </xf>
    <xf numFmtId="166" fontId="15" fillId="15" borderId="21" xfId="0" applyNumberFormat="1" applyFont="1" applyFill="1" applyBorder="1" applyAlignment="1" applyProtection="1">
      <alignment horizontal="center" vertical="center"/>
      <protection hidden="1"/>
    </xf>
    <xf numFmtId="166" fontId="15" fillId="15" borderId="19" xfId="0" applyNumberFormat="1" applyFont="1" applyFill="1" applyBorder="1" applyAlignment="1" applyProtection="1">
      <alignment horizontal="center" vertical="center"/>
      <protection hidden="1"/>
    </xf>
    <xf numFmtId="0" fontId="16" fillId="22" borderId="0" xfId="0" applyFont="1" applyFill="1" applyAlignment="1" applyProtection="1">
      <alignment horizontal="left" vertical="center"/>
      <protection hidden="1"/>
    </xf>
    <xf numFmtId="0" fontId="16" fillId="22" borderId="24" xfId="0" applyFont="1" applyFill="1" applyBorder="1" applyAlignment="1" applyProtection="1">
      <alignment horizontal="left" vertical="center"/>
      <protection hidden="1"/>
    </xf>
    <xf numFmtId="0" fontId="16" fillId="22" borderId="17" xfId="0" applyFont="1" applyFill="1" applyBorder="1" applyAlignment="1" applyProtection="1">
      <alignment horizontal="left" vertical="center"/>
      <protection hidden="1"/>
    </xf>
    <xf numFmtId="0" fontId="16" fillId="22" borderId="18" xfId="0" applyFont="1" applyFill="1" applyBorder="1" applyAlignment="1" applyProtection="1">
      <alignment horizontal="left" vertical="center"/>
      <protection hidden="1"/>
    </xf>
    <xf numFmtId="0" fontId="16" fillId="22" borderId="19" xfId="0" applyFont="1" applyFill="1" applyBorder="1" applyAlignment="1" applyProtection="1">
      <alignment horizontal="left" vertical="center"/>
      <protection hidden="1"/>
    </xf>
    <xf numFmtId="0" fontId="16" fillId="22" borderId="22" xfId="0" applyFont="1" applyFill="1" applyBorder="1" applyAlignment="1" applyProtection="1">
      <alignment horizontal="left" vertical="center"/>
      <protection hidden="1"/>
    </xf>
    <xf numFmtId="0" fontId="16" fillId="17" borderId="0" xfId="1" applyFont="1" applyFill="1" applyBorder="1" applyAlignment="1" applyProtection="1">
      <alignment horizontal="center" vertical="center"/>
      <protection hidden="1"/>
    </xf>
    <xf numFmtId="0" fontId="16" fillId="19" borderId="0" xfId="1" applyFont="1" applyFill="1" applyBorder="1" applyAlignment="1" applyProtection="1">
      <alignment horizontal="center" vertical="center"/>
      <protection hidden="1"/>
    </xf>
    <xf numFmtId="165" fontId="24" fillId="16" borderId="1" xfId="0" applyNumberFormat="1" applyFont="1" applyFill="1" applyBorder="1" applyAlignment="1" applyProtection="1">
      <alignment horizontal="center"/>
      <protection hidden="1"/>
    </xf>
    <xf numFmtId="165" fontId="24" fillId="16" borderId="2" xfId="0" applyNumberFormat="1" applyFont="1" applyFill="1" applyBorder="1" applyAlignment="1" applyProtection="1">
      <alignment horizontal="center"/>
      <protection hidden="1"/>
    </xf>
    <xf numFmtId="165" fontId="24" fillId="16" borderId="3" xfId="0" applyNumberFormat="1" applyFont="1" applyFill="1" applyBorder="1" applyAlignment="1" applyProtection="1">
      <alignment horizontal="center"/>
      <protection hidden="1"/>
    </xf>
    <xf numFmtId="165" fontId="170" fillId="42" borderId="1" xfId="0" applyNumberFormat="1" applyFont="1" applyFill="1" applyBorder="1" applyAlignment="1" applyProtection="1">
      <alignment horizontal="center"/>
      <protection hidden="1"/>
    </xf>
    <xf numFmtId="165" fontId="170" fillId="42" borderId="2" xfId="0" applyNumberFormat="1" applyFont="1" applyFill="1" applyBorder="1" applyAlignment="1" applyProtection="1">
      <alignment horizontal="center"/>
      <protection hidden="1"/>
    </xf>
    <xf numFmtId="165" fontId="170" fillId="42" borderId="3" xfId="0" applyNumberFormat="1" applyFont="1" applyFill="1" applyBorder="1" applyAlignment="1" applyProtection="1">
      <alignment horizontal="center"/>
      <protection hidden="1"/>
    </xf>
    <xf numFmtId="166" fontId="41" fillId="15" borderId="20" xfId="1" applyNumberFormat="1" applyFont="1" applyFill="1" applyBorder="1" applyAlignment="1" applyProtection="1">
      <alignment horizontal="center"/>
      <protection hidden="1"/>
    </xf>
    <xf numFmtId="166" fontId="41" fillId="15" borderId="17" xfId="1" applyNumberFormat="1" applyFont="1" applyFill="1" applyBorder="1" applyAlignment="1" applyProtection="1">
      <alignment horizontal="center"/>
      <protection hidden="1"/>
    </xf>
    <xf numFmtId="166" fontId="41" fillId="15" borderId="18" xfId="1" applyNumberFormat="1" applyFont="1" applyFill="1" applyBorder="1" applyAlignment="1" applyProtection="1">
      <alignment horizontal="center"/>
      <protection hidden="1"/>
    </xf>
    <xf numFmtId="166" fontId="30" fillId="15" borderId="23" xfId="0" applyNumberFormat="1" applyFont="1" applyFill="1" applyBorder="1" applyAlignment="1" applyProtection="1">
      <alignment horizontal="center"/>
      <protection hidden="1"/>
    </xf>
    <xf numFmtId="166" fontId="30" fillId="15" borderId="24" xfId="0" applyNumberFormat="1" applyFont="1" applyFill="1" applyBorder="1" applyAlignment="1" applyProtection="1">
      <alignment horizontal="center"/>
      <protection hidden="1"/>
    </xf>
    <xf numFmtId="166" fontId="15" fillId="26" borderId="21" xfId="0" applyNumberFormat="1" applyFont="1" applyFill="1" applyBorder="1" applyAlignment="1" applyProtection="1">
      <alignment horizontal="center"/>
      <protection hidden="1"/>
    </xf>
    <xf numFmtId="166" fontId="15" fillId="26" borderId="19" xfId="0" applyNumberFormat="1" applyFont="1" applyFill="1" applyBorder="1" applyAlignment="1" applyProtection="1">
      <alignment horizontal="center"/>
      <protection hidden="1"/>
    </xf>
    <xf numFmtId="166" fontId="15" fillId="26" borderId="22" xfId="0" applyNumberFormat="1" applyFont="1" applyFill="1" applyBorder="1" applyAlignment="1" applyProtection="1">
      <alignment horizontal="center"/>
      <protection hidden="1"/>
    </xf>
    <xf numFmtId="166" fontId="16" fillId="26" borderId="20" xfId="0" applyNumberFormat="1" applyFont="1" applyFill="1" applyBorder="1" applyAlignment="1" applyProtection="1">
      <alignment horizontal="right"/>
      <protection hidden="1"/>
    </xf>
    <xf numFmtId="166" fontId="16" fillId="26" borderId="17" xfId="0" applyNumberFormat="1" applyFont="1" applyFill="1" applyBorder="1" applyAlignment="1" applyProtection="1">
      <alignment horizontal="right"/>
      <protection hidden="1"/>
    </xf>
    <xf numFmtId="166" fontId="16" fillId="26" borderId="18" xfId="0" applyNumberFormat="1" applyFont="1" applyFill="1" applyBorder="1" applyAlignment="1" applyProtection="1">
      <alignment horizontal="right"/>
      <protection hidden="1"/>
    </xf>
    <xf numFmtId="0" fontId="23" fillId="15" borderId="4" xfId="0" applyFont="1" applyFill="1" applyBorder="1" applyAlignment="1" applyProtection="1">
      <alignment horizontal="center"/>
      <protection hidden="1"/>
    </xf>
    <xf numFmtId="0" fontId="23" fillId="15" borderId="5" xfId="0" applyFont="1" applyFill="1" applyBorder="1" applyAlignment="1" applyProtection="1">
      <alignment horizontal="center"/>
      <protection hidden="1"/>
    </xf>
    <xf numFmtId="0" fontId="23" fillId="15" borderId="6" xfId="0" applyFont="1" applyFill="1" applyBorder="1" applyAlignment="1" applyProtection="1">
      <alignment horizontal="center"/>
      <protection hidden="1"/>
    </xf>
    <xf numFmtId="166" fontId="15" fillId="15" borderId="10" xfId="0" applyNumberFormat="1" applyFont="1" applyFill="1" applyBorder="1" applyAlignment="1" applyProtection="1">
      <alignment horizontal="center"/>
      <protection hidden="1"/>
    </xf>
    <xf numFmtId="166" fontId="15" fillId="15" borderId="0" xfId="0" applyNumberFormat="1" applyFont="1" applyFill="1" applyAlignment="1" applyProtection="1">
      <alignment horizontal="center"/>
      <protection hidden="1"/>
    </xf>
    <xf numFmtId="166" fontId="15" fillId="15" borderId="11" xfId="0" applyNumberFormat="1" applyFont="1" applyFill="1" applyBorder="1" applyAlignment="1" applyProtection="1">
      <alignment horizontal="center"/>
      <protection hidden="1"/>
    </xf>
    <xf numFmtId="0" fontId="16" fillId="22" borderId="0" xfId="0" applyFont="1" applyFill="1" applyAlignment="1" applyProtection="1">
      <alignment horizontal="right" vertical="center"/>
      <protection hidden="1"/>
    </xf>
    <xf numFmtId="166" fontId="15" fillId="15" borderId="9" xfId="0" applyNumberFormat="1" applyFont="1" applyFill="1" applyBorder="1" applyAlignment="1" applyProtection="1">
      <alignment horizontal="center"/>
      <protection hidden="1"/>
    </xf>
    <xf numFmtId="166" fontId="15" fillId="15" borderId="12" xfId="0" applyNumberFormat="1" applyFont="1" applyFill="1" applyBorder="1" applyAlignment="1" applyProtection="1">
      <alignment horizontal="center"/>
      <protection hidden="1"/>
    </xf>
    <xf numFmtId="166" fontId="15" fillId="15" borderId="13" xfId="0" applyNumberFormat="1" applyFont="1" applyFill="1" applyBorder="1" applyAlignment="1" applyProtection="1">
      <alignment horizontal="center"/>
      <protection hidden="1"/>
    </xf>
    <xf numFmtId="166" fontId="15" fillId="15" borderId="14" xfId="0" applyNumberFormat="1" applyFont="1" applyFill="1" applyBorder="1" applyAlignment="1" applyProtection="1">
      <alignment horizontal="center"/>
      <protection hidden="1"/>
    </xf>
    <xf numFmtId="0" fontId="5" fillId="21" borderId="1" xfId="0" applyFont="1" applyFill="1" applyBorder="1" applyAlignment="1" applyProtection="1">
      <alignment horizontal="left"/>
      <protection hidden="1"/>
    </xf>
    <xf numFmtId="0" fontId="5" fillId="21" borderId="2" xfId="0" applyFont="1" applyFill="1" applyBorder="1" applyAlignment="1" applyProtection="1">
      <alignment horizontal="left"/>
      <protection hidden="1"/>
    </xf>
    <xf numFmtId="0" fontId="5" fillId="21" borderId="3" xfId="0" applyFont="1" applyFill="1" applyBorder="1" applyAlignment="1" applyProtection="1">
      <alignment horizontal="left"/>
      <protection hidden="1"/>
    </xf>
    <xf numFmtId="0" fontId="21" fillId="19" borderId="20" xfId="0" applyFont="1" applyFill="1" applyBorder="1" applyAlignment="1" applyProtection="1">
      <alignment horizontal="right"/>
      <protection hidden="1"/>
    </xf>
    <xf numFmtId="0" fontId="21" fillId="19" borderId="17" xfId="0" applyFont="1" applyFill="1" applyBorder="1" applyAlignment="1" applyProtection="1">
      <alignment horizontal="right"/>
      <protection hidden="1"/>
    </xf>
    <xf numFmtId="0" fontId="23" fillId="19" borderId="23" xfId="0" applyFont="1" applyFill="1" applyBorder="1" applyAlignment="1" applyProtection="1">
      <alignment horizontal="left"/>
      <protection hidden="1"/>
    </xf>
    <xf numFmtId="0" fontId="23" fillId="19" borderId="0" xfId="0" applyFont="1" applyFill="1" applyAlignment="1" applyProtection="1">
      <alignment horizontal="left"/>
      <protection hidden="1"/>
    </xf>
    <xf numFmtId="0" fontId="23" fillId="19" borderId="24" xfId="0" applyFont="1" applyFill="1" applyBorder="1" applyAlignment="1" applyProtection="1">
      <alignment horizontal="left"/>
      <protection hidden="1"/>
    </xf>
    <xf numFmtId="0" fontId="23" fillId="19" borderId="21" xfId="0" applyFont="1" applyFill="1" applyBorder="1" applyAlignment="1" applyProtection="1">
      <alignment horizontal="left"/>
      <protection hidden="1"/>
    </xf>
    <xf numFmtId="0" fontId="23" fillId="19" borderId="19" xfId="0" applyFont="1" applyFill="1" applyBorder="1" applyAlignment="1" applyProtection="1">
      <alignment horizontal="left"/>
      <protection hidden="1"/>
    </xf>
    <xf numFmtId="0" fontId="23" fillId="19" borderId="22" xfId="0" applyFont="1" applyFill="1" applyBorder="1" applyAlignment="1" applyProtection="1">
      <alignment horizontal="left"/>
      <protection hidden="1"/>
    </xf>
    <xf numFmtId="0" fontId="23" fillId="22" borderId="0" xfId="0" applyFont="1" applyFill="1" applyAlignment="1" applyProtection="1">
      <alignment horizontal="right"/>
      <protection hidden="1"/>
    </xf>
    <xf numFmtId="0" fontId="23" fillId="22" borderId="0" xfId="0" quotePrefix="1" applyFont="1" applyFill="1" applyAlignment="1" applyProtection="1">
      <alignment horizontal="right"/>
      <protection hidden="1"/>
    </xf>
    <xf numFmtId="0" fontId="19" fillId="14" borderId="0" xfId="0" applyFont="1" applyFill="1" applyAlignment="1" applyProtection="1">
      <alignment horizontal="center"/>
      <protection hidden="1"/>
    </xf>
    <xf numFmtId="0" fontId="23" fillId="22" borderId="19" xfId="0" applyFont="1" applyFill="1" applyBorder="1" applyAlignment="1" applyProtection="1">
      <alignment horizontal="right"/>
      <protection hidden="1"/>
    </xf>
    <xf numFmtId="0" fontId="23" fillId="22" borderId="22" xfId="0" applyFont="1" applyFill="1" applyBorder="1" applyAlignment="1" applyProtection="1">
      <alignment horizontal="right"/>
      <protection hidden="1"/>
    </xf>
    <xf numFmtId="0" fontId="23" fillId="14" borderId="0" xfId="0" applyFont="1" applyFill="1" applyAlignment="1" applyProtection="1">
      <alignment horizontal="left"/>
      <protection hidden="1"/>
    </xf>
    <xf numFmtId="0" fontId="16" fillId="14" borderId="0" xfId="0" applyFont="1" applyFill="1" applyAlignment="1" applyProtection="1">
      <alignment horizontal="left"/>
      <protection hidden="1"/>
    </xf>
    <xf numFmtId="0" fontId="22" fillId="14" borderId="0" xfId="0" applyFont="1" applyFill="1" applyAlignment="1" applyProtection="1">
      <alignment horizontal="right"/>
      <protection hidden="1"/>
    </xf>
    <xf numFmtId="166" fontId="41" fillId="14" borderId="0" xfId="1" applyNumberFormat="1" applyFont="1" applyFill="1" applyBorder="1" applyAlignment="1" applyProtection="1">
      <alignment horizontal="center"/>
      <protection hidden="1"/>
    </xf>
    <xf numFmtId="0" fontId="76" fillId="26" borderId="0" xfId="1" applyFont="1" applyFill="1" applyAlignment="1" applyProtection="1">
      <alignment horizontal="center" vertical="center"/>
      <protection hidden="1"/>
    </xf>
    <xf numFmtId="0" fontId="56" fillId="22" borderId="0" xfId="0" applyFont="1" applyFill="1" applyAlignment="1" applyProtection="1">
      <alignment horizontal="center"/>
      <protection hidden="1"/>
    </xf>
    <xf numFmtId="166" fontId="15" fillId="15" borderId="21" xfId="0" applyNumberFormat="1" applyFont="1" applyFill="1" applyBorder="1" applyAlignment="1" applyProtection="1">
      <alignment horizontal="center"/>
      <protection hidden="1"/>
    </xf>
    <xf numFmtId="166" fontId="15" fillId="15" borderId="19" xfId="0" applyNumberFormat="1" applyFont="1" applyFill="1" applyBorder="1" applyAlignment="1" applyProtection="1">
      <alignment horizontal="center"/>
      <protection hidden="1"/>
    </xf>
    <xf numFmtId="166" fontId="15" fillId="15" borderId="22" xfId="0" applyNumberFormat="1" applyFont="1" applyFill="1" applyBorder="1" applyAlignment="1" applyProtection="1">
      <alignment horizontal="center"/>
      <protection hidden="1"/>
    </xf>
    <xf numFmtId="0" fontId="167" fillId="11" borderId="28" xfId="0" applyFont="1" applyFill="1" applyBorder="1" applyAlignment="1" applyProtection="1">
      <alignment horizontal="center" vertical="center"/>
      <protection hidden="1"/>
    </xf>
    <xf numFmtId="0" fontId="167" fillId="11" borderId="16" xfId="0" applyFont="1" applyFill="1" applyBorder="1" applyAlignment="1" applyProtection="1">
      <alignment horizontal="center" vertical="center"/>
      <protection hidden="1"/>
    </xf>
    <xf numFmtId="166" fontId="47" fillId="15" borderId="0" xfId="0" applyNumberFormat="1" applyFont="1" applyFill="1" applyAlignment="1" applyProtection="1">
      <alignment horizontal="right"/>
      <protection hidden="1"/>
    </xf>
    <xf numFmtId="0" fontId="21" fillId="17" borderId="24" xfId="1" applyFont="1" applyFill="1" applyBorder="1" applyAlignment="1" applyProtection="1">
      <alignment horizontal="center" vertical="center" wrapText="1"/>
      <protection hidden="1"/>
    </xf>
    <xf numFmtId="0" fontId="18" fillId="11" borderId="24" xfId="1" applyFont="1" applyFill="1" applyBorder="1" applyAlignment="1" applyProtection="1">
      <alignment horizontal="center" vertical="center" wrapText="1"/>
      <protection hidden="1"/>
    </xf>
    <xf numFmtId="0" fontId="23" fillId="22" borderId="24" xfId="0" applyFont="1" applyFill="1" applyBorder="1" applyAlignment="1" applyProtection="1">
      <alignment horizontal="right"/>
      <protection hidden="1"/>
    </xf>
    <xf numFmtId="166" fontId="15" fillId="15" borderId="23" xfId="0" applyNumberFormat="1" applyFont="1" applyFill="1" applyBorder="1" applyAlignment="1" applyProtection="1">
      <alignment horizontal="center"/>
      <protection hidden="1"/>
    </xf>
    <xf numFmtId="166" fontId="15" fillId="15" borderId="24" xfId="0" applyNumberFormat="1" applyFont="1" applyFill="1" applyBorder="1" applyAlignment="1" applyProtection="1">
      <alignment horizontal="center"/>
      <protection hidden="1"/>
    </xf>
    <xf numFmtId="0" fontId="16" fillId="22" borderId="13" xfId="0" applyFont="1" applyFill="1" applyBorder="1" applyAlignment="1" applyProtection="1">
      <alignment horizontal="right" vertical="center"/>
      <protection hidden="1"/>
    </xf>
    <xf numFmtId="0" fontId="0" fillId="15" borderId="14" xfId="0" applyFill="1" applyBorder="1" applyAlignment="1" applyProtection="1">
      <alignment horizontal="center"/>
      <protection hidden="1"/>
    </xf>
    <xf numFmtId="0" fontId="23" fillId="22" borderId="19" xfId="0" quotePrefix="1" applyFont="1" applyFill="1" applyBorder="1" applyAlignment="1" applyProtection="1">
      <alignment horizontal="right"/>
      <protection hidden="1"/>
    </xf>
    <xf numFmtId="0" fontId="18" fillId="11" borderId="19" xfId="0" applyFont="1" applyFill="1" applyBorder="1" applyAlignment="1" applyProtection="1">
      <alignment horizontal="center"/>
      <protection hidden="1"/>
    </xf>
    <xf numFmtId="0" fontId="18" fillId="11" borderId="22" xfId="0" applyFont="1" applyFill="1" applyBorder="1" applyAlignment="1" applyProtection="1">
      <alignment horizontal="center"/>
      <protection hidden="1"/>
    </xf>
    <xf numFmtId="0" fontId="176" fillId="5" borderId="18" xfId="0" applyFont="1" applyFill="1" applyBorder="1" applyAlignment="1" applyProtection="1">
      <alignment horizontal="center" vertical="top" wrapText="1"/>
      <protection hidden="1"/>
    </xf>
    <xf numFmtId="0" fontId="21" fillId="17" borderId="2" xfId="0" applyFont="1" applyFill="1" applyBorder="1" applyAlignment="1" applyProtection="1">
      <alignment horizontal="center" vertical="center"/>
      <protection hidden="1"/>
    </xf>
    <xf numFmtId="0" fontId="21" fillId="17" borderId="3" xfId="0" applyFont="1" applyFill="1" applyBorder="1" applyAlignment="1" applyProtection="1">
      <alignment horizontal="center" vertical="center"/>
      <protection hidden="1"/>
    </xf>
    <xf numFmtId="0" fontId="21" fillId="19" borderId="2" xfId="0" applyFont="1" applyFill="1" applyBorder="1" applyAlignment="1" applyProtection="1">
      <alignment horizontal="center" vertical="center"/>
      <protection hidden="1"/>
    </xf>
    <xf numFmtId="0" fontId="21" fillId="19" borderId="3" xfId="0" applyFont="1" applyFill="1" applyBorder="1" applyAlignment="1" applyProtection="1">
      <alignment horizontal="center" vertical="center"/>
      <protection hidden="1"/>
    </xf>
    <xf numFmtId="17" fontId="120" fillId="24" borderId="32" xfId="1" applyNumberFormat="1" applyFont="1" applyFill="1" applyBorder="1" applyAlignment="1" applyProtection="1">
      <alignment horizontal="center" vertical="center" wrapText="1"/>
      <protection hidden="1"/>
    </xf>
    <xf numFmtId="165" fontId="120" fillId="24" borderId="33" xfId="1" applyNumberFormat="1" applyFont="1" applyFill="1" applyBorder="1" applyAlignment="1" applyProtection="1">
      <alignment horizontal="center" vertical="center" wrapText="1"/>
      <protection hidden="1"/>
    </xf>
    <xf numFmtId="165" fontId="120" fillId="24" borderId="34" xfId="1" applyNumberFormat="1" applyFont="1" applyFill="1" applyBorder="1" applyAlignment="1" applyProtection="1">
      <alignment horizontal="center" vertical="center" wrapText="1"/>
      <protection hidden="1"/>
    </xf>
    <xf numFmtId="165" fontId="120" fillId="24" borderId="35" xfId="1" applyNumberFormat="1" applyFont="1" applyFill="1" applyBorder="1" applyAlignment="1" applyProtection="1">
      <alignment horizontal="center" vertical="center" wrapText="1"/>
      <protection hidden="1"/>
    </xf>
    <xf numFmtId="165" fontId="120" fillId="24" borderId="36" xfId="1" applyNumberFormat="1" applyFont="1" applyFill="1" applyBorder="1" applyAlignment="1" applyProtection="1">
      <alignment horizontal="center" vertical="center" wrapText="1"/>
      <protection hidden="1"/>
    </xf>
    <xf numFmtId="165" fontId="120" fillId="24" borderId="37" xfId="1" applyNumberFormat="1" applyFont="1" applyFill="1" applyBorder="1" applyAlignment="1" applyProtection="1">
      <alignment horizontal="center" vertical="center" wrapText="1"/>
      <protection hidden="1"/>
    </xf>
    <xf numFmtId="0" fontId="122" fillId="14" borderId="0" xfId="0" applyFont="1" applyFill="1" applyAlignment="1" applyProtection="1">
      <alignment horizontal="center" vertical="center"/>
      <protection hidden="1"/>
    </xf>
    <xf numFmtId="0" fontId="118" fillId="17" borderId="0" xfId="0" applyFont="1" applyFill="1" applyAlignment="1" applyProtection="1">
      <alignment horizontal="center" vertical="center"/>
      <protection hidden="1"/>
    </xf>
    <xf numFmtId="0" fontId="124" fillId="38" borderId="0" xfId="1" applyFont="1" applyFill="1" applyAlignment="1" applyProtection="1">
      <alignment horizontal="center"/>
      <protection hidden="1"/>
    </xf>
    <xf numFmtId="166" fontId="114" fillId="35" borderId="1" xfId="0" applyNumberFormat="1" applyFont="1" applyFill="1" applyBorder="1" applyAlignment="1" applyProtection="1">
      <alignment horizontal="center"/>
      <protection hidden="1"/>
    </xf>
    <xf numFmtId="166" fontId="114" fillId="35" borderId="3" xfId="0" applyNumberFormat="1" applyFont="1" applyFill="1" applyBorder="1" applyAlignment="1" applyProtection="1">
      <alignment horizontal="center"/>
      <protection hidden="1"/>
    </xf>
    <xf numFmtId="0" fontId="113" fillId="4" borderId="50" xfId="0" applyFont="1" applyFill="1" applyBorder="1" applyAlignment="1" applyProtection="1">
      <alignment horizontal="center"/>
      <protection hidden="1"/>
    </xf>
    <xf numFmtId="0" fontId="113" fillId="4" borderId="51" xfId="0" applyFont="1" applyFill="1" applyBorder="1" applyAlignment="1" applyProtection="1">
      <alignment horizontal="center"/>
      <protection hidden="1"/>
    </xf>
    <xf numFmtId="0" fontId="112" fillId="38" borderId="76" xfId="0" applyFont="1" applyFill="1" applyBorder="1" applyAlignment="1" applyProtection="1">
      <alignment horizontal="center"/>
      <protection hidden="1"/>
    </xf>
    <xf numFmtId="0" fontId="112" fillId="38" borderId="77" xfId="0" applyFont="1" applyFill="1" applyBorder="1" applyAlignment="1" applyProtection="1">
      <alignment horizontal="center"/>
      <protection hidden="1"/>
    </xf>
    <xf numFmtId="0" fontId="112" fillId="38" borderId="78" xfId="0" applyFont="1" applyFill="1" applyBorder="1" applyAlignment="1" applyProtection="1">
      <alignment horizontal="center"/>
      <protection hidden="1"/>
    </xf>
    <xf numFmtId="166" fontId="112" fillId="38" borderId="60" xfId="0" applyNumberFormat="1" applyFont="1" applyFill="1" applyBorder="1" applyAlignment="1" applyProtection="1">
      <alignment horizontal="center" vertical="top"/>
      <protection hidden="1"/>
    </xf>
    <xf numFmtId="0" fontId="112" fillId="38" borderId="79" xfId="0" applyFont="1" applyFill="1" applyBorder="1" applyAlignment="1" applyProtection="1">
      <alignment horizontal="center" vertical="top"/>
      <protection hidden="1"/>
    </xf>
    <xf numFmtId="0" fontId="112" fillId="38" borderId="61" xfId="0" applyFont="1" applyFill="1" applyBorder="1" applyAlignment="1" applyProtection="1">
      <alignment horizontal="center" vertical="top"/>
      <protection hidden="1"/>
    </xf>
    <xf numFmtId="0" fontId="113" fillId="4" borderId="63" xfId="0" applyFont="1" applyFill="1" applyBorder="1" applyAlignment="1" applyProtection="1">
      <alignment horizontal="center"/>
      <protection hidden="1"/>
    </xf>
    <xf numFmtId="0" fontId="113" fillId="4" borderId="64" xfId="0" applyFont="1" applyFill="1" applyBorder="1" applyAlignment="1" applyProtection="1">
      <alignment horizontal="center"/>
      <protection hidden="1"/>
    </xf>
    <xf numFmtId="0" fontId="150" fillId="4" borderId="56" xfId="0" applyFont="1" applyFill="1" applyBorder="1" applyAlignment="1" applyProtection="1">
      <alignment horizontal="center" vertical="center" wrapText="1"/>
      <protection hidden="1"/>
    </xf>
    <xf numFmtId="0" fontId="150" fillId="4" borderId="57" xfId="0" applyFont="1" applyFill="1" applyBorder="1" applyAlignment="1" applyProtection="1">
      <alignment horizontal="center" vertical="center" wrapText="1"/>
      <protection hidden="1"/>
    </xf>
    <xf numFmtId="0" fontId="147" fillId="4" borderId="58" xfId="0" applyFont="1" applyFill="1" applyBorder="1" applyAlignment="1" applyProtection="1">
      <alignment horizontal="center" vertical="center" wrapText="1"/>
      <protection hidden="1"/>
    </xf>
    <xf numFmtId="0" fontId="147" fillId="4" borderId="59" xfId="0" applyFont="1" applyFill="1" applyBorder="1" applyAlignment="1" applyProtection="1">
      <alignment horizontal="center" vertical="center" wrapText="1"/>
      <protection hidden="1"/>
    </xf>
    <xf numFmtId="0" fontId="147" fillId="4" borderId="60" xfId="0" applyFont="1" applyFill="1" applyBorder="1" applyAlignment="1" applyProtection="1">
      <alignment horizontal="center" vertical="center" wrapText="1"/>
      <protection hidden="1"/>
    </xf>
    <xf numFmtId="0" fontId="147" fillId="4" borderId="61" xfId="0" applyFont="1" applyFill="1" applyBorder="1" applyAlignment="1" applyProtection="1">
      <alignment horizontal="center" vertical="center" wrapText="1"/>
      <protection hidden="1"/>
    </xf>
    <xf numFmtId="166" fontId="50" fillId="35" borderId="19" xfId="0" applyNumberFormat="1" applyFont="1" applyFill="1" applyBorder="1" applyAlignment="1" applyProtection="1">
      <alignment horizontal="center"/>
      <protection hidden="1"/>
    </xf>
    <xf numFmtId="166" fontId="115" fillId="7" borderId="54" xfId="0" applyNumberFormat="1" applyFont="1" applyFill="1" applyBorder="1" applyAlignment="1" applyProtection="1">
      <alignment horizontal="center"/>
      <protection hidden="1"/>
    </xf>
    <xf numFmtId="166" fontId="115" fillId="7" borderId="55" xfId="0" applyNumberFormat="1" applyFont="1" applyFill="1" applyBorder="1" applyAlignment="1" applyProtection="1">
      <alignment horizontal="center"/>
      <protection hidden="1"/>
    </xf>
    <xf numFmtId="0" fontId="146" fillId="4" borderId="63" xfId="0" applyFont="1" applyFill="1" applyBorder="1" applyAlignment="1" applyProtection="1">
      <alignment horizontal="center"/>
      <protection hidden="1"/>
    </xf>
    <xf numFmtId="0" fontId="146" fillId="4" borderId="34" xfId="0" applyFont="1" applyFill="1" applyBorder="1" applyAlignment="1" applyProtection="1">
      <alignment horizontal="center"/>
      <protection hidden="1"/>
    </xf>
    <xf numFmtId="166" fontId="115" fillId="7" borderId="74" xfId="0" applyNumberFormat="1" applyFont="1" applyFill="1" applyBorder="1" applyAlignment="1" applyProtection="1">
      <alignment horizontal="center"/>
      <protection hidden="1"/>
    </xf>
    <xf numFmtId="166" fontId="115" fillId="7" borderId="75" xfId="0" applyNumberFormat="1" applyFont="1" applyFill="1" applyBorder="1" applyAlignment="1" applyProtection="1">
      <alignment horizontal="center"/>
      <protection hidden="1"/>
    </xf>
    <xf numFmtId="0" fontId="61" fillId="4" borderId="0" xfId="1" applyFont="1" applyFill="1" applyAlignment="1" applyProtection="1">
      <alignment horizontal="center" vertical="center" wrapText="1"/>
      <protection hidden="1"/>
    </xf>
    <xf numFmtId="0" fontId="142" fillId="4" borderId="63" xfId="0" applyFont="1" applyFill="1" applyBorder="1" applyAlignment="1" applyProtection="1">
      <alignment horizontal="center" vertical="center" wrapText="1"/>
      <protection hidden="1"/>
    </xf>
    <xf numFmtId="0" fontId="142" fillId="4" borderId="68" xfId="0" applyFont="1" applyFill="1" applyBorder="1" applyAlignment="1" applyProtection="1">
      <alignment horizontal="center" vertical="center" wrapText="1"/>
      <protection hidden="1"/>
    </xf>
    <xf numFmtId="0" fontId="119" fillId="4" borderId="62" xfId="0" applyFont="1" applyFill="1" applyBorder="1" applyAlignment="1" applyProtection="1">
      <alignment horizontal="center" vertical="center"/>
      <protection hidden="1"/>
    </xf>
    <xf numFmtId="0" fontId="119" fillId="4" borderId="52" xfId="0" applyFont="1" applyFill="1" applyBorder="1" applyAlignment="1" applyProtection="1">
      <alignment horizontal="center" vertical="center"/>
      <protection hidden="1"/>
    </xf>
    <xf numFmtId="0" fontId="134" fillId="4" borderId="69" xfId="0" applyFont="1" applyFill="1" applyBorder="1" applyAlignment="1" applyProtection="1">
      <alignment horizontal="center" vertical="center" wrapText="1"/>
      <protection hidden="1"/>
    </xf>
    <xf numFmtId="0" fontId="133" fillId="4" borderId="70" xfId="0" applyFont="1" applyFill="1" applyBorder="1" applyAlignment="1" applyProtection="1">
      <alignment horizontal="center" vertical="center" wrapText="1"/>
      <protection hidden="1"/>
    </xf>
    <xf numFmtId="0" fontId="138" fillId="4" borderId="62" xfId="0" applyFont="1" applyFill="1" applyBorder="1" applyAlignment="1" applyProtection="1">
      <alignment horizontal="center" vertical="center" wrapText="1"/>
      <protection hidden="1"/>
    </xf>
    <xf numFmtId="0" fontId="138" fillId="4" borderId="52" xfId="0" applyFont="1" applyFill="1" applyBorder="1" applyAlignment="1" applyProtection="1">
      <alignment horizontal="center" vertical="center" wrapText="1"/>
      <protection hidden="1"/>
    </xf>
    <xf numFmtId="0" fontId="129" fillId="4" borderId="62" xfId="0" applyFont="1" applyFill="1" applyBorder="1" applyAlignment="1" applyProtection="1">
      <alignment horizontal="center" vertical="center"/>
      <protection hidden="1"/>
    </xf>
    <xf numFmtId="0" fontId="129" fillId="4" borderId="52" xfId="0" applyFont="1" applyFill="1" applyBorder="1" applyAlignment="1" applyProtection="1">
      <alignment horizontal="center" vertical="center"/>
      <protection hidden="1"/>
    </xf>
    <xf numFmtId="0" fontId="128" fillId="4" borderId="50" xfId="0" applyFont="1" applyFill="1" applyBorder="1" applyAlignment="1" applyProtection="1">
      <alignment horizontal="center"/>
      <protection hidden="1"/>
    </xf>
    <xf numFmtId="0" fontId="128" fillId="4" borderId="51" xfId="0" applyFont="1" applyFill="1" applyBorder="1" applyAlignment="1" applyProtection="1">
      <alignment horizontal="center"/>
      <protection hidden="1"/>
    </xf>
    <xf numFmtId="0" fontId="140" fillId="17" borderId="0" xfId="0" applyFont="1" applyFill="1" applyAlignment="1" applyProtection="1">
      <alignment horizontal="center" vertical="center" wrapText="1"/>
      <protection hidden="1"/>
    </xf>
    <xf numFmtId="0" fontId="144" fillId="4" borderId="69" xfId="0" applyFont="1" applyFill="1" applyBorder="1" applyAlignment="1" applyProtection="1">
      <alignment horizontal="center" vertical="center" wrapText="1"/>
      <protection hidden="1"/>
    </xf>
    <xf numFmtId="0" fontId="144" fillId="4" borderId="70" xfId="0" applyFont="1" applyFill="1" applyBorder="1" applyAlignment="1" applyProtection="1">
      <alignment horizontal="center" vertical="center" wrapText="1"/>
      <protection hidden="1"/>
    </xf>
    <xf numFmtId="0" fontId="56" fillId="17" borderId="0" xfId="0" applyFont="1" applyFill="1" applyAlignment="1" applyProtection="1">
      <alignment horizontal="center" vertical="center" wrapText="1"/>
      <protection hidden="1"/>
    </xf>
    <xf numFmtId="0" fontId="22" fillId="4" borderId="71" xfId="0" applyFont="1" applyFill="1" applyBorder="1" applyAlignment="1" applyProtection="1">
      <alignment horizontal="center" vertical="center" wrapText="1"/>
      <protection hidden="1"/>
    </xf>
    <xf numFmtId="0" fontId="22" fillId="4" borderId="72" xfId="0" applyFont="1" applyFill="1" applyBorder="1" applyAlignment="1" applyProtection="1">
      <alignment horizontal="center" vertical="center" wrapText="1"/>
      <protection hidden="1"/>
    </xf>
    <xf numFmtId="0" fontId="119" fillId="4" borderId="62" xfId="0" applyFont="1" applyFill="1" applyBorder="1" applyAlignment="1" applyProtection="1">
      <alignment horizontal="center" vertical="center" wrapText="1"/>
      <protection hidden="1"/>
    </xf>
    <xf numFmtId="0" fontId="119" fillId="4" borderId="52" xfId="0" applyFont="1" applyFill="1" applyBorder="1" applyAlignment="1" applyProtection="1">
      <alignment horizontal="center" vertical="center" wrapText="1"/>
      <protection hidden="1"/>
    </xf>
    <xf numFmtId="0" fontId="22" fillId="4" borderId="33" xfId="0" applyFont="1" applyFill="1" applyBorder="1" applyAlignment="1" applyProtection="1">
      <alignment horizontal="center" vertical="center"/>
      <protection hidden="1"/>
    </xf>
    <xf numFmtId="0" fontId="22" fillId="4" borderId="36" xfId="0" applyFont="1" applyFill="1" applyBorder="1" applyAlignment="1" applyProtection="1">
      <alignment horizontal="center" vertical="center"/>
      <protection hidden="1"/>
    </xf>
    <xf numFmtId="0" fontId="30" fillId="4" borderId="63" xfId="0" applyFont="1" applyFill="1" applyBorder="1" applyAlignment="1" applyProtection="1">
      <alignment horizontal="center" vertical="center" wrapText="1"/>
      <protection hidden="1"/>
    </xf>
    <xf numFmtId="0" fontId="136" fillId="4" borderId="68" xfId="0" applyFont="1" applyFill="1" applyBorder="1" applyAlignment="1" applyProtection="1">
      <alignment horizontal="center" vertical="center" wrapText="1"/>
      <protection hidden="1"/>
    </xf>
    <xf numFmtId="0" fontId="138" fillId="4" borderId="32" xfId="0" applyFont="1" applyFill="1" applyBorder="1" applyAlignment="1" applyProtection="1">
      <alignment horizontal="center" vertical="center" wrapText="1"/>
      <protection hidden="1"/>
    </xf>
    <xf numFmtId="0" fontId="138" fillId="4" borderId="35" xfId="0" applyFont="1" applyFill="1" applyBorder="1" applyAlignment="1" applyProtection="1">
      <alignment horizontal="center" vertical="center" wrapText="1"/>
      <protection hidden="1"/>
    </xf>
    <xf numFmtId="0" fontId="23" fillId="15" borderId="38" xfId="0" applyFont="1" applyFill="1" applyBorder="1" applyAlignment="1" applyProtection="1">
      <alignment horizontal="center"/>
      <protection hidden="1"/>
    </xf>
    <xf numFmtId="0" fontId="23" fillId="15" borderId="39" xfId="0" applyFont="1" applyFill="1" applyBorder="1" applyAlignment="1" applyProtection="1">
      <alignment horizontal="center"/>
      <protection hidden="1"/>
    </xf>
    <xf numFmtId="0" fontId="23" fillId="15" borderId="40" xfId="0" applyFont="1" applyFill="1" applyBorder="1" applyAlignment="1" applyProtection="1">
      <alignment horizontal="center"/>
      <protection hidden="1"/>
    </xf>
    <xf numFmtId="0" fontId="77" fillId="14" borderId="0" xfId="0" applyFont="1" applyFill="1" applyAlignment="1" applyProtection="1">
      <alignment horizontal="left" vertical="center"/>
      <protection hidden="1"/>
    </xf>
    <xf numFmtId="0" fontId="14" fillId="5" borderId="0" xfId="0" applyFont="1" applyFill="1" applyAlignment="1" applyProtection="1">
      <alignment horizontal="left" vertical="center" wrapText="1"/>
      <protection locked="0" hidden="1"/>
    </xf>
    <xf numFmtId="0" fontId="0" fillId="5" borderId="0" xfId="0" applyFill="1" applyAlignment="1" applyProtection="1">
      <alignment horizontal="left" vertical="center" wrapText="1"/>
      <protection locked="0" hidden="1"/>
    </xf>
    <xf numFmtId="0" fontId="102" fillId="22" borderId="0" xfId="0" applyFont="1" applyFill="1" applyAlignment="1" applyProtection="1">
      <alignment horizontal="center"/>
      <protection hidden="1"/>
    </xf>
    <xf numFmtId="0" fontId="14" fillId="5" borderId="0" xfId="0" applyFont="1" applyFill="1" applyAlignment="1" applyProtection="1">
      <alignment horizontal="left" wrapText="1"/>
      <protection locked="0" hidden="1"/>
    </xf>
    <xf numFmtId="0" fontId="0" fillId="5" borderId="0" xfId="0" applyFill="1" applyAlignment="1" applyProtection="1">
      <alignment horizontal="left" wrapText="1"/>
      <protection locked="0" hidden="1"/>
    </xf>
    <xf numFmtId="0" fontId="1" fillId="5" borderId="0" xfId="0" applyFont="1" applyFill="1" applyAlignment="1" applyProtection="1">
      <alignment horizontal="left" wrapText="1"/>
      <protection locked="0" hidden="1"/>
    </xf>
    <xf numFmtId="165" fontId="29" fillId="29" borderId="1" xfId="0" applyNumberFormat="1" applyFont="1" applyFill="1" applyBorder="1" applyAlignment="1" applyProtection="1">
      <alignment horizontal="center"/>
      <protection hidden="1"/>
    </xf>
    <xf numFmtId="165" fontId="29" fillId="29" borderId="2" xfId="0" applyNumberFormat="1" applyFont="1" applyFill="1" applyBorder="1" applyAlignment="1" applyProtection="1">
      <alignment horizontal="center"/>
      <protection hidden="1"/>
    </xf>
    <xf numFmtId="165" fontId="29" fillId="29" borderId="3" xfId="0" applyNumberFormat="1" applyFont="1" applyFill="1" applyBorder="1" applyAlignment="1" applyProtection="1">
      <alignment horizontal="center"/>
      <protection hidden="1"/>
    </xf>
    <xf numFmtId="165" fontId="95" fillId="29" borderId="1" xfId="0" applyNumberFormat="1" applyFont="1" applyFill="1" applyBorder="1" applyAlignment="1" applyProtection="1">
      <alignment horizontal="center"/>
      <protection hidden="1"/>
    </xf>
    <xf numFmtId="165" fontId="95" fillId="29" borderId="2" xfId="0" applyNumberFormat="1" applyFont="1" applyFill="1" applyBorder="1" applyAlignment="1" applyProtection="1">
      <alignment horizontal="center"/>
      <protection hidden="1"/>
    </xf>
    <xf numFmtId="165" fontId="95" fillId="29" borderId="3" xfId="0" applyNumberFormat="1" applyFont="1" applyFill="1" applyBorder="1" applyAlignment="1" applyProtection="1">
      <alignment horizontal="center"/>
      <protection hidden="1"/>
    </xf>
    <xf numFmtId="17" fontId="23" fillId="27" borderId="17" xfId="0" applyNumberFormat="1" applyFont="1" applyFill="1" applyBorder="1" applyAlignment="1" applyProtection="1">
      <alignment horizontal="center"/>
      <protection hidden="1"/>
    </xf>
    <xf numFmtId="17" fontId="23" fillId="27" borderId="31" xfId="0" applyNumberFormat="1" applyFont="1" applyFill="1" applyBorder="1" applyAlignment="1" applyProtection="1">
      <alignment horizontal="center"/>
      <protection hidden="1"/>
    </xf>
    <xf numFmtId="165" fontId="85" fillId="29" borderId="1" xfId="0" applyNumberFormat="1" applyFont="1" applyFill="1" applyBorder="1" applyAlignment="1" applyProtection="1">
      <alignment horizontal="center"/>
      <protection hidden="1"/>
    </xf>
    <xf numFmtId="0" fontId="85" fillId="29" borderId="2" xfId="0" applyFont="1" applyFill="1" applyBorder="1" applyAlignment="1" applyProtection="1">
      <alignment horizontal="center"/>
      <protection hidden="1"/>
    </xf>
    <xf numFmtId="0" fontId="85" fillId="29" borderId="3" xfId="0" applyFont="1" applyFill="1" applyBorder="1" applyAlignment="1" applyProtection="1">
      <alignment horizontal="center"/>
      <protection hidden="1"/>
    </xf>
    <xf numFmtId="165" fontId="3" fillId="32" borderId="1" xfId="0" applyNumberFormat="1" applyFont="1" applyFill="1" applyBorder="1" applyAlignment="1" applyProtection="1">
      <alignment horizontal="center"/>
      <protection hidden="1"/>
    </xf>
    <xf numFmtId="165" fontId="3" fillId="32" borderId="2" xfId="0" applyNumberFormat="1" applyFont="1" applyFill="1" applyBorder="1" applyAlignment="1" applyProtection="1">
      <alignment horizontal="center"/>
      <protection hidden="1"/>
    </xf>
    <xf numFmtId="165" fontId="3" fillId="32" borderId="3" xfId="0" applyNumberFormat="1" applyFont="1" applyFill="1" applyBorder="1" applyAlignment="1" applyProtection="1">
      <alignment horizontal="center"/>
      <protection hidden="1"/>
    </xf>
    <xf numFmtId="165" fontId="91" fillId="31" borderId="1" xfId="0" applyNumberFormat="1" applyFont="1" applyFill="1" applyBorder="1" applyAlignment="1" applyProtection="1">
      <alignment horizontal="center"/>
      <protection hidden="1"/>
    </xf>
    <xf numFmtId="165" fontId="91" fillId="31" borderId="2" xfId="0" applyNumberFormat="1" applyFont="1" applyFill="1" applyBorder="1" applyAlignment="1" applyProtection="1">
      <alignment horizontal="center"/>
      <protection hidden="1"/>
    </xf>
    <xf numFmtId="165" fontId="91" fillId="31" borderId="3" xfId="0" applyNumberFormat="1" applyFont="1" applyFill="1" applyBorder="1" applyAlignment="1" applyProtection="1">
      <alignment horizontal="center"/>
      <protection hidden="1"/>
    </xf>
    <xf numFmtId="166" fontId="29" fillId="2" borderId="1" xfId="0" applyNumberFormat="1" applyFont="1" applyFill="1" applyBorder="1" applyAlignment="1" applyProtection="1">
      <alignment horizontal="center"/>
      <protection hidden="1"/>
    </xf>
    <xf numFmtId="166" fontId="29" fillId="2" borderId="2" xfId="0" applyNumberFormat="1" applyFont="1" applyFill="1" applyBorder="1" applyAlignment="1" applyProtection="1">
      <alignment horizontal="center"/>
      <protection hidden="1"/>
    </xf>
    <xf numFmtId="166" fontId="29" fillId="2" borderId="3" xfId="0" applyNumberFormat="1" applyFont="1" applyFill="1" applyBorder="1" applyAlignment="1" applyProtection="1">
      <alignment horizontal="center"/>
      <protection hidden="1"/>
    </xf>
    <xf numFmtId="166" fontId="90" fillId="30" borderId="1" xfId="0" applyNumberFormat="1" applyFont="1" applyFill="1" applyBorder="1" applyAlignment="1" applyProtection="1">
      <alignment horizontal="center"/>
      <protection hidden="1"/>
    </xf>
    <xf numFmtId="166" fontId="90" fillId="30" borderId="2" xfId="0" applyNumberFormat="1" applyFont="1" applyFill="1" applyBorder="1" applyAlignment="1" applyProtection="1">
      <alignment horizontal="center"/>
      <protection hidden="1"/>
    </xf>
    <xf numFmtId="166" fontId="90" fillId="30" borderId="3" xfId="0" applyNumberFormat="1" applyFont="1" applyFill="1" applyBorder="1" applyAlignment="1" applyProtection="1">
      <alignment horizontal="center"/>
      <protection hidden="1"/>
    </xf>
    <xf numFmtId="166" fontId="104" fillId="19" borderId="4" xfId="0" quotePrefix="1" applyNumberFormat="1" applyFont="1" applyFill="1" applyBorder="1" applyAlignment="1" applyProtection="1">
      <alignment horizontal="center"/>
      <protection hidden="1"/>
    </xf>
    <xf numFmtId="166" fontId="104" fillId="19" borderId="5" xfId="0" quotePrefix="1" applyNumberFormat="1" applyFont="1" applyFill="1" applyBorder="1" applyAlignment="1" applyProtection="1">
      <alignment horizontal="center"/>
      <protection hidden="1"/>
    </xf>
    <xf numFmtId="166" fontId="104" fillId="19" borderId="6" xfId="0" quotePrefix="1" applyNumberFormat="1" applyFont="1" applyFill="1" applyBorder="1" applyAlignment="1" applyProtection="1">
      <alignment horizontal="center"/>
      <protection hidden="1"/>
    </xf>
    <xf numFmtId="17" fontId="64" fillId="14" borderId="0" xfId="0" applyNumberFormat="1" applyFont="1" applyFill="1" applyAlignment="1" applyProtection="1">
      <alignment horizontal="left" vertical="center"/>
      <protection hidden="1"/>
    </xf>
    <xf numFmtId="0" fontId="64" fillId="14" borderId="0" xfId="0" applyFont="1" applyFill="1" applyAlignment="1" applyProtection="1">
      <alignment horizontal="left" vertical="center"/>
      <protection hidden="1"/>
    </xf>
    <xf numFmtId="17" fontId="63" fillId="14" borderId="0" xfId="0" applyNumberFormat="1" applyFont="1" applyFill="1" applyAlignment="1" applyProtection="1">
      <alignment horizontal="center"/>
      <protection hidden="1"/>
    </xf>
    <xf numFmtId="0" fontId="63" fillId="14" borderId="0" xfId="0" applyFont="1" applyFill="1" applyAlignment="1" applyProtection="1">
      <alignment horizontal="center"/>
      <protection hidden="1"/>
    </xf>
    <xf numFmtId="40" fontId="196" fillId="5" borderId="21" xfId="0" applyNumberFormat="1" applyFont="1" applyFill="1" applyBorder="1" applyProtection="1">
      <protection locked="0"/>
    </xf>
    <xf numFmtId="0" fontId="196" fillId="5" borderId="22" xfId="0" applyFont="1" applyFill="1" applyBorder="1" applyProtection="1">
      <protection locked="0"/>
    </xf>
  </cellXfs>
  <cellStyles count="4">
    <cellStyle name="Hyperlink" xfId="1" builtinId="8"/>
    <cellStyle name="Lien hypertexte 2" xfId="3" xr:uid="{00000000-0005-0000-0000-000001000000}"/>
    <cellStyle name="Normal" xfId="0" builtinId="0"/>
    <cellStyle name="Normal 2" xfId="2" xr:uid="{00000000-0005-0000-0000-000003000000}"/>
  </cellStyles>
  <dxfs count="93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dxf>
    <dxf>
      <font>
        <color rgb="FF006100"/>
      </font>
      <fill>
        <patternFill>
          <bgColor rgb="FFC6EFCE"/>
        </patternFill>
      </fill>
    </dxf>
    <dxf>
      <font>
        <color rgb="FF9C0006"/>
      </font>
      <fill>
        <patternFill>
          <bgColor rgb="FFFFC7CE"/>
        </patternFill>
      </fill>
    </dxf>
    <dxf>
      <font>
        <color auto="1"/>
      </font>
    </dxf>
    <dxf>
      <font>
        <condense val="0"/>
        <extend val="0"/>
        <color indexed="9"/>
      </font>
      <fill>
        <patternFill>
          <bgColor indexed="10"/>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lor rgb="FF00B050"/>
      </font>
      <fill>
        <patternFill>
          <bgColor rgb="FF00B050"/>
        </patternFill>
      </fill>
    </dxf>
    <dxf>
      <font>
        <color theme="9"/>
      </font>
      <fill>
        <patternFill>
          <bgColor theme="9"/>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theme="0"/>
      </font>
      <fill>
        <patternFill>
          <bgColor rgb="FFFF0000"/>
        </patternFill>
      </fill>
    </dxf>
    <dxf>
      <font>
        <condense val="0"/>
        <extend val="0"/>
        <color indexed="9"/>
      </font>
      <fill>
        <patternFill>
          <bgColor indexed="10"/>
        </patternFill>
      </fill>
    </dxf>
    <dxf>
      <font>
        <color theme="0"/>
      </font>
      <fill>
        <patternFill>
          <bgColor rgb="FFFF0000"/>
        </patternFill>
      </fill>
    </dxf>
    <dxf>
      <font>
        <color theme="0" tint="-0.24994659260841701"/>
      </font>
    </dxf>
    <dxf>
      <font>
        <color theme="0" tint="-0.24994659260841701"/>
      </font>
    </dxf>
    <dxf>
      <font>
        <color rgb="FF006600"/>
      </font>
      <fill>
        <patternFill>
          <bgColor theme="6" tint="0.59996337778862885"/>
        </patternFill>
      </fill>
    </dxf>
    <dxf>
      <font>
        <color theme="5" tint="-0.24994659260841701"/>
      </font>
      <fill>
        <patternFill>
          <bgColor theme="5" tint="0.79998168889431442"/>
        </patternFill>
      </fill>
    </dxf>
    <dxf>
      <font>
        <color rgb="FF006600"/>
      </font>
      <fill>
        <patternFill>
          <bgColor theme="6" tint="0.59996337778862885"/>
        </patternFill>
      </fill>
    </dxf>
    <dxf>
      <font>
        <color theme="5" tint="-0.24994659260841701"/>
      </font>
      <fill>
        <patternFill>
          <bgColor theme="5" tint="0.79998168889431442"/>
        </patternFill>
      </fill>
    </dxf>
    <dxf>
      <font>
        <color theme="0" tint="-0.14996795556505021"/>
      </font>
    </dxf>
    <dxf>
      <font>
        <color rgb="FF006600"/>
      </font>
      <fill>
        <patternFill>
          <bgColor theme="6" tint="0.59996337778862885"/>
        </patternFill>
      </fill>
    </dxf>
    <dxf>
      <font>
        <color rgb="FF006600"/>
      </font>
      <fill>
        <patternFill>
          <bgColor theme="6" tint="0.59996337778862885"/>
        </patternFill>
      </fill>
    </dxf>
    <dxf>
      <font>
        <color theme="0" tint="-0.14996795556505021"/>
      </font>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theme="7" tint="0.39991454817346722"/>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theme="7" tint="0.39991454817346722"/>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FFC000"/>
      </font>
    </dxf>
    <dxf>
      <font>
        <color rgb="FFFFC000"/>
      </font>
    </dxf>
    <dxf>
      <font>
        <color rgb="FFFFC00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theme="7" tint="0.39991454817346722"/>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7" tint="0.59996337778862885"/>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theme="0"/>
      </font>
      <fill>
        <patternFill>
          <bgColor rgb="FFFF0000"/>
        </patternFill>
      </fill>
    </dxf>
    <dxf>
      <fill>
        <patternFill>
          <bgColor theme="7" tint="0.59996337778862885"/>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theme="0"/>
      </font>
      <fill>
        <patternFill>
          <bgColor rgb="FFFF0000"/>
        </patternFill>
      </fill>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ill>
        <patternFill>
          <bgColor theme="7" tint="0.59996337778862885"/>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7"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color theme="0"/>
      </font>
      <fill>
        <patternFill>
          <bgColor rgb="FF00B05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ill>
        <patternFill>
          <bgColor theme="7" tint="0.59996337778862885"/>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rgb="FF00B050"/>
      </font>
      <fill>
        <patternFill>
          <bgColor rgb="FF00B050"/>
        </patternFill>
      </fill>
    </dxf>
    <dxf>
      <font>
        <color theme="9"/>
      </font>
      <fill>
        <patternFill>
          <bgColor theme="9"/>
        </patternFill>
      </fill>
    </dxf>
    <dxf>
      <font>
        <color rgb="FF00B0F0"/>
      </font>
      <fill>
        <patternFill>
          <bgColor rgb="FF00B0F0"/>
        </patternFill>
      </fill>
    </dxf>
    <dxf>
      <font>
        <b/>
        <i val="0"/>
        <color rgb="FF0070C0"/>
      </font>
    </dxf>
    <dxf>
      <font>
        <b/>
        <i val="0"/>
        <color rgb="FF00B050"/>
      </font>
    </dxf>
    <dxf>
      <font>
        <color rgb="FF00B050"/>
      </font>
      <fill>
        <patternFill>
          <bgColor rgb="FF00B050"/>
        </patternFill>
      </fill>
    </dxf>
    <dxf>
      <font>
        <color theme="9"/>
      </font>
      <fill>
        <patternFill>
          <bgColor theme="9"/>
        </patternFill>
      </fill>
    </dxf>
    <dxf>
      <font>
        <color rgb="FF00B0F0"/>
      </font>
      <fill>
        <patternFill>
          <bgColor rgb="FF00B0F0"/>
        </patternFill>
      </fill>
    </dxf>
    <dxf>
      <font>
        <color theme="0"/>
      </font>
      <fill>
        <patternFill>
          <bgColor rgb="FFFF0000"/>
        </patternFill>
      </fill>
    </dxf>
    <dxf>
      <font>
        <color theme="0"/>
      </font>
      <fill>
        <patternFill>
          <bgColor rgb="FFFF0000"/>
        </patternFill>
      </fill>
    </dxf>
    <dxf>
      <fill>
        <patternFill>
          <bgColor rgb="FFFFFFCC"/>
        </patternFill>
      </fill>
    </dxf>
    <dxf>
      <font>
        <color theme="0"/>
      </font>
      <fill>
        <patternFill>
          <bgColor rgb="FFFF0000"/>
        </patternFill>
      </fill>
    </dxf>
    <dxf>
      <font>
        <color theme="0"/>
      </font>
      <fill>
        <patternFill>
          <bgColor rgb="FFC00000"/>
        </patternFill>
      </fill>
    </dxf>
    <dxf>
      <fill>
        <patternFill>
          <bgColor rgb="FFFFFFCC"/>
        </patternFill>
      </fill>
    </dxf>
    <dxf>
      <font>
        <color theme="0"/>
      </font>
      <fill>
        <patternFill>
          <bgColor rgb="FFFF0000"/>
        </patternFill>
      </fill>
    </dxf>
    <dxf>
      <font>
        <color theme="0"/>
      </font>
      <fill>
        <patternFill>
          <bgColor rgb="FFC00000"/>
        </patternFill>
      </fill>
    </dxf>
    <dxf>
      <fill>
        <patternFill>
          <bgColor rgb="FFFFFFCC"/>
        </patternFill>
      </fill>
    </dxf>
    <dxf>
      <font>
        <color theme="0"/>
      </font>
      <fill>
        <patternFill>
          <bgColor rgb="FFFF0000"/>
        </patternFill>
      </fill>
    </dxf>
    <dxf>
      <font>
        <color theme="0"/>
      </font>
      <fill>
        <patternFill>
          <bgColor rgb="FFC00000"/>
        </patternFill>
      </fill>
    </dxf>
    <dxf>
      <fill>
        <patternFill>
          <bgColor rgb="FFFFFFCC"/>
        </patternFill>
      </fill>
    </dxf>
    <dxf>
      <font>
        <color theme="0"/>
      </font>
      <fill>
        <patternFill>
          <bgColor rgb="FFFF0000"/>
        </patternFill>
      </fill>
    </dxf>
    <dxf>
      <font>
        <color theme="0"/>
      </font>
      <fill>
        <patternFill>
          <bgColor rgb="FFC00000"/>
        </patternFill>
      </fill>
    </dxf>
    <dxf>
      <font>
        <color rgb="FF00B050"/>
      </font>
      <fill>
        <patternFill>
          <bgColor rgb="FF00B050"/>
        </patternFill>
      </fill>
    </dxf>
    <dxf>
      <font>
        <color theme="0" tint="-0.24994659260841701"/>
      </font>
      <fill>
        <patternFill>
          <bgColor theme="0" tint="-0.24994659260841701"/>
        </patternFill>
      </fill>
    </dxf>
    <dxf>
      <font>
        <color theme="0" tint="-0.34998626667073579"/>
      </font>
      <fill>
        <patternFill>
          <bgColor theme="0" tint="-0.24994659260841701"/>
        </patternFill>
      </fill>
    </dxf>
    <dxf>
      <font>
        <color theme="0"/>
      </font>
      <fill>
        <patternFill>
          <bgColor rgb="FF00B050"/>
        </patternFill>
      </fill>
    </dxf>
    <dxf>
      <font>
        <color theme="0"/>
      </font>
      <fill>
        <patternFill>
          <bgColor rgb="FFC00000"/>
        </patternFill>
      </fill>
    </dxf>
    <dxf>
      <font>
        <color theme="0"/>
      </font>
      <fill>
        <patternFill>
          <bgColor rgb="FFFF0000"/>
        </patternFill>
      </fill>
    </dxf>
    <dxf>
      <font>
        <color theme="0"/>
      </font>
      <fill>
        <patternFill>
          <bgColor rgb="FF00B050"/>
        </patternFill>
      </fill>
    </dxf>
    <dxf>
      <font>
        <b/>
        <i val="0"/>
        <color theme="0"/>
      </font>
      <fill>
        <patternFill>
          <bgColor rgb="FF0066FF"/>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theme="7"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i val="0"/>
        <color rgb="FF0070C0"/>
      </font>
    </dxf>
    <dxf>
      <font>
        <b/>
        <i val="0"/>
        <color rgb="FF00B050"/>
      </font>
    </dxf>
    <dxf>
      <font>
        <b val="0"/>
        <i val="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rgb="FFFFC000"/>
      </font>
    </dxf>
    <dxf>
      <font>
        <color theme="5" tint="0.39994506668294322"/>
      </font>
    </dxf>
    <dxf>
      <font>
        <color theme="5" tint="0.39994506668294322"/>
      </font>
    </dxf>
    <dxf>
      <font>
        <color theme="5" tint="0.39994506668294322"/>
      </font>
    </dxf>
    <dxf>
      <font>
        <color theme="5" tint="0.39994506668294322"/>
      </font>
    </dxf>
    <dxf>
      <font>
        <color theme="5" tint="0.39994506668294322"/>
      </font>
    </dxf>
    <dxf>
      <font>
        <color theme="5" tint="0.39994506668294322"/>
      </font>
    </dxf>
    <dxf>
      <font>
        <color theme="5" tint="0.39994506668294322"/>
      </font>
    </dxf>
    <dxf>
      <font>
        <color theme="5" tint="0.39994506668294322"/>
      </font>
    </dxf>
    <dxf>
      <font>
        <color theme="5" tint="0.39994506668294322"/>
      </font>
    </dxf>
    <dxf>
      <font>
        <color theme="5" tint="0.399945066682943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b/>
        <i val="0"/>
        <color theme="7" tint="0.39991454817346722"/>
      </font>
    </dxf>
    <dxf>
      <font>
        <color rgb="FF008000"/>
      </font>
      <fill>
        <patternFill>
          <bgColor theme="0"/>
        </patternFill>
      </fill>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color theme="3" tint="0.59996337778862885"/>
      </font>
    </dxf>
    <dxf>
      <font>
        <b/>
        <i val="0"/>
        <color rgb="FF00B050"/>
      </font>
      <fill>
        <patternFill>
          <bgColor theme="0"/>
        </patternFill>
      </fill>
      <border>
        <left style="thin">
          <color auto="1"/>
        </left>
        <right style="thin">
          <color auto="1"/>
        </right>
        <top style="thin">
          <color auto="1"/>
        </top>
        <bottom style="thin">
          <color auto="1"/>
        </bottom>
        <vertical/>
        <horizontal/>
      </border>
    </dxf>
    <dxf>
      <font>
        <color rgb="FFC00000"/>
      </font>
      <fill>
        <patternFill>
          <bgColor theme="5" tint="0.59996337778862885"/>
        </patternFill>
      </fill>
    </dxf>
  </dxfs>
  <tableStyles count="0" defaultTableStyle="TableStyleMedium9" defaultPivotStyle="PivotStyleLight16"/>
  <colors>
    <mruColors>
      <color rgb="FFFFFFCC"/>
      <color rgb="FF0066FF"/>
      <color rgb="FFCC0099"/>
      <color rgb="FFFFFF99"/>
      <color rgb="FF006600"/>
      <color rgb="FFCC00CC"/>
      <color rgb="FF008000"/>
      <color rgb="FFCC3399"/>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uneviedifferente.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uneviedifferente.com/"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https://vimeo.com/1039779774/42f2f75808" TargetMode="External"/><Relationship Id="rId18" Type="http://schemas.openxmlformats.org/officeDocument/2006/relationships/image" Target="../media/image10.png"/><Relationship Id="rId26" Type="http://schemas.openxmlformats.org/officeDocument/2006/relationships/image" Target="../media/image14.png"/><Relationship Id="rId3" Type="http://schemas.openxmlformats.org/officeDocument/2006/relationships/hyperlink" Target="https://vimeo.com/1039779980/1babfb8dbf" TargetMode="External"/><Relationship Id="rId21" Type="http://schemas.openxmlformats.org/officeDocument/2006/relationships/hyperlink" Target="https://vimeo.com/1039780335/9bdf9a89a3" TargetMode="External"/><Relationship Id="rId7" Type="http://schemas.openxmlformats.org/officeDocument/2006/relationships/hyperlink" Target="https://vimeo.com/1039780927/cd1abd6f63" TargetMode="External"/><Relationship Id="rId12" Type="http://schemas.openxmlformats.org/officeDocument/2006/relationships/image" Target="../media/image7.png"/><Relationship Id="rId17" Type="http://schemas.openxmlformats.org/officeDocument/2006/relationships/hyperlink" Target="https://vimeo.com/1039781191/a491fcc432" TargetMode="External"/><Relationship Id="rId25" Type="http://schemas.openxmlformats.org/officeDocument/2006/relationships/hyperlink" Target="https://vimeo.com/1039780198/687a8ea667" TargetMode="External"/><Relationship Id="rId2" Type="http://schemas.openxmlformats.org/officeDocument/2006/relationships/image" Target="../media/image1.png"/><Relationship Id="rId16" Type="http://schemas.openxmlformats.org/officeDocument/2006/relationships/image" Target="../media/image9.png"/><Relationship Id="rId20" Type="http://schemas.openxmlformats.org/officeDocument/2006/relationships/image" Target="../media/image11.png"/><Relationship Id="rId1" Type="http://schemas.openxmlformats.org/officeDocument/2006/relationships/hyperlink" Target="https://uneviedifferente.com/" TargetMode="External"/><Relationship Id="rId6" Type="http://schemas.openxmlformats.org/officeDocument/2006/relationships/image" Target="../media/image4.png"/><Relationship Id="rId11" Type="http://schemas.openxmlformats.org/officeDocument/2006/relationships/hyperlink" Target="https://vimeo.com/1039780777/614d489d73" TargetMode="External"/><Relationship Id="rId24" Type="http://schemas.openxmlformats.org/officeDocument/2006/relationships/image" Target="../media/image13.png"/><Relationship Id="rId5" Type="http://schemas.openxmlformats.org/officeDocument/2006/relationships/hyperlink" Target="https://vimeo.com/1039780455/9f32861405" TargetMode="External"/><Relationship Id="rId15" Type="http://schemas.openxmlformats.org/officeDocument/2006/relationships/hyperlink" Target="https://vimeo.com/1039781341/92e707a1e9" TargetMode="External"/><Relationship Id="rId23" Type="http://schemas.openxmlformats.org/officeDocument/2006/relationships/hyperlink" Target="https://vimeo.com/1039780628/b70767a550" TargetMode="External"/><Relationship Id="rId10" Type="http://schemas.openxmlformats.org/officeDocument/2006/relationships/image" Target="../media/image6.png"/><Relationship Id="rId19" Type="http://schemas.openxmlformats.org/officeDocument/2006/relationships/hyperlink" Target="https://vimeo.com/1039780103/d1a26c0057" TargetMode="External"/><Relationship Id="rId4" Type="http://schemas.openxmlformats.org/officeDocument/2006/relationships/image" Target="../media/image3.png"/><Relationship Id="rId9" Type="http://schemas.openxmlformats.org/officeDocument/2006/relationships/hyperlink" Target="https://vimeo.com/1039779596/de84340858" TargetMode="External"/><Relationship Id="rId14" Type="http://schemas.openxmlformats.org/officeDocument/2006/relationships/image" Target="../media/image8.png"/><Relationship Id="rId22"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uneviedifferente.com/" TargetMode="External"/></Relationships>
</file>

<file path=xl/drawings/_rels/drawing11.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19.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21.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_rels/drawing22.xml.rels><?xml version="1.0" encoding="UTF-8" standalone="yes"?>
<Relationships xmlns="http://schemas.openxmlformats.org/package/2006/relationships"><Relationship Id="rId3" Type="http://schemas.openxmlformats.org/officeDocument/2006/relationships/hyperlink" Target="https://www.uneviedifferente.com/" TargetMode="External"/><Relationship Id="rId2" Type="http://schemas.openxmlformats.org/officeDocument/2006/relationships/image" Target="../media/image15.png"/><Relationship Id="rId1" Type="http://schemas.openxmlformats.org/officeDocument/2006/relationships/hyperlink" Target="http://www.budget-gold.com/" TargetMode="Externa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615950</xdr:colOff>
      <xdr:row>2</xdr:row>
      <xdr:rowOff>55208</xdr:rowOff>
    </xdr:from>
    <xdr:to>
      <xdr:col>7</xdr:col>
      <xdr:colOff>12700</xdr:colOff>
      <xdr:row>8</xdr:row>
      <xdr:rowOff>40185</xdr:rowOff>
    </xdr:to>
    <xdr:pic>
      <xdr:nvPicPr>
        <xdr:cNvPr id="3" name="Image 2">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171950" y="55208"/>
          <a:ext cx="2895600" cy="937477"/>
        </a:xfrm>
        <a:prstGeom prst="rect">
          <a:avLst/>
        </a:prstGeom>
      </xdr:spPr>
    </xdr:pic>
    <xdr:clientData/>
  </xdr:twoCellAnchor>
  <xdr:twoCellAnchor editAs="oneCell">
    <xdr:from>
      <xdr:col>1</xdr:col>
      <xdr:colOff>101600</xdr:colOff>
      <xdr:row>0</xdr:row>
      <xdr:rowOff>76200</xdr:rowOff>
    </xdr:from>
    <xdr:to>
      <xdr:col>5</xdr:col>
      <xdr:colOff>632932</xdr:colOff>
      <xdr:row>0</xdr:row>
      <xdr:rowOff>787381</xdr:rowOff>
    </xdr:to>
    <xdr:pic>
      <xdr:nvPicPr>
        <xdr:cNvPr id="5" name="Image 4" descr="https://kajabi-storefronts-production.kajabi-cdn.com/kajabi-storefronts-production/file-uploads/themes/2155488713/settings_images/13cce14-db78-a2af-ea48-c13db3f114e_logo_HD.png">
          <a:hlinkClick xmlns:r="http://schemas.openxmlformats.org/officeDocument/2006/relationships" r:id="rId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6600" y="76200"/>
          <a:ext cx="3452332" cy="711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46182</xdr:colOff>
      <xdr:row>9</xdr:row>
      <xdr:rowOff>7240</xdr:rowOff>
    </xdr:from>
    <xdr:to>
      <xdr:col>1</xdr:col>
      <xdr:colOff>2170546</xdr:colOff>
      <xdr:row>13</xdr:row>
      <xdr:rowOff>48477</xdr:rowOff>
    </xdr:to>
    <xdr:pic>
      <xdr:nvPicPr>
        <xdr:cNvPr id="3" name="Image 2">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42818" y="1433104"/>
          <a:ext cx="2124364" cy="6877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286505</xdr:colOff>
      <xdr:row>268</xdr:row>
      <xdr:rowOff>22949</xdr:rowOff>
    </xdr:from>
    <xdr:to>
      <xdr:col>5</xdr:col>
      <xdr:colOff>2626934</xdr:colOff>
      <xdr:row>272</xdr:row>
      <xdr:rowOff>119227</xdr:rowOff>
    </xdr:to>
    <xdr:pic>
      <xdr:nvPicPr>
        <xdr:cNvPr id="2" name="Image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1736422" y="39625782"/>
          <a:ext cx="2340429" cy="757735"/>
        </a:xfrm>
        <a:prstGeom prst="rect">
          <a:avLst/>
        </a:prstGeom>
      </xdr:spPr>
    </xdr:pic>
    <xdr:clientData/>
  </xdr:twoCellAnchor>
  <xdr:twoCellAnchor editAs="oneCell">
    <xdr:from>
      <xdr:col>14</xdr:col>
      <xdr:colOff>37042</xdr:colOff>
      <xdr:row>1</xdr:row>
      <xdr:rowOff>63500</xdr:rowOff>
    </xdr:from>
    <xdr:to>
      <xdr:col>18</xdr:col>
      <xdr:colOff>377221</xdr:colOff>
      <xdr:row>5</xdr:row>
      <xdr:rowOff>80402</xdr:rowOff>
    </xdr:to>
    <xdr:pic>
      <xdr:nvPicPr>
        <xdr:cNvPr id="21" name="Image 20">
          <a:hlinkClick xmlns:r="http://schemas.openxmlformats.org/officeDocument/2006/relationships" r:id="rId1"/>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2"/>
        <a:stretch>
          <a:fillRect/>
        </a:stretch>
      </xdr:blipFill>
      <xdr:spPr>
        <a:xfrm>
          <a:off x="8789459" y="132292"/>
          <a:ext cx="2340429" cy="757735"/>
        </a:xfrm>
        <a:prstGeom prst="rect">
          <a:avLst/>
        </a:prstGeom>
      </xdr:spPr>
    </xdr:pic>
    <xdr:clientData/>
  </xdr:twoCellAnchor>
  <xdr:twoCellAnchor editAs="oneCell">
    <xdr:from>
      <xdr:col>32</xdr:col>
      <xdr:colOff>248707</xdr:colOff>
      <xdr:row>1</xdr:row>
      <xdr:rowOff>58208</xdr:rowOff>
    </xdr:from>
    <xdr:to>
      <xdr:col>36</xdr:col>
      <xdr:colOff>588886</xdr:colOff>
      <xdr:row>5</xdr:row>
      <xdr:rowOff>75110</xdr:rowOff>
    </xdr:to>
    <xdr:pic>
      <xdr:nvPicPr>
        <xdr:cNvPr id="26" name="Image 25">
          <a:hlinkClick xmlns:r="http://schemas.openxmlformats.org/officeDocument/2006/relationships" r:id="rId1"/>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a:stretch>
          <a:fillRect/>
        </a:stretch>
      </xdr:blipFill>
      <xdr:spPr>
        <a:xfrm>
          <a:off x="18081624" y="127000"/>
          <a:ext cx="2340429" cy="757735"/>
        </a:xfrm>
        <a:prstGeom prst="rect">
          <a:avLst/>
        </a:prstGeom>
      </xdr:spPr>
    </xdr:pic>
    <xdr:clientData/>
  </xdr:twoCellAnchor>
  <xdr:twoCellAnchor editAs="oneCell">
    <xdr:from>
      <xdr:col>52</xdr:col>
      <xdr:colOff>846667</xdr:colOff>
      <xdr:row>1</xdr:row>
      <xdr:rowOff>68792</xdr:rowOff>
    </xdr:from>
    <xdr:to>
      <xdr:col>55</xdr:col>
      <xdr:colOff>854433</xdr:colOff>
      <xdr:row>5</xdr:row>
      <xdr:rowOff>85694</xdr:rowOff>
    </xdr:to>
    <xdr:pic>
      <xdr:nvPicPr>
        <xdr:cNvPr id="27" name="Image 26">
          <a:hlinkClick xmlns:r="http://schemas.openxmlformats.org/officeDocument/2006/relationships" r:id="rId1"/>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
        <a:stretch>
          <a:fillRect/>
        </a:stretch>
      </xdr:blipFill>
      <xdr:spPr>
        <a:xfrm>
          <a:off x="30972125" y="137584"/>
          <a:ext cx="2340429" cy="757735"/>
        </a:xfrm>
        <a:prstGeom prst="rect">
          <a:avLst/>
        </a:prstGeom>
      </xdr:spPr>
    </xdr:pic>
    <xdr:clientData/>
  </xdr:twoCellAnchor>
  <xdr:twoCellAnchor editAs="oneCell">
    <xdr:from>
      <xdr:col>1</xdr:col>
      <xdr:colOff>5291</xdr:colOff>
      <xdr:row>219</xdr:row>
      <xdr:rowOff>77889</xdr:rowOff>
    </xdr:from>
    <xdr:to>
      <xdr:col>5</xdr:col>
      <xdr:colOff>281419</xdr:colOff>
      <xdr:row>222</xdr:row>
      <xdr:rowOff>103157</xdr:rowOff>
    </xdr:to>
    <xdr:pic>
      <xdr:nvPicPr>
        <xdr:cNvPr id="30" name="Image 29">
          <a:hlinkClick xmlns:r="http://schemas.openxmlformats.org/officeDocument/2006/relationships" r:id="rId1"/>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a:stretch>
          <a:fillRect/>
        </a:stretch>
      </xdr:blipFill>
      <xdr:spPr>
        <a:xfrm>
          <a:off x="248708" y="31632097"/>
          <a:ext cx="1598083" cy="517393"/>
        </a:xfrm>
        <a:prstGeom prst="rect">
          <a:avLst/>
        </a:prstGeom>
      </xdr:spPr>
    </xdr:pic>
    <xdr:clientData/>
  </xdr:twoCellAnchor>
  <xdr:twoCellAnchor editAs="oneCell">
    <xdr:from>
      <xdr:col>1</xdr:col>
      <xdr:colOff>0</xdr:colOff>
      <xdr:row>153</xdr:row>
      <xdr:rowOff>68792</xdr:rowOff>
    </xdr:from>
    <xdr:to>
      <xdr:col>5</xdr:col>
      <xdr:colOff>276128</xdr:colOff>
      <xdr:row>155</xdr:row>
      <xdr:rowOff>258103</xdr:rowOff>
    </xdr:to>
    <xdr:pic>
      <xdr:nvPicPr>
        <xdr:cNvPr id="32" name="Image 31">
          <a:hlinkClick xmlns:r="http://schemas.openxmlformats.org/officeDocument/2006/relationships" r:id="rId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2"/>
        <a:stretch>
          <a:fillRect/>
        </a:stretch>
      </xdr:blipFill>
      <xdr:spPr>
        <a:xfrm>
          <a:off x="243417" y="22690667"/>
          <a:ext cx="1598083" cy="517393"/>
        </a:xfrm>
        <a:prstGeom prst="rect">
          <a:avLst/>
        </a:prstGeom>
      </xdr:spPr>
    </xdr:pic>
    <xdr:clientData/>
  </xdr:twoCellAnchor>
  <xdr:twoCellAnchor editAs="oneCell">
    <xdr:from>
      <xdr:col>1</xdr:col>
      <xdr:colOff>15875</xdr:colOff>
      <xdr:row>125</xdr:row>
      <xdr:rowOff>111124</xdr:rowOff>
    </xdr:from>
    <xdr:to>
      <xdr:col>5</xdr:col>
      <xdr:colOff>292003</xdr:colOff>
      <xdr:row>128</xdr:row>
      <xdr:rowOff>136391</xdr:rowOff>
    </xdr:to>
    <xdr:pic>
      <xdr:nvPicPr>
        <xdr:cNvPr id="33" name="Image 32">
          <a:hlinkClick xmlns:r="http://schemas.openxmlformats.org/officeDocument/2006/relationships" r:id="rId1"/>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2"/>
        <a:stretch>
          <a:fillRect/>
        </a:stretch>
      </xdr:blipFill>
      <xdr:spPr>
        <a:xfrm>
          <a:off x="259292" y="18198041"/>
          <a:ext cx="1598083" cy="517393"/>
        </a:xfrm>
        <a:prstGeom prst="rect">
          <a:avLst/>
        </a:prstGeom>
      </xdr:spPr>
    </xdr:pic>
    <xdr:clientData/>
  </xdr:twoCellAnchor>
  <xdr:twoCellAnchor editAs="oneCell">
    <xdr:from>
      <xdr:col>1</xdr:col>
      <xdr:colOff>15875</xdr:colOff>
      <xdr:row>27</xdr:row>
      <xdr:rowOff>68791</xdr:rowOff>
    </xdr:from>
    <xdr:to>
      <xdr:col>5</xdr:col>
      <xdr:colOff>292003</xdr:colOff>
      <xdr:row>31</xdr:row>
      <xdr:rowOff>9393</xdr:rowOff>
    </xdr:to>
    <xdr:pic>
      <xdr:nvPicPr>
        <xdr:cNvPr id="34" name="Image 33">
          <a:hlinkClick xmlns:r="http://schemas.openxmlformats.org/officeDocument/2006/relationships" r:id="rId1"/>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2"/>
        <a:stretch>
          <a:fillRect/>
        </a:stretch>
      </xdr:blipFill>
      <xdr:spPr>
        <a:xfrm>
          <a:off x="259292" y="4503208"/>
          <a:ext cx="1598083" cy="517393"/>
        </a:xfrm>
        <a:prstGeom prst="rect">
          <a:avLst/>
        </a:prstGeom>
      </xdr:spPr>
    </xdr:pic>
    <xdr:clientData/>
  </xdr:twoCellAnchor>
  <xdr:twoCellAnchor editAs="absolute">
    <xdr:from>
      <xdr:col>5</xdr:col>
      <xdr:colOff>860135</xdr:colOff>
      <xdr:row>7</xdr:row>
      <xdr:rowOff>46182</xdr:rowOff>
    </xdr:from>
    <xdr:to>
      <xdr:col>5</xdr:col>
      <xdr:colOff>1145268</xdr:colOff>
      <xdr:row>7</xdr:row>
      <xdr:rowOff>226182</xdr:rowOff>
    </xdr:to>
    <xdr:pic>
      <xdr:nvPicPr>
        <xdr:cNvPr id="22" name="Image 21">
          <a:hlinkClick xmlns:r="http://schemas.openxmlformats.org/officeDocument/2006/relationships" r:id="rId3" tooltip="VIDEO : Généralités sur les revenus"/>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4"/>
        <a:stretch>
          <a:fillRect/>
        </a:stretch>
      </xdr:blipFill>
      <xdr:spPr>
        <a:xfrm>
          <a:off x="2412999" y="1212273"/>
          <a:ext cx="285133" cy="180000"/>
        </a:xfrm>
        <a:prstGeom prst="rect">
          <a:avLst/>
        </a:prstGeom>
      </xdr:spPr>
    </xdr:pic>
    <xdr:clientData/>
  </xdr:twoCellAnchor>
  <xdr:twoCellAnchor editAs="absolute">
    <xdr:from>
      <xdr:col>5</xdr:col>
      <xdr:colOff>796636</xdr:colOff>
      <xdr:row>50</xdr:row>
      <xdr:rowOff>40409</xdr:rowOff>
    </xdr:from>
    <xdr:to>
      <xdr:col>5</xdr:col>
      <xdr:colOff>1081306</xdr:colOff>
      <xdr:row>51</xdr:row>
      <xdr:rowOff>53000</xdr:rowOff>
    </xdr:to>
    <xdr:pic>
      <xdr:nvPicPr>
        <xdr:cNvPr id="23" name="Image 22">
          <a:hlinkClick xmlns:r="http://schemas.openxmlformats.org/officeDocument/2006/relationships" r:id="rId5" tooltip="VIDEO : L'importance de l'épargne"/>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6"/>
        <a:stretch>
          <a:fillRect/>
        </a:stretch>
      </xdr:blipFill>
      <xdr:spPr>
        <a:xfrm>
          <a:off x="2349500" y="8445500"/>
          <a:ext cx="284670" cy="180000"/>
        </a:xfrm>
        <a:prstGeom prst="rect">
          <a:avLst/>
        </a:prstGeom>
      </xdr:spPr>
    </xdr:pic>
    <xdr:clientData/>
  </xdr:twoCellAnchor>
  <xdr:twoCellAnchor editAs="oneCell">
    <xdr:from>
      <xdr:col>4</xdr:col>
      <xdr:colOff>28864</xdr:colOff>
      <xdr:row>54</xdr:row>
      <xdr:rowOff>138545</xdr:rowOff>
    </xdr:from>
    <xdr:to>
      <xdr:col>4</xdr:col>
      <xdr:colOff>317499</xdr:colOff>
      <xdr:row>55</xdr:row>
      <xdr:rowOff>157807</xdr:rowOff>
    </xdr:to>
    <xdr:pic>
      <xdr:nvPicPr>
        <xdr:cNvPr id="24" name="Image 23">
          <a:hlinkClick xmlns:r="http://schemas.openxmlformats.org/officeDocument/2006/relationships" r:id="rId7" tooltip="VIDEO : Préparer votre retraite dès maintenant !"/>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8"/>
        <a:stretch>
          <a:fillRect/>
        </a:stretch>
      </xdr:blipFill>
      <xdr:spPr>
        <a:xfrm>
          <a:off x="1246909" y="9213272"/>
          <a:ext cx="288635" cy="180899"/>
        </a:xfrm>
        <a:prstGeom prst="rect">
          <a:avLst/>
        </a:prstGeom>
      </xdr:spPr>
    </xdr:pic>
    <xdr:clientData/>
  </xdr:twoCellAnchor>
  <xdr:twoCellAnchor editAs="oneCell">
    <xdr:from>
      <xdr:col>4</xdr:col>
      <xdr:colOff>34636</xdr:colOff>
      <xdr:row>57</xdr:row>
      <xdr:rowOff>138546</xdr:rowOff>
    </xdr:from>
    <xdr:to>
      <xdr:col>4</xdr:col>
      <xdr:colOff>317605</xdr:colOff>
      <xdr:row>58</xdr:row>
      <xdr:rowOff>156910</xdr:rowOff>
    </xdr:to>
    <xdr:pic>
      <xdr:nvPicPr>
        <xdr:cNvPr id="25" name="Image 24">
          <a:hlinkClick xmlns:r="http://schemas.openxmlformats.org/officeDocument/2006/relationships" r:id="rId9" tooltip="VIDEO : L’immobilier est incontournable"/>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0"/>
        <a:stretch>
          <a:fillRect/>
        </a:stretch>
      </xdr:blipFill>
      <xdr:spPr>
        <a:xfrm>
          <a:off x="1252681" y="9709728"/>
          <a:ext cx="282969" cy="180000"/>
        </a:xfrm>
        <a:prstGeom prst="rect">
          <a:avLst/>
        </a:prstGeom>
      </xdr:spPr>
    </xdr:pic>
    <xdr:clientData/>
  </xdr:twoCellAnchor>
  <xdr:twoCellAnchor editAs="oneCell">
    <xdr:from>
      <xdr:col>4</xdr:col>
      <xdr:colOff>40409</xdr:colOff>
      <xdr:row>60</xdr:row>
      <xdr:rowOff>138546</xdr:rowOff>
    </xdr:from>
    <xdr:to>
      <xdr:col>4</xdr:col>
      <xdr:colOff>323949</xdr:colOff>
      <xdr:row>61</xdr:row>
      <xdr:rowOff>156909</xdr:rowOff>
    </xdr:to>
    <xdr:pic>
      <xdr:nvPicPr>
        <xdr:cNvPr id="28" name="Image 27">
          <a:hlinkClick xmlns:r="http://schemas.openxmlformats.org/officeDocument/2006/relationships" r:id="rId11" tooltip="VIDEO : Se constituer un capital pour investir"/>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12"/>
        <a:stretch>
          <a:fillRect/>
        </a:stretch>
      </xdr:blipFill>
      <xdr:spPr>
        <a:xfrm>
          <a:off x="1258454" y="10206182"/>
          <a:ext cx="283540" cy="180000"/>
        </a:xfrm>
        <a:prstGeom prst="rect">
          <a:avLst/>
        </a:prstGeom>
      </xdr:spPr>
    </xdr:pic>
    <xdr:clientData/>
  </xdr:twoCellAnchor>
  <xdr:twoCellAnchor editAs="oneCell">
    <xdr:from>
      <xdr:col>4</xdr:col>
      <xdr:colOff>46182</xdr:colOff>
      <xdr:row>63</xdr:row>
      <xdr:rowOff>138545</xdr:rowOff>
    </xdr:from>
    <xdr:to>
      <xdr:col>4</xdr:col>
      <xdr:colOff>332111</xdr:colOff>
      <xdr:row>64</xdr:row>
      <xdr:rowOff>156909</xdr:rowOff>
    </xdr:to>
    <xdr:pic>
      <xdr:nvPicPr>
        <xdr:cNvPr id="29" name="Image 28">
          <a:hlinkClick xmlns:r="http://schemas.openxmlformats.org/officeDocument/2006/relationships" r:id="rId13" tooltip="VIDEO : Bien préparer les études supérieures de vos enfants"/>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4"/>
        <a:stretch>
          <a:fillRect/>
        </a:stretch>
      </xdr:blipFill>
      <xdr:spPr>
        <a:xfrm>
          <a:off x="1264227" y="10702636"/>
          <a:ext cx="285929" cy="180000"/>
        </a:xfrm>
        <a:prstGeom prst="rect">
          <a:avLst/>
        </a:prstGeom>
      </xdr:spPr>
    </xdr:pic>
    <xdr:clientData/>
  </xdr:twoCellAnchor>
  <xdr:twoCellAnchor editAs="oneCell">
    <xdr:from>
      <xdr:col>4</xdr:col>
      <xdr:colOff>40409</xdr:colOff>
      <xdr:row>66</xdr:row>
      <xdr:rowOff>138546</xdr:rowOff>
    </xdr:from>
    <xdr:to>
      <xdr:col>4</xdr:col>
      <xdr:colOff>327763</xdr:colOff>
      <xdr:row>67</xdr:row>
      <xdr:rowOff>156909</xdr:rowOff>
    </xdr:to>
    <xdr:pic>
      <xdr:nvPicPr>
        <xdr:cNvPr id="31" name="Image 30">
          <a:hlinkClick xmlns:r="http://schemas.openxmlformats.org/officeDocument/2006/relationships" r:id="rId15" tooltip="VIDEO : Le budget d’une naissance"/>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6"/>
        <a:stretch>
          <a:fillRect/>
        </a:stretch>
      </xdr:blipFill>
      <xdr:spPr>
        <a:xfrm>
          <a:off x="1258454" y="11199091"/>
          <a:ext cx="287354" cy="180000"/>
        </a:xfrm>
        <a:prstGeom prst="rect">
          <a:avLst/>
        </a:prstGeom>
      </xdr:spPr>
    </xdr:pic>
    <xdr:clientData/>
  </xdr:twoCellAnchor>
  <xdr:twoCellAnchor editAs="oneCell">
    <xdr:from>
      <xdr:col>4</xdr:col>
      <xdr:colOff>34637</xdr:colOff>
      <xdr:row>69</xdr:row>
      <xdr:rowOff>138545</xdr:rowOff>
    </xdr:from>
    <xdr:to>
      <xdr:col>4</xdr:col>
      <xdr:colOff>323923</xdr:colOff>
      <xdr:row>70</xdr:row>
      <xdr:rowOff>156909</xdr:rowOff>
    </xdr:to>
    <xdr:pic>
      <xdr:nvPicPr>
        <xdr:cNvPr id="35" name="Image 34">
          <a:hlinkClick xmlns:r="http://schemas.openxmlformats.org/officeDocument/2006/relationships" r:id="rId17" tooltip="VIDEO : Gérer vos imprévus"/>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18"/>
        <a:stretch>
          <a:fillRect/>
        </a:stretch>
      </xdr:blipFill>
      <xdr:spPr>
        <a:xfrm>
          <a:off x="1252682" y="11695545"/>
          <a:ext cx="289286" cy="180000"/>
        </a:xfrm>
        <a:prstGeom prst="rect">
          <a:avLst/>
        </a:prstGeom>
      </xdr:spPr>
    </xdr:pic>
    <xdr:clientData/>
  </xdr:twoCellAnchor>
  <xdr:twoCellAnchor editAs="oneCell">
    <xdr:from>
      <xdr:col>4</xdr:col>
      <xdr:colOff>40409</xdr:colOff>
      <xdr:row>72</xdr:row>
      <xdr:rowOff>144318</xdr:rowOff>
    </xdr:from>
    <xdr:to>
      <xdr:col>4</xdr:col>
      <xdr:colOff>330992</xdr:colOff>
      <xdr:row>73</xdr:row>
      <xdr:rowOff>162682</xdr:rowOff>
    </xdr:to>
    <xdr:pic>
      <xdr:nvPicPr>
        <xdr:cNvPr id="36" name="Image 35">
          <a:hlinkClick xmlns:r="http://schemas.openxmlformats.org/officeDocument/2006/relationships" r:id="rId19" tooltip="VIDEO : Vous êtes votre meilleur actif"/>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20"/>
        <a:stretch>
          <a:fillRect/>
        </a:stretch>
      </xdr:blipFill>
      <xdr:spPr>
        <a:xfrm>
          <a:off x="1258454" y="12197773"/>
          <a:ext cx="290583" cy="180000"/>
        </a:xfrm>
        <a:prstGeom prst="rect">
          <a:avLst/>
        </a:prstGeom>
      </xdr:spPr>
    </xdr:pic>
    <xdr:clientData/>
  </xdr:twoCellAnchor>
  <xdr:twoCellAnchor editAs="oneCell">
    <xdr:from>
      <xdr:col>4</xdr:col>
      <xdr:colOff>28863</xdr:colOff>
      <xdr:row>114</xdr:row>
      <xdr:rowOff>144318</xdr:rowOff>
    </xdr:from>
    <xdr:to>
      <xdr:col>4</xdr:col>
      <xdr:colOff>313863</xdr:colOff>
      <xdr:row>115</xdr:row>
      <xdr:rowOff>162681</xdr:rowOff>
    </xdr:to>
    <xdr:pic>
      <xdr:nvPicPr>
        <xdr:cNvPr id="37" name="Image 36">
          <a:hlinkClick xmlns:r="http://schemas.openxmlformats.org/officeDocument/2006/relationships" r:id="rId21" tooltip="VIDEO : Faites évoluer votre patrimoine"/>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22"/>
        <a:stretch>
          <a:fillRect/>
        </a:stretch>
      </xdr:blipFill>
      <xdr:spPr>
        <a:xfrm>
          <a:off x="1246908" y="19148136"/>
          <a:ext cx="285000" cy="180000"/>
        </a:xfrm>
        <a:prstGeom prst="rect">
          <a:avLst/>
        </a:prstGeom>
      </xdr:spPr>
    </xdr:pic>
    <xdr:clientData/>
  </xdr:twoCellAnchor>
  <xdr:twoCellAnchor editAs="oneCell">
    <xdr:from>
      <xdr:col>5</xdr:col>
      <xdr:colOff>548409</xdr:colOff>
      <xdr:row>156</xdr:row>
      <xdr:rowOff>28864</xdr:rowOff>
    </xdr:from>
    <xdr:to>
      <xdr:col>5</xdr:col>
      <xdr:colOff>835932</xdr:colOff>
      <xdr:row>157</xdr:row>
      <xdr:rowOff>41455</xdr:rowOff>
    </xdr:to>
    <xdr:pic>
      <xdr:nvPicPr>
        <xdr:cNvPr id="38" name="Image 37">
          <a:hlinkClick xmlns:r="http://schemas.openxmlformats.org/officeDocument/2006/relationships" r:id="rId23" tooltip="VIDEO : Bien gérer vos factures variables"/>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24"/>
        <a:stretch>
          <a:fillRect/>
        </a:stretch>
      </xdr:blipFill>
      <xdr:spPr>
        <a:xfrm>
          <a:off x="2101273" y="26300546"/>
          <a:ext cx="287523" cy="180000"/>
        </a:xfrm>
        <a:prstGeom prst="rect">
          <a:avLst/>
        </a:prstGeom>
      </xdr:spPr>
    </xdr:pic>
    <xdr:clientData/>
  </xdr:twoCellAnchor>
  <xdr:twoCellAnchor editAs="oneCell">
    <xdr:from>
      <xdr:col>3</xdr:col>
      <xdr:colOff>329048</xdr:colOff>
      <xdr:row>232</xdr:row>
      <xdr:rowOff>0</xdr:rowOff>
    </xdr:from>
    <xdr:to>
      <xdr:col>3</xdr:col>
      <xdr:colOff>612132</xdr:colOff>
      <xdr:row>233</xdr:row>
      <xdr:rowOff>12591</xdr:rowOff>
    </xdr:to>
    <xdr:pic>
      <xdr:nvPicPr>
        <xdr:cNvPr id="39" name="Image 38">
          <a:hlinkClick xmlns:r="http://schemas.openxmlformats.org/officeDocument/2006/relationships" r:id="rId25" tooltip="VIDEO : L’indispensable contrat de prévoyance"/>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26"/>
        <a:stretch>
          <a:fillRect/>
        </a:stretch>
      </xdr:blipFill>
      <xdr:spPr>
        <a:xfrm>
          <a:off x="744684" y="38885091"/>
          <a:ext cx="283084" cy="18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215900</xdr:colOff>
      <xdr:row>0</xdr:row>
      <xdr:rowOff>120650</xdr:rowOff>
    </xdr:from>
    <xdr:to>
      <xdr:col>9</xdr:col>
      <xdr:colOff>708479</xdr:colOff>
      <xdr:row>5</xdr:row>
      <xdr:rowOff>71935</xdr:rowOff>
    </xdr:to>
    <xdr:pic>
      <xdr:nvPicPr>
        <xdr:cNvPr id="5" name="Image 4">
          <a:hlinkClick xmlns:r="http://schemas.openxmlformats.org/officeDocument/2006/relationships" r:id="rId1"/>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4597400" y="120650"/>
          <a:ext cx="2340429" cy="7577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190500</xdr:colOff>
      <xdr:row>0</xdr:row>
      <xdr:rowOff>50800</xdr:rowOff>
    </xdr:from>
    <xdr:to>
      <xdr:col>4</xdr:col>
      <xdr:colOff>2530929</xdr:colOff>
      <xdr:row>3</xdr:row>
      <xdr:rowOff>160835</xdr:rowOff>
    </xdr:to>
    <xdr:pic>
      <xdr:nvPicPr>
        <xdr:cNvPr id="4" name="Image 3">
          <a:hlinkClick xmlns:r="http://schemas.openxmlformats.org/officeDocument/2006/relationships" r:id="rId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5302250" y="50800"/>
          <a:ext cx="2340429" cy="75773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508000</xdr:colOff>
      <xdr:row>1</xdr:row>
      <xdr:rowOff>19050</xdr:rowOff>
    </xdr:from>
    <xdr:to>
      <xdr:col>13</xdr:col>
      <xdr:colOff>556079</xdr:colOff>
      <xdr:row>4</xdr:row>
      <xdr:rowOff>40185</xdr:rowOff>
    </xdr:to>
    <xdr:pic>
      <xdr:nvPicPr>
        <xdr:cNvPr id="4" name="Image 3">
          <a:hlinkClick xmlns:r="http://schemas.openxmlformats.org/officeDocument/2006/relationships" r:id="rId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7258050" y="88900"/>
          <a:ext cx="2340429" cy="757735"/>
        </a:xfrm>
        <a:prstGeom prst="rect">
          <a:avLst/>
        </a:prstGeom>
      </xdr:spPr>
    </xdr:pic>
    <xdr:clientData/>
  </xdr:twoCellAnchor>
  <xdr:twoCellAnchor editAs="oneCell">
    <xdr:from>
      <xdr:col>24</xdr:col>
      <xdr:colOff>165100</xdr:colOff>
      <xdr:row>1</xdr:row>
      <xdr:rowOff>6350</xdr:rowOff>
    </xdr:from>
    <xdr:to>
      <xdr:col>26</xdr:col>
      <xdr:colOff>117929</xdr:colOff>
      <xdr:row>4</xdr:row>
      <xdr:rowOff>27485</xdr:rowOff>
    </xdr:to>
    <xdr:pic>
      <xdr:nvPicPr>
        <xdr:cNvPr id="5" name="Image 4">
          <a:hlinkClick xmlns:r="http://schemas.openxmlformats.org/officeDocument/2006/relationships" r:id="rId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tretch>
          <a:fillRect/>
        </a:stretch>
      </xdr:blipFill>
      <xdr:spPr>
        <a:xfrm>
          <a:off x="19558000" y="76200"/>
          <a:ext cx="2340429" cy="757735"/>
        </a:xfrm>
        <a:prstGeom prst="rect">
          <a:avLst/>
        </a:prstGeom>
      </xdr:spPr>
    </xdr:pic>
    <xdr:clientData/>
  </xdr:twoCellAnchor>
  <xdr:twoCellAnchor editAs="oneCell">
    <xdr:from>
      <xdr:col>38</xdr:col>
      <xdr:colOff>755650</xdr:colOff>
      <xdr:row>0</xdr:row>
      <xdr:rowOff>25400</xdr:rowOff>
    </xdr:from>
    <xdr:to>
      <xdr:col>40</xdr:col>
      <xdr:colOff>16329</xdr:colOff>
      <xdr:row>3</xdr:row>
      <xdr:rowOff>8435</xdr:rowOff>
    </xdr:to>
    <xdr:pic>
      <xdr:nvPicPr>
        <xdr:cNvPr id="6" name="Image 5">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34467800" y="25400"/>
          <a:ext cx="2340429" cy="7577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552450</xdr:colOff>
      <xdr:row>0</xdr:row>
      <xdr:rowOff>25400</xdr:rowOff>
    </xdr:from>
    <xdr:to>
      <xdr:col>5</xdr:col>
      <xdr:colOff>1337129</xdr:colOff>
      <xdr:row>4</xdr:row>
      <xdr:rowOff>148135</xdr:rowOff>
    </xdr:to>
    <xdr:pic>
      <xdr:nvPicPr>
        <xdr:cNvPr id="4" name="Image 3">
          <a:hlinkClick xmlns:r="http://schemas.openxmlformats.org/officeDocument/2006/relationships" r:id="rId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5765800" y="25400"/>
          <a:ext cx="2340429" cy="75773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393700</xdr:colOff>
      <xdr:row>1</xdr:row>
      <xdr:rowOff>171450</xdr:rowOff>
    </xdr:from>
    <xdr:to>
      <xdr:col>7</xdr:col>
      <xdr:colOff>886279</xdr:colOff>
      <xdr:row>5</xdr:row>
      <xdr:rowOff>40185</xdr:rowOff>
    </xdr:to>
    <xdr:pic>
      <xdr:nvPicPr>
        <xdr:cNvPr id="4" name="Image 3">
          <a:hlinkClick xmlns:r="http://schemas.openxmlformats.org/officeDocument/2006/relationships" r:id="rId1"/>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4508500" y="330200"/>
          <a:ext cx="2340429" cy="757735"/>
        </a:xfrm>
        <a:prstGeom prst="rect">
          <a:avLst/>
        </a:prstGeom>
      </xdr:spPr>
    </xdr:pic>
    <xdr:clientData/>
  </xdr:twoCellAnchor>
  <xdr:twoCellAnchor editAs="oneCell">
    <xdr:from>
      <xdr:col>27</xdr:col>
      <xdr:colOff>0</xdr:colOff>
      <xdr:row>1</xdr:row>
      <xdr:rowOff>184150</xdr:rowOff>
    </xdr:from>
    <xdr:to>
      <xdr:col>30</xdr:col>
      <xdr:colOff>492579</xdr:colOff>
      <xdr:row>5</xdr:row>
      <xdr:rowOff>52885</xdr:rowOff>
    </xdr:to>
    <xdr:pic>
      <xdr:nvPicPr>
        <xdr:cNvPr id="5" name="Image 4">
          <a:hlinkClick xmlns:r="http://schemas.openxmlformats.org/officeDocument/2006/relationships" r:id="rId1"/>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18446750" y="342900"/>
          <a:ext cx="2340429" cy="75773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444500</xdr:colOff>
      <xdr:row>1</xdr:row>
      <xdr:rowOff>184150</xdr:rowOff>
    </xdr:from>
    <xdr:to>
      <xdr:col>7</xdr:col>
      <xdr:colOff>822779</xdr:colOff>
      <xdr:row>5</xdr:row>
      <xdr:rowOff>52885</xdr:rowOff>
    </xdr:to>
    <xdr:pic>
      <xdr:nvPicPr>
        <xdr:cNvPr id="4" name="Image 3">
          <a:hlinkClick xmlns:r="http://schemas.openxmlformats.org/officeDocument/2006/relationships" r:id="rId1"/>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4559300" y="342900"/>
          <a:ext cx="2340429" cy="757735"/>
        </a:xfrm>
        <a:prstGeom prst="rect">
          <a:avLst/>
        </a:prstGeom>
      </xdr:spPr>
    </xdr:pic>
    <xdr:clientData/>
  </xdr:twoCellAnchor>
  <xdr:twoCellAnchor editAs="oneCell">
    <xdr:from>
      <xdr:col>27</xdr:col>
      <xdr:colOff>0</xdr:colOff>
      <xdr:row>1</xdr:row>
      <xdr:rowOff>196850</xdr:rowOff>
    </xdr:from>
    <xdr:to>
      <xdr:col>30</xdr:col>
      <xdr:colOff>378279</xdr:colOff>
      <xdr:row>5</xdr:row>
      <xdr:rowOff>65585</xdr:rowOff>
    </xdr:to>
    <xdr:pic>
      <xdr:nvPicPr>
        <xdr:cNvPr id="5" name="Image 4">
          <a:hlinkClick xmlns:r="http://schemas.openxmlformats.org/officeDocument/2006/relationships" r:id="rId1"/>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2"/>
        <a:stretch>
          <a:fillRect/>
        </a:stretch>
      </xdr:blipFill>
      <xdr:spPr>
        <a:xfrm>
          <a:off x="19018250" y="355600"/>
          <a:ext cx="2340429" cy="7577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476250</xdr:colOff>
      <xdr:row>1</xdr:row>
      <xdr:rowOff>177800</xdr:rowOff>
    </xdr:from>
    <xdr:to>
      <xdr:col>7</xdr:col>
      <xdr:colOff>854529</xdr:colOff>
      <xdr:row>5</xdr:row>
      <xdr:rowOff>46535</xdr:rowOff>
    </xdr:to>
    <xdr:pic>
      <xdr:nvPicPr>
        <xdr:cNvPr id="4" name="Image 3">
          <a:hlinkClick xmlns:r="http://schemas.openxmlformats.org/officeDocument/2006/relationships" r:id="rId1"/>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4591050" y="336550"/>
          <a:ext cx="2340429" cy="757735"/>
        </a:xfrm>
        <a:prstGeom prst="rect">
          <a:avLst/>
        </a:prstGeom>
      </xdr:spPr>
    </xdr:pic>
    <xdr:clientData/>
  </xdr:twoCellAnchor>
  <xdr:twoCellAnchor editAs="oneCell">
    <xdr:from>
      <xdr:col>27</xdr:col>
      <xdr:colOff>0</xdr:colOff>
      <xdr:row>1</xdr:row>
      <xdr:rowOff>177800</xdr:rowOff>
    </xdr:from>
    <xdr:to>
      <xdr:col>30</xdr:col>
      <xdr:colOff>378279</xdr:colOff>
      <xdr:row>5</xdr:row>
      <xdr:rowOff>46535</xdr:rowOff>
    </xdr:to>
    <xdr:pic>
      <xdr:nvPicPr>
        <xdr:cNvPr id="5" name="Image 4">
          <a:hlinkClick xmlns:r="http://schemas.openxmlformats.org/officeDocument/2006/relationships" r:id="rId1"/>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9018250" y="336550"/>
          <a:ext cx="2340429" cy="75773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844550</xdr:colOff>
      <xdr:row>0</xdr:row>
      <xdr:rowOff>88900</xdr:rowOff>
    </xdr:from>
    <xdr:to>
      <xdr:col>1</xdr:col>
      <xdr:colOff>3184979</xdr:colOff>
      <xdr:row>4</xdr:row>
      <xdr:rowOff>116385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4"/>
        <a:stretch>
          <a:fillRect/>
        </a:stretch>
      </xdr:blipFill>
      <xdr:spPr>
        <a:xfrm>
          <a:off x="2216150" y="88900"/>
          <a:ext cx="2340429" cy="75773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214312</xdr:colOff>
      <xdr:row>53</xdr:row>
      <xdr:rowOff>71438</xdr:rowOff>
    </xdr:from>
    <xdr:to>
      <xdr:col>1</xdr:col>
      <xdr:colOff>1572699</xdr:colOff>
      <xdr:row>55</xdr:row>
      <xdr:rowOff>84307</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7" y="6300788"/>
          <a:ext cx="1358387" cy="336719"/>
        </a:xfrm>
        <a:prstGeom prst="rect">
          <a:avLst/>
        </a:prstGeom>
        <a:noFill/>
        <a:ln w="1">
          <a:noFill/>
          <a:miter lim="800000"/>
          <a:headEnd/>
          <a:tailEnd type="none" w="med" len="med"/>
        </a:ln>
        <a:effectLst/>
      </xdr:spPr>
    </xdr:pic>
    <xdr:clientData/>
  </xdr:twoCellAnchor>
  <xdr:twoCellAnchor editAs="oneCell">
    <xdr:from>
      <xdr:col>1</xdr:col>
      <xdr:colOff>819150</xdr:colOff>
      <xdr:row>0</xdr:row>
      <xdr:rowOff>69850</xdr:rowOff>
    </xdr:from>
    <xdr:to>
      <xdr:col>1</xdr:col>
      <xdr:colOff>3159579</xdr:colOff>
      <xdr:row>4</xdr:row>
      <xdr:rowOff>97335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4"/>
        <a:stretch>
          <a:fillRect/>
        </a:stretch>
      </xdr:blipFill>
      <xdr:spPr>
        <a:xfrm>
          <a:off x="2190750" y="69850"/>
          <a:ext cx="2340429" cy="7577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214312</xdr:colOff>
      <xdr:row>53</xdr:row>
      <xdr:rowOff>100012</xdr:rowOff>
    </xdr:from>
    <xdr:to>
      <xdr:col>1</xdr:col>
      <xdr:colOff>1572699</xdr:colOff>
      <xdr:row>55</xdr:row>
      <xdr:rowOff>112881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7" y="6329362"/>
          <a:ext cx="1358387" cy="336719"/>
        </a:xfrm>
        <a:prstGeom prst="rect">
          <a:avLst/>
        </a:prstGeom>
        <a:noFill/>
        <a:ln w="1">
          <a:noFill/>
          <a:miter lim="800000"/>
          <a:headEnd/>
          <a:tailEnd type="none" w="med" len="med"/>
        </a:ln>
        <a:effectLst/>
      </xdr:spPr>
    </xdr:pic>
    <xdr:clientData/>
  </xdr:twoCellAnchor>
  <xdr:twoCellAnchor editAs="oneCell">
    <xdr:from>
      <xdr:col>1</xdr:col>
      <xdr:colOff>876300</xdr:colOff>
      <xdr:row>0</xdr:row>
      <xdr:rowOff>82550</xdr:rowOff>
    </xdr:from>
    <xdr:to>
      <xdr:col>1</xdr:col>
      <xdr:colOff>3216729</xdr:colOff>
      <xdr:row>4</xdr:row>
      <xdr:rowOff>110035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4"/>
        <a:stretch>
          <a:fillRect/>
        </a:stretch>
      </xdr:blipFill>
      <xdr:spPr>
        <a:xfrm>
          <a:off x="2247900" y="82550"/>
          <a:ext cx="2340429" cy="7577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223838</xdr:colOff>
      <xdr:row>53</xdr:row>
      <xdr:rowOff>90488</xdr:rowOff>
    </xdr:from>
    <xdr:to>
      <xdr:col>1</xdr:col>
      <xdr:colOff>1582225</xdr:colOff>
      <xdr:row>55</xdr:row>
      <xdr:rowOff>103357</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24013" y="6319838"/>
          <a:ext cx="1358387" cy="336719"/>
        </a:xfrm>
        <a:prstGeom prst="rect">
          <a:avLst/>
        </a:prstGeom>
        <a:noFill/>
        <a:ln w="1">
          <a:noFill/>
          <a:miter lim="800000"/>
          <a:headEnd/>
          <a:tailEnd type="none" w="med" len="med"/>
        </a:ln>
        <a:effectLst/>
      </xdr:spPr>
    </xdr:pic>
    <xdr:clientData/>
  </xdr:twoCellAnchor>
  <xdr:twoCellAnchor editAs="oneCell">
    <xdr:from>
      <xdr:col>1</xdr:col>
      <xdr:colOff>869950</xdr:colOff>
      <xdr:row>0</xdr:row>
      <xdr:rowOff>95250</xdr:rowOff>
    </xdr:from>
    <xdr:to>
      <xdr:col>1</xdr:col>
      <xdr:colOff>3210379</xdr:colOff>
      <xdr:row>4</xdr:row>
      <xdr:rowOff>122735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4"/>
        <a:stretch>
          <a:fillRect/>
        </a:stretch>
      </xdr:blipFill>
      <xdr:spPr>
        <a:xfrm>
          <a:off x="2241550" y="95250"/>
          <a:ext cx="2340429" cy="7577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223838</xdr:colOff>
      <xdr:row>53</xdr:row>
      <xdr:rowOff>109537</xdr:rowOff>
    </xdr:from>
    <xdr:to>
      <xdr:col>1</xdr:col>
      <xdr:colOff>1582225</xdr:colOff>
      <xdr:row>55</xdr:row>
      <xdr:rowOff>122406</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24013" y="6338887"/>
          <a:ext cx="1358387" cy="336719"/>
        </a:xfrm>
        <a:prstGeom prst="rect">
          <a:avLst/>
        </a:prstGeom>
        <a:noFill/>
        <a:ln w="1">
          <a:noFill/>
          <a:miter lim="800000"/>
          <a:headEnd/>
          <a:tailEnd type="none" w="med" len="med"/>
        </a:ln>
        <a:effectLst/>
      </xdr:spPr>
    </xdr:pic>
    <xdr:clientData/>
  </xdr:twoCellAnchor>
  <xdr:twoCellAnchor editAs="oneCell">
    <xdr:from>
      <xdr:col>1</xdr:col>
      <xdr:colOff>825500</xdr:colOff>
      <xdr:row>0</xdr:row>
      <xdr:rowOff>95250</xdr:rowOff>
    </xdr:from>
    <xdr:to>
      <xdr:col>1</xdr:col>
      <xdr:colOff>3165929</xdr:colOff>
      <xdr:row>4</xdr:row>
      <xdr:rowOff>122735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4"/>
        <a:stretch>
          <a:fillRect/>
        </a:stretch>
      </xdr:blipFill>
      <xdr:spPr>
        <a:xfrm>
          <a:off x="2197100" y="95250"/>
          <a:ext cx="2340429" cy="7577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261938</xdr:colOff>
      <xdr:row>53</xdr:row>
      <xdr:rowOff>85725</xdr:rowOff>
    </xdr:from>
    <xdr:to>
      <xdr:col>1</xdr:col>
      <xdr:colOff>1620325</xdr:colOff>
      <xdr:row>55</xdr:row>
      <xdr:rowOff>98594</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62113" y="6315075"/>
          <a:ext cx="1358387" cy="336719"/>
        </a:xfrm>
        <a:prstGeom prst="rect">
          <a:avLst/>
        </a:prstGeom>
        <a:noFill/>
        <a:ln w="1">
          <a:noFill/>
          <a:miter lim="800000"/>
          <a:headEnd/>
          <a:tailEnd type="none" w="med" len="med"/>
        </a:ln>
        <a:effectLst/>
      </xdr:spPr>
    </xdr:pic>
    <xdr:clientData/>
  </xdr:twoCellAnchor>
  <xdr:twoCellAnchor editAs="oneCell">
    <xdr:from>
      <xdr:col>1</xdr:col>
      <xdr:colOff>806450</xdr:colOff>
      <xdr:row>0</xdr:row>
      <xdr:rowOff>88900</xdr:rowOff>
    </xdr:from>
    <xdr:to>
      <xdr:col>1</xdr:col>
      <xdr:colOff>3146879</xdr:colOff>
      <xdr:row>4</xdr:row>
      <xdr:rowOff>116385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4"/>
        <a:stretch>
          <a:fillRect/>
        </a:stretch>
      </xdr:blipFill>
      <xdr:spPr>
        <a:xfrm>
          <a:off x="2178050" y="88900"/>
          <a:ext cx="2340429" cy="75773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812800</xdr:colOff>
      <xdr:row>0</xdr:row>
      <xdr:rowOff>88900</xdr:rowOff>
    </xdr:from>
    <xdr:to>
      <xdr:col>1</xdr:col>
      <xdr:colOff>3153229</xdr:colOff>
      <xdr:row>4</xdr:row>
      <xdr:rowOff>116385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4"/>
        <a:stretch>
          <a:fillRect/>
        </a:stretch>
      </xdr:blipFill>
      <xdr:spPr>
        <a:xfrm>
          <a:off x="2184400" y="88900"/>
          <a:ext cx="2340429" cy="75773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812800</xdr:colOff>
      <xdr:row>0</xdr:row>
      <xdr:rowOff>88900</xdr:rowOff>
    </xdr:from>
    <xdr:to>
      <xdr:col>1</xdr:col>
      <xdr:colOff>3153229</xdr:colOff>
      <xdr:row>4</xdr:row>
      <xdr:rowOff>116385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4"/>
        <a:stretch>
          <a:fillRect/>
        </a:stretch>
      </xdr:blipFill>
      <xdr:spPr>
        <a:xfrm>
          <a:off x="2184400" y="88900"/>
          <a:ext cx="2340429" cy="75773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806450</xdr:colOff>
      <xdr:row>0</xdr:row>
      <xdr:rowOff>95250</xdr:rowOff>
    </xdr:from>
    <xdr:to>
      <xdr:col>1</xdr:col>
      <xdr:colOff>3146879</xdr:colOff>
      <xdr:row>4</xdr:row>
      <xdr:rowOff>122735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4"/>
        <a:stretch>
          <a:fillRect/>
        </a:stretch>
      </xdr:blipFill>
      <xdr:spPr>
        <a:xfrm>
          <a:off x="2178050" y="95250"/>
          <a:ext cx="2340429" cy="75773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819150</xdr:colOff>
      <xdr:row>0</xdr:row>
      <xdr:rowOff>88900</xdr:rowOff>
    </xdr:from>
    <xdr:to>
      <xdr:col>1</xdr:col>
      <xdr:colOff>3159579</xdr:colOff>
      <xdr:row>4</xdr:row>
      <xdr:rowOff>116385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4"/>
        <a:stretch>
          <a:fillRect/>
        </a:stretch>
      </xdr:blipFill>
      <xdr:spPr>
        <a:xfrm>
          <a:off x="2190750" y="88900"/>
          <a:ext cx="2340429" cy="75773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762000</xdr:colOff>
      <xdr:row>0</xdr:row>
      <xdr:rowOff>88900</xdr:rowOff>
    </xdr:from>
    <xdr:to>
      <xdr:col>1</xdr:col>
      <xdr:colOff>3102429</xdr:colOff>
      <xdr:row>4</xdr:row>
      <xdr:rowOff>116385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4"/>
        <a:stretch>
          <a:fillRect/>
        </a:stretch>
      </xdr:blipFill>
      <xdr:spPr>
        <a:xfrm>
          <a:off x="2133600" y="88900"/>
          <a:ext cx="2340429" cy="75773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214314</xdr:colOff>
      <xdr:row>53</xdr:row>
      <xdr:rowOff>61912</xdr:rowOff>
    </xdr:from>
    <xdr:to>
      <xdr:col>1</xdr:col>
      <xdr:colOff>1572701</xdr:colOff>
      <xdr:row>55</xdr:row>
      <xdr:rowOff>74781</xdr:rowOff>
    </xdr:to>
    <xdr:pic>
      <xdr:nvPicPr>
        <xdr:cNvPr id="3" name="Picture 28">
          <a:hlinkClick xmlns:r="http://schemas.openxmlformats.org/officeDocument/2006/relationships" r:id="rId1"/>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1614489" y="6291262"/>
          <a:ext cx="1358387" cy="336719"/>
        </a:xfrm>
        <a:prstGeom prst="rect">
          <a:avLst/>
        </a:prstGeom>
        <a:noFill/>
        <a:ln w="1">
          <a:noFill/>
          <a:miter lim="800000"/>
          <a:headEnd/>
          <a:tailEnd type="none" w="med" len="med"/>
        </a:ln>
        <a:effectLst/>
      </xdr:spPr>
    </xdr:pic>
    <xdr:clientData/>
  </xdr:twoCellAnchor>
  <xdr:twoCellAnchor editAs="oneCell">
    <xdr:from>
      <xdr:col>1</xdr:col>
      <xdr:colOff>844550</xdr:colOff>
      <xdr:row>0</xdr:row>
      <xdr:rowOff>95250</xdr:rowOff>
    </xdr:from>
    <xdr:to>
      <xdr:col>1</xdr:col>
      <xdr:colOff>3184979</xdr:colOff>
      <xdr:row>4</xdr:row>
      <xdr:rowOff>122735</xdr:rowOff>
    </xdr:to>
    <xdr:pic>
      <xdr:nvPicPr>
        <xdr:cNvPr id="4" name="Image 3">
          <a:hlinkClick xmlns:r="http://schemas.openxmlformats.org/officeDocument/2006/relationships" r:id="rId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4"/>
        <a:stretch>
          <a:fillRect/>
        </a:stretch>
      </xdr:blipFill>
      <xdr:spPr>
        <a:xfrm>
          <a:off x="2216150" y="95250"/>
          <a:ext cx="2340429" cy="7577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steur%20Christian/Downloads/Christian%20Saboukoulou%202009/ACTIFS%202009/BUDGET%20GOLD%202008/MonBudget.net%20v2007%20CHRIS-EV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sabouc/Desktop/MonBudget.net%20v2007%20CHRIS-EV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Pasteur%20Christian/Downloads/Christian%20Saboukoulou%202009/ACTIFS%202009/BUDGET%20GOLD%202008/Budget%202006%20Eaubonne%20+%20LM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ccbx/Downloads/Christian%20Saboukoulou%202009/ACTIFS%202009/BUDGET%20GOLD%202008/BudgetGold%20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Pasteur%20Christian/Downloads/Christian%20Saboukoulou%202009/ACTIFS%202009/BUDGET%20GOLD%202008/Budget%202007%20-%20Foreca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Data"/>
      <sheetName val="Objectifs 2007"/>
      <sheetName val="MonBudget 2007"/>
      <sheetName val="Calcul Impot 2007"/>
      <sheetName val="ImmoView Global"/>
      <sheetName val="ImmoView 2007"/>
      <sheetName val="ImmoView - Béthune"/>
      <sheetName val="ImmoView - SCPI PFO"/>
      <sheetName val="Naissance 1er Enfant"/>
      <sheetName val="Agenda"/>
      <sheetName val="Simulation d'épargne"/>
      <sheetName val="Stratégie E-VA Enfant (2)"/>
      <sheetName val="Stratégie E-VA Enfant (P) (2)"/>
      <sheetName val="Achat Immobilier"/>
      <sheetName val="StratégiX"/>
      <sheetName val="Prêts Immo"/>
    </sheetNames>
    <sheetDataSet>
      <sheetData sheetId="0">
        <row r="3">
          <cell r="F3" t="str">
            <v>Epargne &amp; Placements (Type)</v>
          </cell>
          <cell r="H3" t="str">
            <v>Epargne &amp; Placements (Objectifs)</v>
          </cell>
          <cell r="L3" t="str">
            <v>Prélèvements</v>
          </cell>
        </row>
        <row r="4">
          <cell r="D4" t="str">
            <v>Provision à configurer</v>
          </cell>
          <cell r="F4" t="str">
            <v>Type d'épargne/placement</v>
          </cell>
          <cell r="H4" t="str">
            <v>Autre Epargne &amp; Placement</v>
          </cell>
          <cell r="J4" t="str">
            <v>Remboursement Crédit/Prêt/Dette</v>
          </cell>
          <cell r="L4" t="str">
            <v>Indiquer la date de l'échéance</v>
          </cell>
          <cell r="N4" t="str">
            <v>Indiquer le compte cible</v>
          </cell>
          <cell r="P4" t="str">
            <v>Autre dépense régulière</v>
          </cell>
        </row>
        <row r="5">
          <cell r="A5" t="str">
            <v>ok</v>
          </cell>
          <cell r="D5" t="str">
            <v>Provision - Impôt sur le Revenu</v>
          </cell>
          <cell r="F5" t="str">
            <v>Assurance-Vie</v>
          </cell>
          <cell r="H5" t="str">
            <v>Stratégie "RETRAITE"</v>
          </cell>
          <cell r="J5" t="str">
            <v>Crédit à la consommation - SOFINCO</v>
          </cell>
          <cell r="L5" t="str">
            <v>prélèvement le 1er du mois</v>
          </cell>
          <cell r="N5" t="str">
            <v>Assurance-Vie</v>
          </cell>
          <cell r="P5" t="str">
            <v>Loyer</v>
          </cell>
        </row>
        <row r="6">
          <cell r="A6" t="str">
            <v>ec</v>
          </cell>
          <cell r="D6" t="str">
            <v>Provision - Taxe d'Habitation + Taxe Foncière</v>
          </cell>
          <cell r="F6" t="str">
            <v>Assurance-Vie (bloquée)</v>
          </cell>
          <cell r="H6" t="str">
            <v>TRESOR FAMILIAL</v>
          </cell>
          <cell r="J6" t="str">
            <v>Crédit à la consommation - FINANCO</v>
          </cell>
          <cell r="L6" t="str">
            <v>prélèvement le 02 du mois</v>
          </cell>
          <cell r="N6" t="str">
            <v>CEL - Compte d'Epargne Logement</v>
          </cell>
          <cell r="P6" t="str">
            <v>Loyer/ Remboursement Prêt Immobilier</v>
          </cell>
        </row>
        <row r="7">
          <cell r="D7" t="str">
            <v>Provision - Factures EDF/GDF</v>
          </cell>
          <cell r="F7" t="str">
            <v>Assurance-Vie (non bloquée)</v>
          </cell>
          <cell r="H7" t="str">
            <v>Epargne pour "IMPREVUS"</v>
          </cell>
          <cell r="J7" t="str">
            <v>Crédit à la consommation - CETELEM</v>
          </cell>
          <cell r="L7" t="str">
            <v>prélèvement le 03 du mois</v>
          </cell>
          <cell r="N7" t="str">
            <v>LEP - Livret d'Epargne Populaire</v>
          </cell>
          <cell r="P7" t="str">
            <v>Remboursement - Prêt Résidence Principale</v>
          </cell>
        </row>
        <row r="8">
          <cell r="D8" t="str">
            <v>Provision - Vacances / Sorties / Détente</v>
          </cell>
          <cell r="F8" t="str">
            <v>Assurance-Vie "Multi-supports"</v>
          </cell>
          <cell r="H8" t="str">
            <v>Capital "ETUDES &amp; VIE ACTIVE" - Enfant</v>
          </cell>
          <cell r="J8" t="str">
            <v>Crédit à la consommation - FINAREF</v>
          </cell>
          <cell r="L8" t="str">
            <v>prélèvement le 04 du mois</v>
          </cell>
          <cell r="N8" t="str">
            <v>Livret CODEVI</v>
          </cell>
          <cell r="P8" t="str">
            <v>Remboursement - Prêt Immobilier Locatif</v>
          </cell>
        </row>
        <row r="9">
          <cell r="D9" t="str">
            <v>Provision - Charges de Co-propriété</v>
          </cell>
          <cell r="F9" t="str">
            <v>PEP - Plan d'Epargne Populaire</v>
          </cell>
          <cell r="H9" t="str">
            <v>Capital "NAISSANCE" - Enfant</v>
          </cell>
          <cell r="J9" t="str">
            <v>Crédit à la consommation - COFIDIS</v>
          </cell>
          <cell r="L9" t="str">
            <v>prélèvement le 05 du mois</v>
          </cell>
          <cell r="N9" t="str">
            <v>Livret A</v>
          </cell>
          <cell r="P9" t="str">
            <v>Carte Imagine R'</v>
          </cell>
        </row>
        <row r="10">
          <cell r="D10" t="str">
            <v>Provision - Habillement (H)</v>
          </cell>
          <cell r="F10" t="str">
            <v>PEA - Plan d'Epargne en Actions</v>
          </cell>
          <cell r="H10" t="str">
            <v>Capital "ACHAT IMMOBILIER"</v>
          </cell>
          <cell r="J10" t="str">
            <v>Crédit à la consommation - MENAFINANCE</v>
          </cell>
          <cell r="L10" t="str">
            <v>prélèvement le 06 du mois</v>
          </cell>
          <cell r="N10" t="str">
            <v>Livret B</v>
          </cell>
          <cell r="P10" t="str">
            <v>Carte Orange</v>
          </cell>
        </row>
        <row r="11">
          <cell r="D11" t="str">
            <v>Provision - Habillement (F)</v>
          </cell>
          <cell r="F11" t="str">
            <v>PEL - Plan d'Epargne Logement</v>
          </cell>
          <cell r="H11" t="str">
            <v>Capital "ACHAT TERRAIN"</v>
          </cell>
          <cell r="J11" t="str">
            <v>Crédit à la consommation - COVEFI</v>
          </cell>
          <cell r="L11" t="str">
            <v>prélèvement le 07 du mois</v>
          </cell>
          <cell r="N11" t="str">
            <v>Livret JEUNE</v>
          </cell>
          <cell r="P11" t="str">
            <v>Cotisation de Prévoyance</v>
          </cell>
        </row>
        <row r="12">
          <cell r="D12" t="str">
            <v>Provision - Habillement</v>
          </cell>
          <cell r="F12" t="str">
            <v>CEL - Compte d'Epargne Logement</v>
          </cell>
          <cell r="H12" t="str">
            <v>Capital "ACHAT APPARTEMENT"</v>
          </cell>
          <cell r="J12" t="str">
            <v>Crédit à la consommation - FRANFINANCE</v>
          </cell>
          <cell r="L12" t="str">
            <v>prélèvement le 08 du mois</v>
          </cell>
          <cell r="N12" t="str">
            <v>Livret Orange ING DIRECT</v>
          </cell>
          <cell r="P12" t="str">
            <v>Courses Entretien / Alimentation</v>
          </cell>
        </row>
        <row r="13">
          <cell r="D13" t="str">
            <v>Provision - Habillement Enfants</v>
          </cell>
          <cell r="F13" t="str">
            <v>LEP - Livret d'Epargne Populaire</v>
          </cell>
          <cell r="H13" t="str">
            <v>Capital "ACHAT VILLA"</v>
          </cell>
          <cell r="J13" t="str">
            <v>Crédit à la consommation</v>
          </cell>
          <cell r="L13" t="str">
            <v>prélèvement le 09 du mois</v>
          </cell>
          <cell r="N13" t="str">
            <v>Livret COVEFI</v>
          </cell>
          <cell r="P13" t="str">
            <v>Assurance Auto</v>
          </cell>
        </row>
        <row r="14">
          <cell r="D14" t="str">
            <v>Provision - Permis de conduire</v>
          </cell>
          <cell r="F14" t="str">
            <v>Livret CODEVI</v>
          </cell>
          <cell r="H14" t="str">
            <v>TCR - INVESTISSEMENTS</v>
          </cell>
          <cell r="J14" t="str">
            <v>Crédit Carte AURORE</v>
          </cell>
          <cell r="L14" t="str">
            <v>prélèvement le 10 du mois</v>
          </cell>
          <cell r="N14" t="str">
            <v>Compte à Terme</v>
          </cell>
          <cell r="P14" t="str">
            <v>Assurance Habitation</v>
          </cell>
        </row>
        <row r="15">
          <cell r="D15" t="str">
            <v>Provision - Redevance TV (Taxe audiovisuelle)</v>
          </cell>
          <cell r="F15" t="str">
            <v>Livret A</v>
          </cell>
          <cell r="H15" t="str">
            <v>Trésorerie "TCR - INVESTISSEMENTS"</v>
          </cell>
          <cell r="J15" t="str">
            <v>Crédit Carte CONFORAMA</v>
          </cell>
          <cell r="L15" t="str">
            <v>prélèvement le 11 du mois</v>
          </cell>
          <cell r="N15" t="str">
            <v>Compte courant</v>
          </cell>
          <cell r="P15" t="str">
            <v>Abonnement Canal Plus</v>
          </cell>
        </row>
        <row r="16">
          <cell r="D16" t="str">
            <v>Provision - Assurance Auto</v>
          </cell>
          <cell r="F16" t="str">
            <v>Livret B</v>
          </cell>
          <cell r="H16" t="str">
            <v>Trésorerie " INVESTISSEMENTS "</v>
          </cell>
          <cell r="J16" t="str">
            <v>Crédit Carte KANGOUROU</v>
          </cell>
          <cell r="L16" t="str">
            <v>prélèvement le 12 du mois</v>
          </cell>
          <cell r="P16" t="str">
            <v>Abonnement Canal-Satellite</v>
          </cell>
        </row>
        <row r="17">
          <cell r="D17" t="str">
            <v>Provision - Entretien Auto</v>
          </cell>
          <cell r="F17" t="str">
            <v>Livret JEUNE</v>
          </cell>
          <cell r="H17" t="str">
            <v>Capital "INVESTISSEMENTS"</v>
          </cell>
          <cell r="J17" t="str">
            <v>Crédit Carte PASS</v>
          </cell>
          <cell r="L17" t="str">
            <v>prélèvement le 13 du mois</v>
          </cell>
          <cell r="P17" t="str">
            <v>Abonnement Noos</v>
          </cell>
        </row>
        <row r="18">
          <cell r="D18" t="str">
            <v>Provision - Assurance Auto / Réparations</v>
          </cell>
          <cell r="F18" t="str">
            <v>Livret Orange ING DIRECT</v>
          </cell>
          <cell r="H18" t="str">
            <v>Epargne "ACHAT VOITURE"</v>
          </cell>
          <cell r="J18" t="str">
            <v>Dette - LOCAPASS</v>
          </cell>
          <cell r="L18" t="str">
            <v>prélèvement le 14 du mois</v>
          </cell>
          <cell r="P18" t="str">
            <v>Abonnement Freebox</v>
          </cell>
        </row>
        <row r="19">
          <cell r="D19" t="str">
            <v>Provision - Cadeaux (Anniversaires, événements, etc.)</v>
          </cell>
          <cell r="F19" t="str">
            <v>Livret COVEFI</v>
          </cell>
          <cell r="H19" t="str">
            <v>Trésorerie de "RESERVE"</v>
          </cell>
          <cell r="J19" t="str">
            <v>Dette - Loyers impayés</v>
          </cell>
          <cell r="L19" t="str">
            <v>prélèvement le 15 du mois</v>
          </cell>
          <cell r="P19" t="str">
            <v>Carburants (Essence/Gasoil)</v>
          </cell>
        </row>
        <row r="20">
          <cell r="D20" t="str">
            <v>Provision - France-Télécom</v>
          </cell>
          <cell r="F20" t="str">
            <v>PEE - Plan d'Epargne Entreprise</v>
          </cell>
          <cell r="H20" t="str">
            <v>Trésorerie "FRAIS de SCOLARITE"</v>
          </cell>
          <cell r="J20" t="str">
            <v>Dette à un tiers</v>
          </cell>
          <cell r="L20" t="str">
            <v>prélèvement le 16 du mois</v>
          </cell>
          <cell r="P20" t="str">
            <v>Déjeuners en semaine</v>
          </cell>
        </row>
        <row r="21">
          <cell r="D21" t="str">
            <v>Provision - Communications (téléphone, internet, etc.)</v>
          </cell>
          <cell r="F21" t="str">
            <v>PERCO - Plan d'Epargne pour la Retraite Collectif</v>
          </cell>
          <cell r="H21" t="str">
            <v>Réserve de "SOUTIEN FAMILIAL"</v>
          </cell>
          <cell r="J21" t="str">
            <v>Prêt Personnel - BNP-PARIBAS</v>
          </cell>
          <cell r="L21" t="str">
            <v>prélèvement le 17 du mois</v>
          </cell>
          <cell r="P21" t="str">
            <v>Cotisation Carte Bleue (Visa/Mastercard)</v>
          </cell>
        </row>
        <row r="22">
          <cell r="D22" t="str">
            <v>Provision - Téléphone et Internet</v>
          </cell>
          <cell r="F22" t="str">
            <v>PERP - Plan d'Epargne Retraite Populaire</v>
          </cell>
          <cell r="H22" t="str">
            <v>Trésorerie "Service pour DIEU &amp; Bonnes Œuvres"</v>
          </cell>
          <cell r="J22" t="str">
            <v>Prêt Personnel - SOCIETE GENERALE</v>
          </cell>
          <cell r="L22" t="str">
            <v>prélèvement le 18 du mois</v>
          </cell>
          <cell r="P22" t="str">
            <v>Téléphone portable - Bouygues Télécom</v>
          </cell>
        </row>
        <row r="23">
          <cell r="F23" t="str">
            <v>Epargne Salariale</v>
          </cell>
          <cell r="J23" t="str">
            <v>Prêt Personnel - COFIDIS</v>
          </cell>
          <cell r="L23" t="str">
            <v>prélèvement le 19 du mois</v>
          </cell>
          <cell r="P23" t="str">
            <v>Téléphone portable - Orange</v>
          </cell>
        </row>
        <row r="24">
          <cell r="F24" t="str">
            <v>Compte à Terme (bloqué)</v>
          </cell>
          <cell r="J24" t="str">
            <v>Prêt Personnel - Banque ACCORD</v>
          </cell>
          <cell r="L24" t="str">
            <v>prélèvement le 20 du mois</v>
          </cell>
          <cell r="P24" t="str">
            <v>Téléphone portable - SFR</v>
          </cell>
        </row>
        <row r="25">
          <cell r="F25" t="str">
            <v>Compte de Trésorerie</v>
          </cell>
          <cell r="J25" t="str">
            <v>Prêt Personnel - EGG</v>
          </cell>
          <cell r="L25" t="str">
            <v>prélèvement le 21 du mois</v>
          </cell>
          <cell r="P25" t="str">
            <v>Téléphone portable</v>
          </cell>
        </row>
        <row r="26">
          <cell r="F26" t="str">
            <v>Compte Titre</v>
          </cell>
          <cell r="J26" t="str">
            <v>Prêt Personnel</v>
          </cell>
          <cell r="L26" t="str">
            <v>prélèvement le 22 du mois</v>
          </cell>
          <cell r="P26" t="str">
            <v>Téléphone Fixe</v>
          </cell>
        </row>
        <row r="27">
          <cell r="F27" t="str">
            <v>Portefeuille Boursier</v>
          </cell>
          <cell r="L27" t="str">
            <v>prélèvement le 23 du mois</v>
          </cell>
          <cell r="P27" t="str">
            <v>Frais Médicaux</v>
          </cell>
        </row>
        <row r="28">
          <cell r="F28" t="str">
            <v>TONTINE - Le Conservateur</v>
          </cell>
          <cell r="L28" t="str">
            <v>prélèvement le 24 du mois</v>
          </cell>
          <cell r="P28" t="str">
            <v>Argent de poche</v>
          </cell>
        </row>
        <row r="29">
          <cell r="D29" t="str">
            <v>Revenu à configurer</v>
          </cell>
          <cell r="F29" t="str">
            <v>TONTINE</v>
          </cell>
          <cell r="L29" t="str">
            <v>prélèvement le 25 du mois</v>
          </cell>
          <cell r="P29" t="str">
            <v>Liquidités</v>
          </cell>
        </row>
        <row r="30">
          <cell r="D30" t="str">
            <v>SALAIRE</v>
          </cell>
          <cell r="F30" t="str">
            <v>Stocks Options</v>
          </cell>
          <cell r="L30" t="str">
            <v>prélèvement le 26 du mois</v>
          </cell>
          <cell r="P30" t="str">
            <v>Soutien familial</v>
          </cell>
        </row>
        <row r="31">
          <cell r="D31" t="str">
            <v>SALAIRE 1</v>
          </cell>
          <cell r="L31" t="str">
            <v>prélèvement le 27 du mois</v>
          </cell>
          <cell r="P31" t="str">
            <v>Aide aux tiers</v>
          </cell>
        </row>
        <row r="32">
          <cell r="D32" t="str">
            <v>SALAIRE 2</v>
          </cell>
          <cell r="L32" t="str">
            <v>prélèvement le 28 du mois</v>
          </cell>
          <cell r="P32" t="str">
            <v>Cotisation Associative</v>
          </cell>
        </row>
        <row r="33">
          <cell r="D33" t="str">
            <v>SALAIRE A</v>
          </cell>
          <cell r="L33" t="str">
            <v>prélèvement le 29 du mois</v>
          </cell>
          <cell r="P33" t="str">
            <v>Aide humanitaire</v>
          </cell>
        </row>
        <row r="34">
          <cell r="D34" t="str">
            <v>SALAIRE B</v>
          </cell>
          <cell r="L34" t="str">
            <v>prélèvement le 30 du mois</v>
          </cell>
          <cell r="P34" t="str">
            <v>Habillement</v>
          </cell>
        </row>
        <row r="35">
          <cell r="D35" t="str">
            <v>APL / Allocations / Bourse d'Etat</v>
          </cell>
          <cell r="L35" t="str">
            <v>prélèvement le 31 du mois</v>
          </cell>
        </row>
        <row r="36">
          <cell r="D36" t="str">
            <v>Revenu Foncier Immeuble</v>
          </cell>
        </row>
        <row r="37">
          <cell r="D37" t="str">
            <v>Revenu Foncier Appartement</v>
          </cell>
        </row>
        <row r="38">
          <cell r="D38" t="str">
            <v>Dividendes Entreprises / Actions / Activités Commerciales</v>
          </cell>
        </row>
        <row r="39">
          <cell r="D39" t="str">
            <v>DIVIDENDES</v>
          </cell>
        </row>
        <row r="40">
          <cell r="D40" t="str">
            <v>Intérêts sur capitaux</v>
          </cell>
        </row>
        <row r="41">
          <cell r="D41" t="str">
            <v>Autres</v>
          </cell>
        </row>
        <row r="42">
          <cell r="D42" t="str">
            <v>Revenu Locatif - Immeuble</v>
          </cell>
        </row>
        <row r="43">
          <cell r="D43" t="str">
            <v>Revenu Locatif - Appartement</v>
          </cell>
        </row>
        <row r="44">
          <cell r="D44" t="str">
            <v>Retour de Capital d'Investissement</v>
          </cell>
        </row>
        <row r="45">
          <cell r="D45" t="str">
            <v>Retour de prêt</v>
          </cell>
        </row>
        <row r="46">
          <cell r="D46" t="str">
            <v>APL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Data"/>
      <sheetName val="Objectifs 2007"/>
      <sheetName val="MonBudget 2007"/>
      <sheetName val="ImmoView 2007"/>
      <sheetName val="ImmoView - Béthune"/>
      <sheetName val="ImmoView - SCPI PFO"/>
      <sheetName val="Simulation d'épargne"/>
      <sheetName val="Stratégie E-VA Enfant (2)"/>
      <sheetName val="Stratégie E-VA Enfant (P) (2)"/>
      <sheetName val="Achat Immobilier"/>
      <sheetName val="StratégiX"/>
      <sheetName val="Prêts Immo"/>
    </sheetNames>
    <sheetDataSet>
      <sheetData sheetId="0">
        <row r="5">
          <cell r="A5" t="str">
            <v>ok</v>
          </cell>
        </row>
        <row r="6">
          <cell r="A6" t="str">
            <v>ec</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Maker"/>
      <sheetName val="Internal Data"/>
      <sheetName val="Internal Data 2"/>
      <sheetName val="Budget 2005"/>
      <sheetName val="ImmoView"/>
      <sheetName val="Mois 1"/>
      <sheetName val="Mois 2"/>
      <sheetName val="Mois 3"/>
      <sheetName val="Mois 4"/>
      <sheetName val="Mois 5"/>
      <sheetName val="Mois 6"/>
      <sheetName val="Mois 7"/>
      <sheetName val="Mois 8"/>
      <sheetName val="Mois 9"/>
      <sheetName val="Mois 10"/>
      <sheetName val="Mois 11"/>
      <sheetName val="Mois 12"/>
      <sheetName val="LifeGoals"/>
      <sheetName val="Naissance 1er Enfant"/>
      <sheetName val="Retraite"/>
      <sheetName val="Gestion des liquidités"/>
      <sheetName val="Calendrier 2006"/>
      <sheetName val="SIMULATION"/>
      <sheetName val="Simulation d'épargne"/>
      <sheetName val="Stratégie E-VA Enfant (2)"/>
      <sheetName val="Stratégie E-VA Enfant (P) (2)"/>
      <sheetName val="StratégiX"/>
      <sheetName val="Contacts &amp; Stratégies"/>
      <sheetName val="Achat Immobilier"/>
      <sheetName val="Prêts Immo"/>
    </sheetNames>
    <sheetDataSet>
      <sheetData sheetId="0"/>
      <sheetData sheetId="1">
        <row r="4">
          <cell r="F4" t="str">
            <v>Type d'épargne/placement</v>
          </cell>
          <cell r="H4" t="str">
            <v>Autre Epargne &amp; Placement</v>
          </cell>
        </row>
        <row r="5">
          <cell r="B5" t="str">
            <v>ec</v>
          </cell>
          <cell r="H5" t="str">
            <v>Stratégie "RETRAITE"</v>
          </cell>
        </row>
        <row r="6">
          <cell r="B6" t="str">
            <v>ok</v>
          </cell>
          <cell r="H6" t="str">
            <v>TRESOR FAMILIAL</v>
          </cell>
        </row>
        <row r="7">
          <cell r="H7" t="str">
            <v>Epargne pour "IMPREVUS"</v>
          </cell>
        </row>
        <row r="8">
          <cell r="H8" t="str">
            <v>Capital "ETUDES &amp; VIE ACTIVE" - Enfant</v>
          </cell>
        </row>
        <row r="9">
          <cell r="H9" t="str">
            <v>Capital "NAISSANCE" - Enfant</v>
          </cell>
        </row>
        <row r="10">
          <cell r="H10" t="str">
            <v>Capital "ACHAT IMMOBILIER"</v>
          </cell>
        </row>
        <row r="11">
          <cell r="H11" t="str">
            <v>Capital "ACHAT TERRAIN"</v>
          </cell>
        </row>
        <row r="12">
          <cell r="H12" t="str">
            <v>Capital "ACHAT APPARTEMENT"</v>
          </cell>
        </row>
        <row r="13">
          <cell r="H13" t="str">
            <v>Capital "ACHAT VILLA"</v>
          </cell>
        </row>
        <row r="14">
          <cell r="H14" t="str">
            <v>TCR - INVESTISSEMENTS</v>
          </cell>
        </row>
        <row r="15">
          <cell r="H15" t="str">
            <v>Trésorerie "TCR - INVESTISSEMENTS"</v>
          </cell>
        </row>
        <row r="16">
          <cell r="H16" t="str">
            <v>Trésorerie " INVESTISSEMENTS "</v>
          </cell>
        </row>
        <row r="17">
          <cell r="H17" t="str">
            <v>Capital "INVESTISSEMENTS"</v>
          </cell>
        </row>
        <row r="18">
          <cell r="H18" t="str">
            <v>Epargne "ACHAT VOITURE"</v>
          </cell>
        </row>
        <row r="19">
          <cell r="H19" t="str">
            <v>Trésorerie de "RESERVE"</v>
          </cell>
        </row>
        <row r="20">
          <cell r="H20" t="str">
            <v>Trésorerie "FRAIS de SCOLARITE"</v>
          </cell>
        </row>
        <row r="21">
          <cell r="H21" t="str">
            <v>Réserve de "SOUTIEN FAMILIAL"</v>
          </cell>
        </row>
        <row r="22">
          <cell r="H22" t="str">
            <v>Trésorerie "Service pour DIEU &amp; Bonnes Œuvres"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Gold 2008"/>
      <sheetName val="Données internes"/>
      <sheetName val="Simulation d'épargne"/>
      <sheetName val="Prets Immo"/>
      <sheetName val="StratégiX"/>
    </sheetNames>
    <sheetDataSet>
      <sheetData sheetId="0" refreshError="1"/>
      <sheetData sheetId="1">
        <row r="4">
          <cell r="C4" t="str">
            <v>Type de Revenu</v>
          </cell>
          <cell r="E4" t="str">
            <v>Objectif de l'Epargne/Placement</v>
          </cell>
          <cell r="G4" t="str">
            <v>Type d'épargne/placement</v>
          </cell>
          <cell r="I4" t="str">
            <v>Remboursement Crédit/Prêt/Dette</v>
          </cell>
          <cell r="K4" t="str">
            <v>Indiquer la date de l'échéance</v>
          </cell>
          <cell r="M4" t="str">
            <v>Indiquer le compte cible</v>
          </cell>
          <cell r="Q4" t="str">
            <v>Autre dépense régulière</v>
          </cell>
          <cell r="S4" t="str">
            <v>Autre dépense variable</v>
          </cell>
        </row>
        <row r="5">
          <cell r="C5" t="str">
            <v>SALAIRE</v>
          </cell>
          <cell r="E5" t="str">
            <v>Stratégie "RETRAITE"</v>
          </cell>
          <cell r="G5" t="str">
            <v>Assurance-Vie</v>
          </cell>
          <cell r="I5" t="str">
            <v>Crédit à la consommation - SOFINCO</v>
          </cell>
          <cell r="K5" t="str">
            <v>prélèvement le 1er du mois</v>
          </cell>
          <cell r="M5" t="str">
            <v>Assurance-Vie</v>
          </cell>
          <cell r="Q5" t="str">
            <v>Loyer</v>
          </cell>
          <cell r="S5" t="str">
            <v>Frais Médicaux</v>
          </cell>
        </row>
        <row r="6">
          <cell r="C6" t="str">
            <v>SALAIRE 1</v>
          </cell>
          <cell r="E6" t="str">
            <v>TRESOR FAMILIAL</v>
          </cell>
          <cell r="G6" t="str">
            <v>Assurance-Vie (bloquée)</v>
          </cell>
          <cell r="I6" t="str">
            <v>Crédit à la consommation - FINANCO</v>
          </cell>
          <cell r="K6" t="str">
            <v>prélèvement le 02 du mois</v>
          </cell>
          <cell r="M6" t="str">
            <v>CEL - Compte d'Epargne Logement</v>
          </cell>
          <cell r="Q6" t="str">
            <v>Loyer/ Remboursement Prêt Immobilier</v>
          </cell>
          <cell r="S6" t="str">
            <v>Argent de poche</v>
          </cell>
        </row>
        <row r="7">
          <cell r="C7" t="str">
            <v>SALAIRE 2</v>
          </cell>
          <cell r="E7" t="str">
            <v>Epargne pour "IMPREVUS"</v>
          </cell>
          <cell r="G7" t="str">
            <v>Assurance-Vie (non bloquée)</v>
          </cell>
          <cell r="I7" t="str">
            <v>Crédit à la consommation - CETELEM</v>
          </cell>
          <cell r="K7" t="str">
            <v>prélèvement le 03 du mois</v>
          </cell>
          <cell r="M7" t="str">
            <v>LEP - Livret d'Epargne Populaire</v>
          </cell>
          <cell r="Q7" t="str">
            <v>Remboursement - Prêt Résidence Principale</v>
          </cell>
          <cell r="S7" t="str">
            <v>Liquidités</v>
          </cell>
        </row>
        <row r="8">
          <cell r="C8" t="str">
            <v>SALAIRE A</v>
          </cell>
          <cell r="E8" t="str">
            <v>Capital "ETUDES &amp; VIE ACTIVE" - Enfant</v>
          </cell>
          <cell r="G8" t="str">
            <v>Assurance-Vie "Multi-supports"</v>
          </cell>
          <cell r="I8" t="str">
            <v>Crédit à la consommation - FINAREF</v>
          </cell>
          <cell r="K8" t="str">
            <v>prélèvement le 04 du mois</v>
          </cell>
          <cell r="M8" t="str">
            <v>Livret CODEVI</v>
          </cell>
          <cell r="Q8" t="str">
            <v>Remboursement - Prêt Immobilier Locatif</v>
          </cell>
          <cell r="S8" t="str">
            <v>Soutien familial</v>
          </cell>
        </row>
        <row r="9">
          <cell r="C9" t="str">
            <v>SALAIRE B</v>
          </cell>
          <cell r="E9" t="str">
            <v>Capital "NAISSANCE" - Enfant</v>
          </cell>
          <cell r="G9" t="str">
            <v>PEP - Plan d'Epargne Populaire</v>
          </cell>
          <cell r="I9" t="str">
            <v>Crédit à la consommation - COFIDIS</v>
          </cell>
          <cell r="K9" t="str">
            <v>prélèvement le 05 du mois</v>
          </cell>
          <cell r="M9" t="str">
            <v>Livret A</v>
          </cell>
          <cell r="Q9" t="str">
            <v>Carte Imagine R'</v>
          </cell>
          <cell r="S9" t="str">
            <v>Aide aux tiers</v>
          </cell>
        </row>
        <row r="10">
          <cell r="C10" t="str">
            <v>APL / Allocations / Bourse d'Etat</v>
          </cell>
          <cell r="E10" t="str">
            <v>Capital "ACHAT IMMOBILIER"</v>
          </cell>
          <cell r="G10" t="str">
            <v>PEA - Plan d'Epargne en Actions</v>
          </cell>
          <cell r="I10" t="str">
            <v>Crédit à la consommation - MENAFINANCE</v>
          </cell>
          <cell r="K10" t="str">
            <v>prélèvement le 06 du mois</v>
          </cell>
          <cell r="M10" t="str">
            <v>Livret B</v>
          </cell>
          <cell r="Q10" t="str">
            <v>Carte Orange</v>
          </cell>
          <cell r="S10" t="str">
            <v>Cotisation Associative</v>
          </cell>
        </row>
        <row r="11">
          <cell r="C11" t="str">
            <v>Revenu Foncier Immeuble</v>
          </cell>
          <cell r="E11" t="str">
            <v>Capital "ACHAT TERRAIN"</v>
          </cell>
          <cell r="G11" t="str">
            <v>PEL - Plan d'Epargne Logement</v>
          </cell>
          <cell r="I11" t="str">
            <v>Crédit à la consommation - COVEFI</v>
          </cell>
          <cell r="K11" t="str">
            <v>prélèvement le 07 du mois</v>
          </cell>
          <cell r="M11" t="str">
            <v>Livret JEUNE</v>
          </cell>
          <cell r="Q11" t="str">
            <v>Cotisation de Prévoyance</v>
          </cell>
          <cell r="S11" t="str">
            <v>Aide humanitaire</v>
          </cell>
        </row>
        <row r="12">
          <cell r="C12" t="str">
            <v>Revenu Foncier Appartement</v>
          </cell>
          <cell r="E12" t="str">
            <v>Capital "ACHAT APPARTEMENT"</v>
          </cell>
          <cell r="G12" t="str">
            <v>CEL - Compte d'Epargne Logement</v>
          </cell>
          <cell r="I12" t="str">
            <v>Crédit à la consommation - FRANFINANCE</v>
          </cell>
          <cell r="K12" t="str">
            <v>prélèvement le 08 du mois</v>
          </cell>
          <cell r="M12" t="str">
            <v>Livret Orange ING DIRECT</v>
          </cell>
          <cell r="Q12" t="str">
            <v>Courses Entretien / Alimentation</v>
          </cell>
          <cell r="S12" t="str">
            <v>Habillement</v>
          </cell>
        </row>
        <row r="13">
          <cell r="C13" t="str">
            <v>Dividendes Entreprises / Actions / Activités Commerciales</v>
          </cell>
          <cell r="E13" t="str">
            <v>Capital "ACHAT MAISON"</v>
          </cell>
          <cell r="G13" t="str">
            <v>LEP - Livret d'Epargne Populaire</v>
          </cell>
          <cell r="I13" t="str">
            <v>Crédit à la consommation</v>
          </cell>
          <cell r="K13" t="str">
            <v>prélèvement le 09 du mois</v>
          </cell>
          <cell r="M13" t="str">
            <v>Livret COVEFI</v>
          </cell>
          <cell r="Q13" t="str">
            <v>Assurance Auto</v>
          </cell>
        </row>
        <row r="14">
          <cell r="C14" t="str">
            <v>DIVIDENDES</v>
          </cell>
          <cell r="E14" t="str">
            <v>TCR - INVESTISSEMENTS</v>
          </cell>
          <cell r="G14" t="str">
            <v>Livret CODEVI</v>
          </cell>
          <cell r="I14" t="str">
            <v>Crédit Carte AURORE</v>
          </cell>
          <cell r="K14" t="str">
            <v>prélèvement le 10 du mois</v>
          </cell>
          <cell r="M14" t="str">
            <v>Compte à Terme</v>
          </cell>
          <cell r="Q14" t="str">
            <v>Assurance Habitation</v>
          </cell>
        </row>
        <row r="15">
          <cell r="C15" t="str">
            <v>Intérêts sur capitaux</v>
          </cell>
          <cell r="E15" t="str">
            <v>Trésorerie "TCR - INVESTISSEMENTS"</v>
          </cell>
          <cell r="G15" t="str">
            <v>Livret A</v>
          </cell>
          <cell r="I15" t="str">
            <v>Crédit Carte CONFORAMA</v>
          </cell>
          <cell r="K15" t="str">
            <v>prélèvement le 11 du mois</v>
          </cell>
          <cell r="M15" t="str">
            <v>Compte courant</v>
          </cell>
          <cell r="Q15" t="str">
            <v>Abonnement Canal Plus</v>
          </cell>
        </row>
        <row r="16">
          <cell r="C16" t="str">
            <v>Autres</v>
          </cell>
          <cell r="E16" t="str">
            <v>Trésorerie " INVESTISSEMENTS "</v>
          </cell>
          <cell r="G16" t="str">
            <v>Livret B</v>
          </cell>
          <cell r="I16" t="str">
            <v>Crédit Carte KANGOUROU</v>
          </cell>
          <cell r="K16" t="str">
            <v>prélèvement le 12 du mois</v>
          </cell>
          <cell r="Q16" t="str">
            <v>Abonnement Canal-Satellite</v>
          </cell>
        </row>
        <row r="17">
          <cell r="C17" t="str">
            <v>Revenu Locatif - Immeuble</v>
          </cell>
          <cell r="E17" t="str">
            <v>Capital "INVESTISSEMENTS"</v>
          </cell>
          <cell r="G17" t="str">
            <v>Livret JEUNE</v>
          </cell>
          <cell r="I17" t="str">
            <v>Crédit Carte PASS</v>
          </cell>
          <cell r="K17" t="str">
            <v>prélèvement le 13 du mois</v>
          </cell>
          <cell r="Q17" t="str">
            <v>Abonnement Noos</v>
          </cell>
        </row>
        <row r="18">
          <cell r="C18" t="str">
            <v>Revenu Locatif - Appartement</v>
          </cell>
          <cell r="E18" t="str">
            <v>Epargne "ACHAT VOITURE"</v>
          </cell>
          <cell r="G18" t="str">
            <v>Livret Orange ING DIRECT</v>
          </cell>
          <cell r="I18" t="str">
            <v>Dette - LOCAPASS</v>
          </cell>
          <cell r="K18" t="str">
            <v>prélèvement le 14 du mois</v>
          </cell>
          <cell r="Q18" t="str">
            <v>Abonnement Freebox</v>
          </cell>
        </row>
        <row r="19">
          <cell r="C19" t="str">
            <v>Retour de Capital d'Investissement</v>
          </cell>
          <cell r="E19" t="str">
            <v>Trésorerie de "RESERVE"</v>
          </cell>
          <cell r="G19" t="str">
            <v>Livret COVEFI</v>
          </cell>
          <cell r="I19" t="str">
            <v>Dette - Loyers impayés</v>
          </cell>
          <cell r="K19" t="str">
            <v>prélèvement le 15 du mois</v>
          </cell>
          <cell r="Q19" t="str">
            <v>Carburants (Essence/Gasoil)</v>
          </cell>
        </row>
        <row r="20">
          <cell r="C20" t="str">
            <v>Retour de prêt</v>
          </cell>
          <cell r="E20" t="str">
            <v>Trésorerie "FRAIS de SCOLARITE"</v>
          </cell>
          <cell r="G20" t="str">
            <v>PEE - Plan d'Epargne Entreprise</v>
          </cell>
          <cell r="I20" t="str">
            <v>Dette à un tiers</v>
          </cell>
          <cell r="K20" t="str">
            <v>prélèvement le 16 du mois</v>
          </cell>
          <cell r="Q20" t="str">
            <v>Déjeuners en semaine</v>
          </cell>
        </row>
        <row r="21">
          <cell r="C21" t="str">
            <v>APL</v>
          </cell>
          <cell r="E21" t="str">
            <v>Réserve de "SOUTIEN FAMILIAL"</v>
          </cell>
          <cell r="G21" t="str">
            <v>PERCO - Plan d'Epargne pour la Retraite Collectif</v>
          </cell>
          <cell r="I21" t="str">
            <v>Prêt Personnel - BNP-PARIBAS</v>
          </cell>
          <cell r="K21" t="str">
            <v>prélèvement le 17 du mois</v>
          </cell>
          <cell r="Q21" t="str">
            <v>Cotisation Carte Bleue (Visa/Mastercard)</v>
          </cell>
        </row>
        <row r="22">
          <cell r="C22" t="str">
            <v>Revenu Locatif - SCPI</v>
          </cell>
          <cell r="E22" t="str">
            <v>Trésorerie "Service pour DIEU &amp; Bonnes Œuvres"</v>
          </cell>
          <cell r="G22" t="str">
            <v>PERP - Plan d'Epargne Retraite Populaire</v>
          </cell>
          <cell r="I22" t="str">
            <v>Prêt Personnel - SOCIETE GENERALE</v>
          </cell>
          <cell r="K22" t="str">
            <v>prélèvement le 18 du mois</v>
          </cell>
          <cell r="Q22" t="str">
            <v>Téléphone portable - Bouygues Télécom</v>
          </cell>
        </row>
        <row r="23">
          <cell r="C23" t="str">
            <v>SALAIRE Monsieur</v>
          </cell>
          <cell r="E23" t="str">
            <v>Trésorerie "TRAVAUX"</v>
          </cell>
          <cell r="G23" t="str">
            <v>Epargne Salariale</v>
          </cell>
          <cell r="I23" t="str">
            <v>Prêt Personnel - COFIDIS</v>
          </cell>
          <cell r="K23" t="str">
            <v>prélèvement le 19 du mois</v>
          </cell>
          <cell r="Q23" t="str">
            <v>Téléphone portable - Orange</v>
          </cell>
        </row>
        <row r="24">
          <cell r="C24" t="str">
            <v>SALAIRE Madame</v>
          </cell>
          <cell r="E24" t="str">
            <v>Capital BOURSE</v>
          </cell>
          <cell r="G24" t="str">
            <v>Compte à Terme (bloqué)</v>
          </cell>
          <cell r="I24" t="str">
            <v>Prêt Personnel - Banque ACCORD</v>
          </cell>
          <cell r="K24" t="str">
            <v>prélèvement le 20 du mois</v>
          </cell>
          <cell r="Q24" t="str">
            <v>Téléphone portable - SFR</v>
          </cell>
        </row>
        <row r="25">
          <cell r="C25" t="str">
            <v>Revenu d'investissements boursiers</v>
          </cell>
          <cell r="G25" t="str">
            <v>Compte de Trésorerie</v>
          </cell>
          <cell r="I25" t="str">
            <v>Prêt Personnel - EGG</v>
          </cell>
          <cell r="K25" t="str">
            <v>prélèvement le 21 du mois</v>
          </cell>
          <cell r="Q25" t="str">
            <v>Téléphone portable</v>
          </cell>
        </row>
        <row r="26">
          <cell r="C26" t="str">
            <v>PRIMES</v>
          </cell>
          <cell r="G26" t="str">
            <v>Compte Titre</v>
          </cell>
          <cell r="I26" t="str">
            <v>Prêt Personnel</v>
          </cell>
          <cell r="K26" t="str">
            <v>prélèvement le 22 du mois</v>
          </cell>
          <cell r="Q26" t="str">
            <v>Téléphone Fixe</v>
          </cell>
        </row>
        <row r="27">
          <cell r="C27" t="str">
            <v>Dons perçus</v>
          </cell>
          <cell r="G27" t="str">
            <v>Portefeuille Boursier</v>
          </cell>
          <cell r="I27" t="str">
            <v>Crédit Immobilier Locatif</v>
          </cell>
          <cell r="K27" t="str">
            <v>prélèvement le 23 du mois</v>
          </cell>
          <cell r="Q27" t="str">
            <v>Frais Médicaux</v>
          </cell>
        </row>
        <row r="28">
          <cell r="G28" t="str">
            <v>TONTINE - Le Conservateur</v>
          </cell>
          <cell r="I28" t="str">
            <v>Crédit Immobilier Résidence Principale</v>
          </cell>
          <cell r="K28" t="str">
            <v>prélèvement le 24 du mois</v>
          </cell>
          <cell r="Q28" t="str">
            <v>Argent de poche</v>
          </cell>
        </row>
        <row r="29">
          <cell r="G29" t="str">
            <v>TONTINE</v>
          </cell>
          <cell r="K29" t="str">
            <v>prélèvement le 25 du mois</v>
          </cell>
          <cell r="Q29" t="str">
            <v>Liquidités</v>
          </cell>
        </row>
        <row r="30">
          <cell r="G30" t="str">
            <v>Stocks Options</v>
          </cell>
          <cell r="K30" t="str">
            <v>prélèvement le 26 du mois</v>
          </cell>
          <cell r="Q30" t="str">
            <v>Soutien familial</v>
          </cell>
        </row>
        <row r="31">
          <cell r="G31" t="str">
            <v>Obligations</v>
          </cell>
          <cell r="K31" t="str">
            <v>prélèvement le 27 du mois</v>
          </cell>
          <cell r="Q31" t="str">
            <v>Aide aux tiers</v>
          </cell>
        </row>
        <row r="32">
          <cell r="G32" t="str">
            <v>Livret Internet</v>
          </cell>
          <cell r="K32" t="str">
            <v>prélèvement le 28 du mois</v>
          </cell>
          <cell r="Q32" t="str">
            <v>Cotisation Associative</v>
          </cell>
        </row>
        <row r="33">
          <cell r="G33" t="str">
            <v>Livret MONABANQ</v>
          </cell>
          <cell r="K33" t="str">
            <v>prélèvement le 29 du mois</v>
          </cell>
          <cell r="Q33" t="str">
            <v>Aide humanitaire</v>
          </cell>
        </row>
        <row r="34">
          <cell r="K34" t="str">
            <v>prélèvement le 30 du mois</v>
          </cell>
          <cell r="Q34" t="str">
            <v>Habillement</v>
          </cell>
        </row>
        <row r="35">
          <cell r="K35" t="str">
            <v>prélèvement le 31 du mois</v>
          </cell>
          <cell r="Q35" t="str">
            <v>Abonnement Internet-Téléphonie</v>
          </cell>
        </row>
        <row r="36">
          <cell r="Q36" t="str">
            <v>Abonnement Internet</v>
          </cell>
        </row>
        <row r="37">
          <cell r="Q37" t="str">
            <v>Alimentation bébé</v>
          </cell>
        </row>
        <row r="38">
          <cell r="Q38" t="str">
            <v>Ecole privée</v>
          </cell>
        </row>
        <row r="39">
          <cell r="Q39" t="str">
            <v>Cantine - Ecole</v>
          </cell>
        </row>
        <row r="40">
          <cell r="Q40" t="str">
            <v>Club Sport / Aérobic / Fitness</v>
          </cell>
        </row>
      </sheetData>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Maker"/>
      <sheetName val="Internal Data"/>
      <sheetName val="Internal Data 2"/>
      <sheetName val="Budget 2005"/>
      <sheetName val="Mois 1"/>
      <sheetName val="Mois 2"/>
      <sheetName val="Mois 3"/>
      <sheetName val="Mois 4"/>
      <sheetName val="Mois 5"/>
      <sheetName val="Mois 6"/>
      <sheetName val="Mois 7"/>
      <sheetName val="Mois 8"/>
      <sheetName val="Mois 9"/>
      <sheetName val="Mois 10"/>
      <sheetName val="Mois 11"/>
      <sheetName val="Mois 12"/>
      <sheetName val="LifeGoals"/>
      <sheetName val="Naissance 1er Enfant"/>
      <sheetName val="Retraite"/>
      <sheetName val="Gestion des liquidités"/>
      <sheetName val="Calendrier 2006"/>
      <sheetName val="SIMULATION"/>
      <sheetName val="Simulation d'épargne"/>
      <sheetName val="Stratégie E-VA Enfant (2)"/>
      <sheetName val="Stratégie E-VA Enfant (P) (2)"/>
      <sheetName val="StratégiX"/>
      <sheetName val="Contacts &amp; Stratégies"/>
      <sheetName val="Achat Immobilier"/>
      <sheetName val="Prêts Immo"/>
    </sheetNames>
    <sheetDataSet>
      <sheetData sheetId="0"/>
      <sheetData sheetId="1">
        <row r="4">
          <cell r="J4" t="str">
            <v>Remboursement Crédit/Prêt/Dette</v>
          </cell>
          <cell r="L4" t="str">
            <v>Indiquer la date de l'échéance</v>
          </cell>
        </row>
        <row r="5">
          <cell r="L5" t="str">
            <v>prélèvement le 1er du mois</v>
          </cell>
        </row>
        <row r="6">
          <cell r="L6" t="str">
            <v>prélèvement le 02 du mois</v>
          </cell>
        </row>
        <row r="7">
          <cell r="L7" t="str">
            <v>prélèvement le 03 du mois</v>
          </cell>
        </row>
        <row r="8">
          <cell r="L8" t="str">
            <v>prélèvement le 04 du mois</v>
          </cell>
        </row>
        <row r="9">
          <cell r="L9" t="str">
            <v>prélèvement le 05 du mois</v>
          </cell>
        </row>
        <row r="10">
          <cell r="L10" t="str">
            <v>prélèvement le 06 du mois</v>
          </cell>
        </row>
        <row r="11">
          <cell r="L11" t="str">
            <v>prélèvement le 07 du mois</v>
          </cell>
        </row>
        <row r="12">
          <cell r="L12" t="str">
            <v>prélèvement le 08 du mois</v>
          </cell>
        </row>
        <row r="13">
          <cell r="L13" t="str">
            <v>prélèvement le 09 du mois</v>
          </cell>
        </row>
        <row r="14">
          <cell r="L14" t="str">
            <v>prélèvement le 10 du mois</v>
          </cell>
        </row>
        <row r="15">
          <cell r="L15" t="str">
            <v>prélèvement le 11 du mois</v>
          </cell>
        </row>
        <row r="16">
          <cell r="L16" t="str">
            <v>prélèvement le 12 du mois</v>
          </cell>
        </row>
        <row r="17">
          <cell r="L17" t="str">
            <v>prélèvement le 13 du mois</v>
          </cell>
        </row>
        <row r="18">
          <cell r="L18" t="str">
            <v>prélèvement le 14 du mois</v>
          </cell>
        </row>
        <row r="19">
          <cell r="L19" t="str">
            <v>prélèvement le 15 du mois</v>
          </cell>
        </row>
        <row r="20">
          <cell r="L20" t="str">
            <v>prélèvement le 16 du mois</v>
          </cell>
        </row>
        <row r="21">
          <cell r="L21" t="str">
            <v>prélèvement le 17 du mois</v>
          </cell>
        </row>
        <row r="22">
          <cell r="L22" t="str">
            <v>prélèvement le 18 du mois</v>
          </cell>
        </row>
        <row r="23">
          <cell r="L23" t="str">
            <v>prélèvement le 19 du mois</v>
          </cell>
        </row>
        <row r="24">
          <cell r="L24" t="str">
            <v>prélèvement le 20 du mois</v>
          </cell>
        </row>
        <row r="25">
          <cell r="L25" t="str">
            <v>prélèvement le 21 du mois</v>
          </cell>
        </row>
        <row r="26">
          <cell r="L26" t="str">
            <v>prélèvement le 22 du mois</v>
          </cell>
        </row>
        <row r="27">
          <cell r="L27" t="str">
            <v>prélèvement le 23 du mois</v>
          </cell>
        </row>
        <row r="28">
          <cell r="L28" t="str">
            <v>prélèvement le 24 du mois</v>
          </cell>
        </row>
        <row r="29">
          <cell r="L29" t="str">
            <v>prélèvement le 25 du mois</v>
          </cell>
        </row>
        <row r="30">
          <cell r="L30" t="str">
            <v>prélèvement le 26 du mois</v>
          </cell>
        </row>
        <row r="31">
          <cell r="L31" t="str">
            <v>prélèvement le 27 du mois</v>
          </cell>
        </row>
        <row r="32">
          <cell r="L32" t="str">
            <v>prélèvement le 28 du mois</v>
          </cell>
        </row>
        <row r="33">
          <cell r="L33" t="str">
            <v>prélèvement le 29 du mois</v>
          </cell>
        </row>
        <row r="34">
          <cell r="L34" t="str">
            <v>prélèvement le 30 du mois</v>
          </cell>
        </row>
        <row r="35">
          <cell r="L35" t="str">
            <v>prélèvement le 31 du mois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budget-gold.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www.google.fr/" TargetMode="External"/><Relationship Id="rId21" Type="http://schemas.openxmlformats.org/officeDocument/2006/relationships/hyperlink" Target="http://www.google.fr/" TargetMode="External"/><Relationship Id="rId42" Type="http://schemas.openxmlformats.org/officeDocument/2006/relationships/hyperlink" Target="http://www.google.fr/" TargetMode="External"/><Relationship Id="rId63" Type="http://schemas.openxmlformats.org/officeDocument/2006/relationships/hyperlink" Target="http://www.google.fr/" TargetMode="External"/><Relationship Id="rId84" Type="http://schemas.openxmlformats.org/officeDocument/2006/relationships/hyperlink" Target="http://www.google.fr/" TargetMode="External"/><Relationship Id="rId138" Type="http://schemas.openxmlformats.org/officeDocument/2006/relationships/hyperlink" Target="http://www.google.fr/" TargetMode="External"/><Relationship Id="rId107" Type="http://schemas.openxmlformats.org/officeDocument/2006/relationships/hyperlink" Target="http://www.google.fr/" TargetMode="External"/><Relationship Id="rId11" Type="http://schemas.openxmlformats.org/officeDocument/2006/relationships/hyperlink" Target="http://www.google.fr/" TargetMode="External"/><Relationship Id="rId32" Type="http://schemas.openxmlformats.org/officeDocument/2006/relationships/hyperlink" Target="http://www.google.fr/" TargetMode="External"/><Relationship Id="rId53" Type="http://schemas.openxmlformats.org/officeDocument/2006/relationships/hyperlink" Target="http://www.google.fr/" TargetMode="External"/><Relationship Id="rId74" Type="http://schemas.openxmlformats.org/officeDocument/2006/relationships/hyperlink" Target="http://www.google.fr/" TargetMode="External"/><Relationship Id="rId128" Type="http://schemas.openxmlformats.org/officeDocument/2006/relationships/hyperlink" Target="http://www.google.fr/" TargetMode="External"/><Relationship Id="rId149" Type="http://schemas.openxmlformats.org/officeDocument/2006/relationships/printerSettings" Target="../printerSettings/printerSettings4.bin"/><Relationship Id="rId5" Type="http://schemas.openxmlformats.org/officeDocument/2006/relationships/hyperlink" Target="http://www.google.fr/" TargetMode="External"/><Relationship Id="rId95" Type="http://schemas.openxmlformats.org/officeDocument/2006/relationships/hyperlink" Target="http://www.google.fr/" TargetMode="External"/><Relationship Id="rId22" Type="http://schemas.openxmlformats.org/officeDocument/2006/relationships/hyperlink" Target="http://www.google.fr/" TargetMode="External"/><Relationship Id="rId27" Type="http://schemas.openxmlformats.org/officeDocument/2006/relationships/hyperlink" Target="http://www.google.fr/" TargetMode="External"/><Relationship Id="rId43" Type="http://schemas.openxmlformats.org/officeDocument/2006/relationships/hyperlink" Target="http://www.google.fr/" TargetMode="External"/><Relationship Id="rId48" Type="http://schemas.openxmlformats.org/officeDocument/2006/relationships/hyperlink" Target="http://www.google.fr/" TargetMode="External"/><Relationship Id="rId64" Type="http://schemas.openxmlformats.org/officeDocument/2006/relationships/hyperlink" Target="http://www.google.fr/" TargetMode="External"/><Relationship Id="rId69" Type="http://schemas.openxmlformats.org/officeDocument/2006/relationships/hyperlink" Target="http://www.google.fr/" TargetMode="External"/><Relationship Id="rId113" Type="http://schemas.openxmlformats.org/officeDocument/2006/relationships/hyperlink" Target="http://www.google.fr/" TargetMode="External"/><Relationship Id="rId118" Type="http://schemas.openxmlformats.org/officeDocument/2006/relationships/hyperlink" Target="http://www.google.fr/" TargetMode="External"/><Relationship Id="rId134" Type="http://schemas.openxmlformats.org/officeDocument/2006/relationships/hyperlink" Target="http://www.google.fr/" TargetMode="External"/><Relationship Id="rId139" Type="http://schemas.openxmlformats.org/officeDocument/2006/relationships/hyperlink" Target="http://www.google.fr/" TargetMode="External"/><Relationship Id="rId80" Type="http://schemas.openxmlformats.org/officeDocument/2006/relationships/hyperlink" Target="http://www.google.fr/" TargetMode="External"/><Relationship Id="rId85" Type="http://schemas.openxmlformats.org/officeDocument/2006/relationships/hyperlink" Target="http://www.google.fr/" TargetMode="External"/><Relationship Id="rId150" Type="http://schemas.openxmlformats.org/officeDocument/2006/relationships/drawing" Target="../drawings/drawing6.xml"/><Relationship Id="rId12" Type="http://schemas.openxmlformats.org/officeDocument/2006/relationships/hyperlink" Target="http://www.google.fr/" TargetMode="External"/><Relationship Id="rId17" Type="http://schemas.openxmlformats.org/officeDocument/2006/relationships/hyperlink" Target="http://www.google.fr/" TargetMode="External"/><Relationship Id="rId33" Type="http://schemas.openxmlformats.org/officeDocument/2006/relationships/hyperlink" Target="http://www.google.fr/" TargetMode="External"/><Relationship Id="rId38" Type="http://schemas.openxmlformats.org/officeDocument/2006/relationships/hyperlink" Target="http://www.google.fr/" TargetMode="External"/><Relationship Id="rId59" Type="http://schemas.openxmlformats.org/officeDocument/2006/relationships/hyperlink" Target="http://www.google.fr/" TargetMode="External"/><Relationship Id="rId103" Type="http://schemas.openxmlformats.org/officeDocument/2006/relationships/hyperlink" Target="http://www.google.fr/" TargetMode="External"/><Relationship Id="rId108" Type="http://schemas.openxmlformats.org/officeDocument/2006/relationships/hyperlink" Target="http://www.google.fr/" TargetMode="External"/><Relationship Id="rId124" Type="http://schemas.openxmlformats.org/officeDocument/2006/relationships/hyperlink" Target="http://www.google.fr/" TargetMode="External"/><Relationship Id="rId129" Type="http://schemas.openxmlformats.org/officeDocument/2006/relationships/hyperlink" Target="http://www.google.fr/" TargetMode="External"/><Relationship Id="rId54" Type="http://schemas.openxmlformats.org/officeDocument/2006/relationships/hyperlink" Target="http://www.google.fr/" TargetMode="External"/><Relationship Id="rId70" Type="http://schemas.openxmlformats.org/officeDocument/2006/relationships/hyperlink" Target="http://www.google.fr/" TargetMode="External"/><Relationship Id="rId75" Type="http://schemas.openxmlformats.org/officeDocument/2006/relationships/hyperlink" Target="http://www.google.fr/" TargetMode="External"/><Relationship Id="rId91" Type="http://schemas.openxmlformats.org/officeDocument/2006/relationships/hyperlink" Target="http://www.google.fr/" TargetMode="External"/><Relationship Id="rId96" Type="http://schemas.openxmlformats.org/officeDocument/2006/relationships/hyperlink" Target="http://www.google.fr/" TargetMode="External"/><Relationship Id="rId140" Type="http://schemas.openxmlformats.org/officeDocument/2006/relationships/hyperlink" Target="http://www.google.fr/" TargetMode="External"/><Relationship Id="rId145" Type="http://schemas.openxmlformats.org/officeDocument/2006/relationships/hyperlink" Target="http://www.google.fr/" TargetMode="External"/><Relationship Id="rId1" Type="http://schemas.openxmlformats.org/officeDocument/2006/relationships/hyperlink" Target="http://www.google.fr/" TargetMode="External"/><Relationship Id="rId6" Type="http://schemas.openxmlformats.org/officeDocument/2006/relationships/hyperlink" Target="http://www.google.fr/" TargetMode="External"/><Relationship Id="rId23" Type="http://schemas.openxmlformats.org/officeDocument/2006/relationships/hyperlink" Target="http://www.google.fr/" TargetMode="External"/><Relationship Id="rId28" Type="http://schemas.openxmlformats.org/officeDocument/2006/relationships/hyperlink" Target="http://www.google.fr/" TargetMode="External"/><Relationship Id="rId49" Type="http://schemas.openxmlformats.org/officeDocument/2006/relationships/hyperlink" Target="http://www.google.fr/" TargetMode="External"/><Relationship Id="rId114" Type="http://schemas.openxmlformats.org/officeDocument/2006/relationships/hyperlink" Target="http://www.google.fr/" TargetMode="External"/><Relationship Id="rId119" Type="http://schemas.openxmlformats.org/officeDocument/2006/relationships/hyperlink" Target="http://www.google.fr/" TargetMode="External"/><Relationship Id="rId44" Type="http://schemas.openxmlformats.org/officeDocument/2006/relationships/hyperlink" Target="http://www.google.fr/" TargetMode="External"/><Relationship Id="rId60" Type="http://schemas.openxmlformats.org/officeDocument/2006/relationships/hyperlink" Target="http://www.google.fr/" TargetMode="External"/><Relationship Id="rId65" Type="http://schemas.openxmlformats.org/officeDocument/2006/relationships/hyperlink" Target="http://www.google.fr/" TargetMode="External"/><Relationship Id="rId81" Type="http://schemas.openxmlformats.org/officeDocument/2006/relationships/hyperlink" Target="http://www.google.fr/" TargetMode="External"/><Relationship Id="rId86" Type="http://schemas.openxmlformats.org/officeDocument/2006/relationships/hyperlink" Target="http://www.google.fr/" TargetMode="External"/><Relationship Id="rId130" Type="http://schemas.openxmlformats.org/officeDocument/2006/relationships/hyperlink" Target="http://www.google.fr/" TargetMode="External"/><Relationship Id="rId135" Type="http://schemas.openxmlformats.org/officeDocument/2006/relationships/hyperlink" Target="http://www.google.fr/" TargetMode="External"/><Relationship Id="rId151" Type="http://schemas.openxmlformats.org/officeDocument/2006/relationships/vmlDrawing" Target="../drawings/vmlDrawing4.vml"/><Relationship Id="rId13" Type="http://schemas.openxmlformats.org/officeDocument/2006/relationships/hyperlink" Target="http://www.google.fr/" TargetMode="External"/><Relationship Id="rId18" Type="http://schemas.openxmlformats.org/officeDocument/2006/relationships/hyperlink" Target="http://www.google.fr/" TargetMode="External"/><Relationship Id="rId39" Type="http://schemas.openxmlformats.org/officeDocument/2006/relationships/hyperlink" Target="http://www.google.fr/" TargetMode="External"/><Relationship Id="rId109" Type="http://schemas.openxmlformats.org/officeDocument/2006/relationships/hyperlink" Target="http://www.google.fr/" TargetMode="External"/><Relationship Id="rId34" Type="http://schemas.openxmlformats.org/officeDocument/2006/relationships/hyperlink" Target="http://www.google.fr/" TargetMode="External"/><Relationship Id="rId50" Type="http://schemas.openxmlformats.org/officeDocument/2006/relationships/hyperlink" Target="http://www.google.fr/" TargetMode="External"/><Relationship Id="rId55" Type="http://schemas.openxmlformats.org/officeDocument/2006/relationships/hyperlink" Target="http://www.google.fr/" TargetMode="External"/><Relationship Id="rId76" Type="http://schemas.openxmlformats.org/officeDocument/2006/relationships/hyperlink" Target="http://www.google.fr/" TargetMode="External"/><Relationship Id="rId97" Type="http://schemas.openxmlformats.org/officeDocument/2006/relationships/hyperlink" Target="http://www.google.fr/" TargetMode="External"/><Relationship Id="rId104" Type="http://schemas.openxmlformats.org/officeDocument/2006/relationships/hyperlink" Target="http://www.google.fr/" TargetMode="External"/><Relationship Id="rId120" Type="http://schemas.openxmlformats.org/officeDocument/2006/relationships/hyperlink" Target="http://www.google.fr/" TargetMode="External"/><Relationship Id="rId125" Type="http://schemas.openxmlformats.org/officeDocument/2006/relationships/hyperlink" Target="http://www.google.fr/" TargetMode="External"/><Relationship Id="rId141" Type="http://schemas.openxmlformats.org/officeDocument/2006/relationships/hyperlink" Target="http://www.google.fr/" TargetMode="External"/><Relationship Id="rId146" Type="http://schemas.openxmlformats.org/officeDocument/2006/relationships/hyperlink" Target="http://www.google.fr/" TargetMode="External"/><Relationship Id="rId7" Type="http://schemas.openxmlformats.org/officeDocument/2006/relationships/hyperlink" Target="http://www.google.fr/" TargetMode="External"/><Relationship Id="rId71" Type="http://schemas.openxmlformats.org/officeDocument/2006/relationships/hyperlink" Target="http://www.google.fr/" TargetMode="External"/><Relationship Id="rId92" Type="http://schemas.openxmlformats.org/officeDocument/2006/relationships/hyperlink" Target="http://www.google.fr/" TargetMode="External"/><Relationship Id="rId2" Type="http://schemas.openxmlformats.org/officeDocument/2006/relationships/hyperlink" Target="http://www.budget-gold.com/" TargetMode="External"/><Relationship Id="rId29" Type="http://schemas.openxmlformats.org/officeDocument/2006/relationships/hyperlink" Target="http://www.google.fr/" TargetMode="External"/><Relationship Id="rId24" Type="http://schemas.openxmlformats.org/officeDocument/2006/relationships/hyperlink" Target="http://www.google.fr/" TargetMode="External"/><Relationship Id="rId40" Type="http://schemas.openxmlformats.org/officeDocument/2006/relationships/hyperlink" Target="http://www.google.fr/" TargetMode="External"/><Relationship Id="rId45" Type="http://schemas.openxmlformats.org/officeDocument/2006/relationships/hyperlink" Target="http://www.google.fr/" TargetMode="External"/><Relationship Id="rId66" Type="http://schemas.openxmlformats.org/officeDocument/2006/relationships/hyperlink" Target="http://www.google.fr/" TargetMode="External"/><Relationship Id="rId87" Type="http://schemas.openxmlformats.org/officeDocument/2006/relationships/hyperlink" Target="http://www.google.fr/" TargetMode="External"/><Relationship Id="rId110" Type="http://schemas.openxmlformats.org/officeDocument/2006/relationships/hyperlink" Target="http://www.google.fr/" TargetMode="External"/><Relationship Id="rId115" Type="http://schemas.openxmlformats.org/officeDocument/2006/relationships/hyperlink" Target="http://www.google.fr/" TargetMode="External"/><Relationship Id="rId131" Type="http://schemas.openxmlformats.org/officeDocument/2006/relationships/hyperlink" Target="http://www.google.fr/" TargetMode="External"/><Relationship Id="rId136" Type="http://schemas.openxmlformats.org/officeDocument/2006/relationships/hyperlink" Target="http://www.google.fr/" TargetMode="External"/><Relationship Id="rId61" Type="http://schemas.openxmlformats.org/officeDocument/2006/relationships/hyperlink" Target="http://www.google.fr/" TargetMode="External"/><Relationship Id="rId82" Type="http://schemas.openxmlformats.org/officeDocument/2006/relationships/hyperlink" Target="http://www.google.fr/" TargetMode="External"/><Relationship Id="rId152" Type="http://schemas.openxmlformats.org/officeDocument/2006/relationships/comments" Target="../comments4.xml"/><Relationship Id="rId19" Type="http://schemas.openxmlformats.org/officeDocument/2006/relationships/hyperlink" Target="http://www.google.fr/" TargetMode="External"/><Relationship Id="rId14" Type="http://schemas.openxmlformats.org/officeDocument/2006/relationships/hyperlink" Target="http://www.google.fr/" TargetMode="External"/><Relationship Id="rId30" Type="http://schemas.openxmlformats.org/officeDocument/2006/relationships/hyperlink" Target="http://www.google.fr/" TargetMode="External"/><Relationship Id="rId35" Type="http://schemas.openxmlformats.org/officeDocument/2006/relationships/hyperlink" Target="http://www.google.fr/" TargetMode="External"/><Relationship Id="rId56" Type="http://schemas.openxmlformats.org/officeDocument/2006/relationships/hyperlink" Target="http://www.google.fr/" TargetMode="External"/><Relationship Id="rId77" Type="http://schemas.openxmlformats.org/officeDocument/2006/relationships/hyperlink" Target="http://www.google.fr/" TargetMode="External"/><Relationship Id="rId100" Type="http://schemas.openxmlformats.org/officeDocument/2006/relationships/hyperlink" Target="http://www.google.fr/" TargetMode="External"/><Relationship Id="rId105" Type="http://schemas.openxmlformats.org/officeDocument/2006/relationships/hyperlink" Target="http://www.google.fr/" TargetMode="External"/><Relationship Id="rId126" Type="http://schemas.openxmlformats.org/officeDocument/2006/relationships/hyperlink" Target="http://www.google.fr/" TargetMode="External"/><Relationship Id="rId147" Type="http://schemas.openxmlformats.org/officeDocument/2006/relationships/hyperlink" Target="http://www.google.fr/" TargetMode="External"/><Relationship Id="rId8" Type="http://schemas.openxmlformats.org/officeDocument/2006/relationships/hyperlink" Target="http://www.google.fr/" TargetMode="External"/><Relationship Id="rId51" Type="http://schemas.openxmlformats.org/officeDocument/2006/relationships/hyperlink" Target="http://www.google.fr/" TargetMode="External"/><Relationship Id="rId72" Type="http://schemas.openxmlformats.org/officeDocument/2006/relationships/hyperlink" Target="http://www.google.fr/" TargetMode="External"/><Relationship Id="rId93" Type="http://schemas.openxmlformats.org/officeDocument/2006/relationships/hyperlink" Target="http://www.google.fr/" TargetMode="External"/><Relationship Id="rId98" Type="http://schemas.openxmlformats.org/officeDocument/2006/relationships/hyperlink" Target="http://www.google.fr/" TargetMode="External"/><Relationship Id="rId121" Type="http://schemas.openxmlformats.org/officeDocument/2006/relationships/hyperlink" Target="http://www.google.fr/" TargetMode="External"/><Relationship Id="rId142" Type="http://schemas.openxmlformats.org/officeDocument/2006/relationships/hyperlink" Target="http://www.google.fr/" TargetMode="External"/><Relationship Id="rId3" Type="http://schemas.openxmlformats.org/officeDocument/2006/relationships/hyperlink" Target="http://www.google.fr/" TargetMode="External"/><Relationship Id="rId25" Type="http://schemas.openxmlformats.org/officeDocument/2006/relationships/hyperlink" Target="http://www.google.fr/" TargetMode="External"/><Relationship Id="rId46" Type="http://schemas.openxmlformats.org/officeDocument/2006/relationships/hyperlink" Target="http://www.google.fr/" TargetMode="External"/><Relationship Id="rId67" Type="http://schemas.openxmlformats.org/officeDocument/2006/relationships/hyperlink" Target="http://www.google.fr/" TargetMode="External"/><Relationship Id="rId116" Type="http://schemas.openxmlformats.org/officeDocument/2006/relationships/hyperlink" Target="http://www.google.fr/" TargetMode="External"/><Relationship Id="rId137" Type="http://schemas.openxmlformats.org/officeDocument/2006/relationships/hyperlink" Target="http://www.google.fr/" TargetMode="External"/><Relationship Id="rId20" Type="http://schemas.openxmlformats.org/officeDocument/2006/relationships/hyperlink" Target="http://www.google.fr/" TargetMode="External"/><Relationship Id="rId41" Type="http://schemas.openxmlformats.org/officeDocument/2006/relationships/hyperlink" Target="http://www.google.fr/" TargetMode="External"/><Relationship Id="rId62" Type="http://schemas.openxmlformats.org/officeDocument/2006/relationships/hyperlink" Target="http://www.google.fr/" TargetMode="External"/><Relationship Id="rId83" Type="http://schemas.openxmlformats.org/officeDocument/2006/relationships/hyperlink" Target="http://www.google.fr/" TargetMode="External"/><Relationship Id="rId88" Type="http://schemas.openxmlformats.org/officeDocument/2006/relationships/hyperlink" Target="http://www.google.fr/" TargetMode="External"/><Relationship Id="rId111" Type="http://schemas.openxmlformats.org/officeDocument/2006/relationships/hyperlink" Target="http://www.google.fr/" TargetMode="External"/><Relationship Id="rId132" Type="http://schemas.openxmlformats.org/officeDocument/2006/relationships/hyperlink" Target="http://www.google.fr/" TargetMode="External"/><Relationship Id="rId15" Type="http://schemas.openxmlformats.org/officeDocument/2006/relationships/hyperlink" Target="http://www.google.fr/" TargetMode="External"/><Relationship Id="rId36" Type="http://schemas.openxmlformats.org/officeDocument/2006/relationships/hyperlink" Target="http://www.google.fr/" TargetMode="External"/><Relationship Id="rId57" Type="http://schemas.openxmlformats.org/officeDocument/2006/relationships/hyperlink" Target="http://www.google.fr/" TargetMode="External"/><Relationship Id="rId106" Type="http://schemas.openxmlformats.org/officeDocument/2006/relationships/hyperlink" Target="http://www.google.fr/" TargetMode="External"/><Relationship Id="rId127" Type="http://schemas.openxmlformats.org/officeDocument/2006/relationships/hyperlink" Target="http://www.google.fr/" TargetMode="External"/><Relationship Id="rId10" Type="http://schemas.openxmlformats.org/officeDocument/2006/relationships/hyperlink" Target="http://www.google.fr/" TargetMode="External"/><Relationship Id="rId31" Type="http://schemas.openxmlformats.org/officeDocument/2006/relationships/hyperlink" Target="http://www.google.fr/" TargetMode="External"/><Relationship Id="rId52" Type="http://schemas.openxmlformats.org/officeDocument/2006/relationships/hyperlink" Target="http://www.google.fr/" TargetMode="External"/><Relationship Id="rId73" Type="http://schemas.openxmlformats.org/officeDocument/2006/relationships/hyperlink" Target="http://www.google.fr/" TargetMode="External"/><Relationship Id="rId78" Type="http://schemas.openxmlformats.org/officeDocument/2006/relationships/hyperlink" Target="http://www.google.fr/" TargetMode="External"/><Relationship Id="rId94" Type="http://schemas.openxmlformats.org/officeDocument/2006/relationships/hyperlink" Target="http://www.google.fr/" TargetMode="External"/><Relationship Id="rId99" Type="http://schemas.openxmlformats.org/officeDocument/2006/relationships/hyperlink" Target="http://www.google.fr/" TargetMode="External"/><Relationship Id="rId101" Type="http://schemas.openxmlformats.org/officeDocument/2006/relationships/hyperlink" Target="http://www.google.fr/" TargetMode="External"/><Relationship Id="rId122" Type="http://schemas.openxmlformats.org/officeDocument/2006/relationships/hyperlink" Target="http://www.google.fr/" TargetMode="External"/><Relationship Id="rId143" Type="http://schemas.openxmlformats.org/officeDocument/2006/relationships/hyperlink" Target="http://www.google.fr/" TargetMode="External"/><Relationship Id="rId148" Type="http://schemas.openxmlformats.org/officeDocument/2006/relationships/hyperlink" Target="http://www.google.fr/" TargetMode="External"/><Relationship Id="rId4" Type="http://schemas.openxmlformats.org/officeDocument/2006/relationships/hyperlink" Target="http://www.google.fr/" TargetMode="External"/><Relationship Id="rId9" Type="http://schemas.openxmlformats.org/officeDocument/2006/relationships/hyperlink" Target="http://www.google.fr/" TargetMode="External"/><Relationship Id="rId26" Type="http://schemas.openxmlformats.org/officeDocument/2006/relationships/hyperlink" Target="http://www.google.fr/" TargetMode="External"/><Relationship Id="rId47" Type="http://schemas.openxmlformats.org/officeDocument/2006/relationships/hyperlink" Target="http://www.google.fr/" TargetMode="External"/><Relationship Id="rId68" Type="http://schemas.openxmlformats.org/officeDocument/2006/relationships/hyperlink" Target="http://www.google.fr/" TargetMode="External"/><Relationship Id="rId89" Type="http://schemas.openxmlformats.org/officeDocument/2006/relationships/hyperlink" Target="http://www.google.fr/" TargetMode="External"/><Relationship Id="rId112" Type="http://schemas.openxmlformats.org/officeDocument/2006/relationships/hyperlink" Target="http://www.google.fr/" TargetMode="External"/><Relationship Id="rId133" Type="http://schemas.openxmlformats.org/officeDocument/2006/relationships/hyperlink" Target="http://www.google.fr/" TargetMode="External"/><Relationship Id="rId16" Type="http://schemas.openxmlformats.org/officeDocument/2006/relationships/hyperlink" Target="http://www.google.fr/" TargetMode="External"/><Relationship Id="rId37" Type="http://schemas.openxmlformats.org/officeDocument/2006/relationships/hyperlink" Target="http://www.google.fr/" TargetMode="External"/><Relationship Id="rId58" Type="http://schemas.openxmlformats.org/officeDocument/2006/relationships/hyperlink" Target="http://www.google.fr/" TargetMode="External"/><Relationship Id="rId79" Type="http://schemas.openxmlformats.org/officeDocument/2006/relationships/hyperlink" Target="http://www.google.fr/" TargetMode="External"/><Relationship Id="rId102" Type="http://schemas.openxmlformats.org/officeDocument/2006/relationships/hyperlink" Target="http://www.google.fr/" TargetMode="External"/><Relationship Id="rId123" Type="http://schemas.openxmlformats.org/officeDocument/2006/relationships/hyperlink" Target="http://www.google.fr/" TargetMode="External"/><Relationship Id="rId144" Type="http://schemas.openxmlformats.org/officeDocument/2006/relationships/hyperlink" Target="http://www.google.fr/" TargetMode="External"/><Relationship Id="rId90" Type="http://schemas.openxmlformats.org/officeDocument/2006/relationships/hyperlink" Target="http://www.google.fr/"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8"/>
  <sheetViews>
    <sheetView zoomScale="120" zoomScaleNormal="120" workbookViewId="0">
      <selection activeCell="J14" sqref="J14:K16"/>
    </sheetView>
  </sheetViews>
  <sheetFormatPr baseColWidth="10" defaultColWidth="9.1640625" defaultRowHeight="13"/>
  <cols>
    <col min="1" max="1" width="9.1640625" style="1"/>
    <col min="2" max="2" width="10.6640625" style="1" customWidth="1"/>
    <col min="3" max="4" width="9.1640625" style="1"/>
    <col min="5" max="5" width="13" style="1" customWidth="1"/>
    <col min="6" max="6" width="41" style="1" customWidth="1"/>
    <col min="7" max="11" width="9.1640625" style="1"/>
    <col min="12" max="12" width="16.1640625" style="1" customWidth="1"/>
    <col min="13" max="16384" width="9.1640625" style="1"/>
  </cols>
  <sheetData>
    <row r="1" spans="2:12" ht="66.5" customHeight="1">
      <c r="B1" s="6"/>
      <c r="C1" s="6"/>
      <c r="D1" s="6"/>
      <c r="E1" s="6"/>
      <c r="F1" s="6"/>
      <c r="G1" s="6"/>
      <c r="H1" s="6"/>
      <c r="I1" s="6"/>
      <c r="J1" s="6"/>
      <c r="K1" s="6"/>
      <c r="L1" s="6"/>
    </row>
    <row r="2" spans="2:12" ht="20.5" customHeight="1"/>
    <row r="5" spans="2:12">
      <c r="B5" s="452" t="s">
        <v>289</v>
      </c>
      <c r="C5" s="452"/>
      <c r="D5" s="452"/>
      <c r="E5" s="452"/>
    </row>
    <row r="6" spans="2:12">
      <c r="B6" s="452"/>
      <c r="C6" s="452"/>
      <c r="D6" s="452"/>
      <c r="E6" s="452"/>
      <c r="I6" s="447" t="s">
        <v>593</v>
      </c>
      <c r="J6" s="447"/>
      <c r="K6" s="447"/>
    </row>
    <row r="7" spans="2:12" ht="12.75" customHeight="1">
      <c r="B7" s="452"/>
      <c r="C7" s="452"/>
      <c r="D7" s="452"/>
      <c r="E7" s="452"/>
      <c r="J7" s="444" t="s">
        <v>521</v>
      </c>
      <c r="K7" s="444"/>
      <c r="L7" s="444"/>
    </row>
    <row r="8" spans="2:12" ht="12.75" customHeight="1">
      <c r="J8" s="444"/>
      <c r="K8" s="444"/>
      <c r="L8" s="444"/>
    </row>
    <row r="9" spans="2:12" ht="18">
      <c r="B9" s="446" t="s">
        <v>288</v>
      </c>
      <c r="C9" s="446"/>
      <c r="D9" s="446"/>
      <c r="E9" s="446"/>
      <c r="F9" s="446"/>
      <c r="G9" s="446"/>
      <c r="H9" s="446"/>
      <c r="I9" s="446"/>
      <c r="J9" s="446"/>
      <c r="K9" s="446"/>
      <c r="L9" s="446"/>
    </row>
    <row r="10" spans="2:12" ht="8.75" customHeight="1" thickBot="1"/>
    <row r="11" spans="2:12">
      <c r="B11" s="2"/>
      <c r="C11" s="3"/>
      <c r="D11" s="3"/>
      <c r="E11" s="3"/>
      <c r="F11" s="3"/>
      <c r="G11" s="3"/>
      <c r="H11" s="3"/>
      <c r="I11" s="3"/>
      <c r="J11" s="3"/>
      <c r="K11" s="3"/>
      <c r="L11" s="4"/>
    </row>
    <row r="12" spans="2:12" ht="20">
      <c r="B12" s="448" t="s">
        <v>307</v>
      </c>
      <c r="C12" s="449"/>
      <c r="D12" s="449"/>
      <c r="E12" s="449"/>
      <c r="F12" s="449"/>
      <c r="G12" s="449"/>
      <c r="H12" s="449"/>
      <c r="I12" s="449"/>
      <c r="J12" s="449"/>
      <c r="K12" s="449"/>
      <c r="L12" s="450"/>
    </row>
    <row r="13" spans="2:12" ht="20.5" customHeight="1">
      <c r="B13" s="5"/>
      <c r="C13" s="6"/>
      <c r="D13" s="6"/>
      <c r="E13" s="6"/>
      <c r="F13" s="6"/>
      <c r="G13" s="6"/>
      <c r="H13" s="6"/>
      <c r="I13" s="6"/>
      <c r="J13" s="29"/>
      <c r="K13" s="29"/>
      <c r="L13" s="7"/>
    </row>
    <row r="14" spans="2:12" ht="15" customHeight="1">
      <c r="B14" s="22" t="s">
        <v>306</v>
      </c>
      <c r="C14" s="8" t="s">
        <v>0</v>
      </c>
      <c r="D14" s="8"/>
      <c r="E14" s="6"/>
      <c r="F14" s="28" t="s">
        <v>595</v>
      </c>
      <c r="G14" s="9" t="s">
        <v>12</v>
      </c>
      <c r="H14" s="10" t="s">
        <v>284</v>
      </c>
      <c r="I14" s="6"/>
      <c r="J14" s="453" t="s">
        <v>406</v>
      </c>
      <c r="K14" s="453"/>
      <c r="L14" s="7"/>
    </row>
    <row r="15" spans="2:12" ht="16">
      <c r="B15" s="23"/>
      <c r="C15" s="8"/>
      <c r="D15" s="8"/>
      <c r="E15" s="6"/>
      <c r="F15" s="31"/>
      <c r="G15" s="6"/>
      <c r="H15" s="6"/>
      <c r="I15" s="6"/>
      <c r="J15" s="453"/>
      <c r="K15" s="453"/>
      <c r="L15" s="7"/>
    </row>
    <row r="16" spans="2:12" ht="16">
      <c r="B16" s="22" t="s">
        <v>308</v>
      </c>
      <c r="C16" s="8" t="s">
        <v>2</v>
      </c>
      <c r="D16" s="8"/>
      <c r="E16" s="6"/>
      <c r="F16" s="32" t="s">
        <v>7</v>
      </c>
      <c r="G16" s="9" t="s">
        <v>12</v>
      </c>
      <c r="H16" s="10" t="s">
        <v>24</v>
      </c>
      <c r="I16" s="6"/>
      <c r="J16" s="453"/>
      <c r="K16" s="453"/>
      <c r="L16" s="7"/>
    </row>
    <row r="17" spans="2:12" ht="16">
      <c r="B17" s="23"/>
      <c r="C17" s="8"/>
      <c r="D17" s="8"/>
      <c r="E17" s="6"/>
      <c r="F17" s="33"/>
      <c r="G17" s="10"/>
      <c r="H17" s="10"/>
      <c r="I17" s="6"/>
      <c r="J17" s="29"/>
      <c r="K17" s="29"/>
      <c r="L17" s="7"/>
    </row>
    <row r="18" spans="2:12" ht="15" customHeight="1">
      <c r="B18" s="22" t="s">
        <v>309</v>
      </c>
      <c r="C18" s="8" t="s">
        <v>3</v>
      </c>
      <c r="D18" s="8"/>
      <c r="E18" s="6"/>
      <c r="F18" s="32">
        <v>0</v>
      </c>
      <c r="G18" s="9" t="s">
        <v>12</v>
      </c>
      <c r="H18" s="10" t="s">
        <v>24</v>
      </c>
      <c r="I18" s="6"/>
      <c r="J18" s="453" t="s">
        <v>407</v>
      </c>
      <c r="K18" s="453"/>
      <c r="L18" s="24"/>
    </row>
    <row r="19" spans="2:12" ht="16">
      <c r="B19" s="23"/>
      <c r="C19" s="8"/>
      <c r="D19" s="8"/>
      <c r="E19" s="6"/>
      <c r="F19" s="34"/>
      <c r="G19" s="10"/>
      <c r="H19" s="10"/>
      <c r="I19" s="6"/>
      <c r="J19" s="453"/>
      <c r="K19" s="453"/>
      <c r="L19" s="24"/>
    </row>
    <row r="20" spans="2:12" ht="16">
      <c r="B20" s="22" t="s">
        <v>310</v>
      </c>
      <c r="C20" s="8" t="s">
        <v>4</v>
      </c>
      <c r="D20" s="8"/>
      <c r="E20" s="6"/>
      <c r="F20" s="32">
        <v>0</v>
      </c>
      <c r="G20" s="9" t="s">
        <v>12</v>
      </c>
      <c r="H20" s="10" t="s">
        <v>24</v>
      </c>
      <c r="I20" s="6"/>
      <c r="J20" s="453"/>
      <c r="K20" s="453"/>
      <c r="L20" s="24"/>
    </row>
    <row r="21" spans="2:12" ht="16">
      <c r="B21" s="23"/>
      <c r="C21" s="6"/>
      <c r="D21" s="8"/>
      <c r="E21" s="6"/>
      <c r="F21" s="33"/>
      <c r="G21" s="10"/>
      <c r="H21" s="10"/>
      <c r="I21" s="6"/>
      <c r="J21" s="30"/>
      <c r="K21" s="30"/>
      <c r="L21" s="24"/>
    </row>
    <row r="22" spans="2:12" ht="15" customHeight="1">
      <c r="B22" s="22" t="s">
        <v>311</v>
      </c>
      <c r="C22" s="11" t="s">
        <v>287</v>
      </c>
      <c r="D22" s="8"/>
      <c r="E22" s="6"/>
      <c r="F22" s="35">
        <v>46174</v>
      </c>
      <c r="G22" s="9" t="s">
        <v>12</v>
      </c>
      <c r="H22" s="10" t="s">
        <v>24</v>
      </c>
      <c r="I22" s="6"/>
      <c r="J22" s="453" t="s">
        <v>408</v>
      </c>
      <c r="K22" s="453"/>
      <c r="L22" s="24"/>
    </row>
    <row r="23" spans="2:12">
      <c r="B23" s="23"/>
      <c r="C23" s="29"/>
      <c r="D23" s="29"/>
      <c r="E23" s="29"/>
      <c r="F23" s="29"/>
      <c r="G23" s="6"/>
      <c r="H23" s="6"/>
      <c r="I23" s="6"/>
      <c r="J23" s="453"/>
      <c r="K23" s="453"/>
      <c r="L23" s="24"/>
    </row>
    <row r="24" spans="2:12">
      <c r="B24" s="22" t="s">
        <v>312</v>
      </c>
      <c r="C24" s="451" t="s">
        <v>313</v>
      </c>
      <c r="D24" s="451"/>
      <c r="E24" s="451"/>
      <c r="F24" s="451"/>
      <c r="G24" s="6"/>
      <c r="H24" s="6"/>
      <c r="I24" s="6"/>
      <c r="J24" s="453"/>
      <c r="K24" s="453"/>
      <c r="L24" s="24"/>
    </row>
    <row r="25" spans="2:12">
      <c r="B25" s="23"/>
      <c r="C25" s="29"/>
      <c r="D25" s="29"/>
      <c r="E25" s="29"/>
      <c r="F25" s="29"/>
      <c r="G25" s="6"/>
      <c r="H25" s="6"/>
      <c r="I25" s="6"/>
      <c r="J25" s="29"/>
      <c r="K25" s="29"/>
      <c r="L25" s="7"/>
    </row>
    <row r="26" spans="2:12">
      <c r="B26" s="22" t="s">
        <v>316</v>
      </c>
      <c r="C26" s="451" t="s">
        <v>317</v>
      </c>
      <c r="D26" s="451"/>
      <c r="E26" s="451"/>
      <c r="F26" s="451"/>
      <c r="G26" s="6"/>
      <c r="H26" s="6"/>
      <c r="I26" s="6"/>
      <c r="J26" s="454" t="s">
        <v>470</v>
      </c>
      <c r="K26" s="454"/>
      <c r="L26" s="7"/>
    </row>
    <row r="27" spans="2:12">
      <c r="B27" s="5"/>
      <c r="C27" s="29"/>
      <c r="D27" s="29"/>
      <c r="E27" s="29"/>
      <c r="F27" s="29"/>
      <c r="G27" s="6"/>
      <c r="H27" s="6"/>
      <c r="I27" s="6"/>
      <c r="J27" s="454"/>
      <c r="K27" s="454"/>
      <c r="L27" s="7"/>
    </row>
    <row r="28" spans="2:12" ht="14">
      <c r="B28" s="5"/>
      <c r="C28" s="36"/>
      <c r="D28" s="29"/>
      <c r="E28" s="29"/>
      <c r="F28" s="29"/>
      <c r="G28" s="6"/>
      <c r="H28" s="6"/>
      <c r="I28" s="6"/>
      <c r="J28" s="454"/>
      <c r="K28" s="454"/>
      <c r="L28" s="7"/>
    </row>
    <row r="29" spans="2:12">
      <c r="B29" s="5"/>
      <c r="C29" s="445"/>
      <c r="D29" s="445"/>
      <c r="E29" s="445"/>
      <c r="F29" s="37"/>
      <c r="G29" s="6"/>
      <c r="H29" s="6"/>
      <c r="I29" s="6"/>
      <c r="J29" s="6"/>
      <c r="K29" s="6"/>
      <c r="L29" s="7"/>
    </row>
    <row r="30" spans="2:12">
      <c r="B30" s="5"/>
      <c r="C30" s="14"/>
      <c r="D30" s="6"/>
      <c r="E30" s="6"/>
      <c r="F30" s="13"/>
      <c r="G30" s="6"/>
      <c r="H30" s="6"/>
      <c r="I30" s="6"/>
      <c r="J30" s="6"/>
      <c r="K30" s="6"/>
      <c r="L30" s="7"/>
    </row>
    <row r="31" spans="2:12">
      <c r="B31" s="5"/>
      <c r="C31" s="6"/>
      <c r="D31" s="6"/>
      <c r="E31" s="6"/>
      <c r="F31" s="15"/>
      <c r="G31" s="6"/>
      <c r="H31" s="6"/>
      <c r="I31" s="6"/>
      <c r="J31" s="6"/>
      <c r="K31" s="6"/>
      <c r="L31" s="7"/>
    </row>
    <row r="32" spans="2:12" ht="14">
      <c r="B32" s="5"/>
      <c r="C32" s="12" t="s">
        <v>17</v>
      </c>
      <c r="D32" s="6"/>
      <c r="E32" s="6"/>
      <c r="F32" s="6"/>
      <c r="G32" s="6"/>
      <c r="H32" s="6"/>
      <c r="I32" s="6"/>
      <c r="J32" s="6"/>
      <c r="K32" s="6"/>
      <c r="L32" s="7"/>
    </row>
    <row r="33" spans="2:12">
      <c r="B33" s="5"/>
      <c r="C33" s="16" t="s">
        <v>18</v>
      </c>
      <c r="D33" s="6"/>
      <c r="E33" s="6"/>
      <c r="F33" s="6"/>
      <c r="G33" s="6"/>
      <c r="H33" s="6"/>
      <c r="I33" s="6"/>
      <c r="J33" s="6"/>
      <c r="K33" s="6"/>
      <c r="L33" s="7"/>
    </row>
    <row r="34" spans="2:12">
      <c r="B34" s="5"/>
      <c r="C34" s="16" t="s">
        <v>19</v>
      </c>
      <c r="D34" s="6"/>
      <c r="E34" s="6"/>
      <c r="F34" s="6"/>
      <c r="G34" s="6"/>
      <c r="H34" s="6"/>
      <c r="I34" s="6"/>
      <c r="J34" s="6"/>
      <c r="K34" s="6"/>
      <c r="L34" s="7"/>
    </row>
    <row r="35" spans="2:12">
      <c r="B35" s="5"/>
      <c r="C35" s="16" t="s">
        <v>21</v>
      </c>
      <c r="D35" s="6"/>
      <c r="E35" s="6"/>
      <c r="F35" s="6"/>
      <c r="G35" s="6"/>
      <c r="H35" s="6"/>
      <c r="I35" s="6"/>
      <c r="J35" s="6"/>
      <c r="K35" s="6"/>
      <c r="L35" s="7"/>
    </row>
    <row r="36" spans="2:12">
      <c r="B36" s="5"/>
      <c r="C36" s="16" t="s">
        <v>20</v>
      </c>
      <c r="D36" s="6"/>
      <c r="E36" s="6"/>
      <c r="F36" s="6"/>
      <c r="G36" s="6"/>
      <c r="H36" s="6"/>
      <c r="I36" s="6"/>
      <c r="J36" s="6"/>
      <c r="K36" s="6"/>
      <c r="L36" s="7"/>
    </row>
    <row r="37" spans="2:12">
      <c r="B37" s="5"/>
      <c r="C37" s="16" t="s">
        <v>22</v>
      </c>
      <c r="D37" s="6"/>
      <c r="E37" s="6"/>
      <c r="F37" s="6"/>
      <c r="G37" s="6"/>
      <c r="H37" s="6"/>
      <c r="I37" s="6"/>
      <c r="J37" s="6"/>
      <c r="K37" s="6"/>
      <c r="L37" s="7"/>
    </row>
    <row r="38" spans="2:12">
      <c r="B38" s="5"/>
      <c r="C38" s="16" t="s">
        <v>23</v>
      </c>
      <c r="D38" s="6"/>
      <c r="E38" s="6"/>
      <c r="F38" s="6"/>
      <c r="G38" s="6"/>
      <c r="H38" s="6"/>
      <c r="I38" s="6"/>
      <c r="J38" s="6"/>
      <c r="K38" s="6"/>
      <c r="L38" s="7"/>
    </row>
    <row r="39" spans="2:12">
      <c r="B39" s="5"/>
      <c r="C39" s="16"/>
      <c r="D39" s="6"/>
      <c r="E39" s="6"/>
      <c r="F39" s="6"/>
      <c r="G39" s="6"/>
      <c r="H39" s="6"/>
      <c r="I39" s="6"/>
      <c r="J39" s="6"/>
      <c r="K39" s="6"/>
      <c r="L39" s="7"/>
    </row>
    <row r="40" spans="2:12" ht="14">
      <c r="B40" s="5"/>
      <c r="C40" s="12" t="s">
        <v>292</v>
      </c>
      <c r="D40" s="6"/>
      <c r="E40" s="6"/>
      <c r="F40" s="6"/>
      <c r="G40" s="6"/>
      <c r="H40" s="6"/>
      <c r="I40" s="6"/>
      <c r="J40" s="6"/>
      <c r="K40" s="6"/>
      <c r="L40" s="7"/>
    </row>
    <row r="41" spans="2:12">
      <c r="B41" s="5"/>
      <c r="C41" s="16" t="s">
        <v>291</v>
      </c>
      <c r="D41" s="6"/>
      <c r="E41" s="6"/>
      <c r="F41" s="6"/>
      <c r="G41" s="6"/>
      <c r="H41" s="6"/>
      <c r="I41" s="6"/>
      <c r="J41" s="6"/>
      <c r="K41" s="6"/>
      <c r="L41" s="7"/>
    </row>
    <row r="42" spans="2:12">
      <c r="B42" s="5"/>
      <c r="C42" s="16" t="s">
        <v>582</v>
      </c>
      <c r="D42" s="6"/>
      <c r="E42" s="6"/>
      <c r="F42" s="6"/>
      <c r="G42" s="6"/>
      <c r="H42" s="6"/>
      <c r="I42" s="6"/>
      <c r="J42" s="6"/>
      <c r="K42" s="6"/>
      <c r="L42" s="7"/>
    </row>
    <row r="43" spans="2:12">
      <c r="B43" s="5"/>
      <c r="C43" s="17" t="s">
        <v>293</v>
      </c>
      <c r="D43" s="6"/>
      <c r="E43" s="6"/>
      <c r="F43" s="6"/>
      <c r="G43" s="6"/>
      <c r="H43" s="16"/>
      <c r="I43" s="18"/>
      <c r="J43" s="18"/>
      <c r="K43" s="6"/>
      <c r="L43" s="7"/>
    </row>
    <row r="44" spans="2:12">
      <c r="B44" s="5"/>
      <c r="C44" s="16" t="s">
        <v>583</v>
      </c>
      <c r="D44" s="6"/>
      <c r="E44" s="6"/>
      <c r="F44" s="6"/>
      <c r="G44" s="6"/>
      <c r="H44" s="16"/>
      <c r="I44" s="18"/>
      <c r="J44" s="18"/>
      <c r="K44" s="6"/>
      <c r="L44" s="7"/>
    </row>
    <row r="45" spans="2:12">
      <c r="B45" s="5"/>
      <c r="C45" s="16" t="s">
        <v>584</v>
      </c>
      <c r="D45" s="6"/>
      <c r="E45" s="6"/>
      <c r="F45" s="6"/>
      <c r="G45" s="6"/>
      <c r="H45" s="16"/>
      <c r="I45" s="18"/>
      <c r="J45" s="18"/>
      <c r="K45" s="6"/>
      <c r="L45" s="7"/>
    </row>
    <row r="46" spans="2:12">
      <c r="B46" s="5"/>
      <c r="C46" s="17" t="s">
        <v>294</v>
      </c>
      <c r="D46" s="6"/>
      <c r="E46" s="6"/>
      <c r="F46" s="6"/>
      <c r="G46" s="6"/>
      <c r="H46" s="16"/>
      <c r="I46" s="18"/>
      <c r="J46" s="18"/>
      <c r="K46" s="6"/>
      <c r="L46" s="7"/>
    </row>
    <row r="47" spans="2:12">
      <c r="B47" s="5"/>
      <c r="C47" s="6"/>
      <c r="D47" s="6"/>
      <c r="E47" s="6"/>
      <c r="F47" s="6"/>
      <c r="G47" s="6"/>
      <c r="H47" s="16" t="s">
        <v>594</v>
      </c>
      <c r="I47" s="6"/>
      <c r="J47" s="6"/>
      <c r="K47" s="6"/>
      <c r="L47" s="7"/>
    </row>
    <row r="48" spans="2:12" ht="14" thickBot="1">
      <c r="B48" s="19"/>
      <c r="C48" s="20"/>
      <c r="D48" s="20"/>
      <c r="E48" s="20"/>
      <c r="F48" s="20"/>
      <c r="G48" s="20"/>
      <c r="H48" s="20"/>
      <c r="I48" s="20"/>
      <c r="J48" s="20"/>
      <c r="K48" s="20"/>
      <c r="L48" s="21"/>
    </row>
  </sheetData>
  <sheetProtection algorithmName="SHA-512" hashValue="KP8MVDuCFm5xJxUCaAGpXChSM13Tu7RNaoF3kDzUDmf12ZiTuTcujCj0Goi8BGgLUG83NEHWT4Fvrmtc/LSRTA==" saltValue="e9uWFSbqqe3wXJjB0/Iqeg==" spinCount="100000" sheet="1" objects="1" scenarios="1" formatCells="0" insertHyperlinks="0"/>
  <mergeCells count="12">
    <mergeCell ref="J7:L8"/>
    <mergeCell ref="C29:E29"/>
    <mergeCell ref="B9:L9"/>
    <mergeCell ref="I6:K6"/>
    <mergeCell ref="B12:L12"/>
    <mergeCell ref="C24:F24"/>
    <mergeCell ref="C26:F26"/>
    <mergeCell ref="B5:E7"/>
    <mergeCell ref="J14:K16"/>
    <mergeCell ref="J18:K20"/>
    <mergeCell ref="J22:K24"/>
    <mergeCell ref="J26:K28"/>
  </mergeCells>
  <phoneticPr fontId="3" type="noConversion"/>
  <dataValidations count="2">
    <dataValidation type="list" allowBlank="1" showInputMessage="1" showErrorMessage="1" sqref="F20" xr:uid="{00000000-0002-0000-0000-000000000000}">
      <formula1>NBMAJ1</formula1>
    </dataValidation>
    <dataValidation type="list" allowBlank="1" showInputMessage="1" showErrorMessage="1" sqref="F18" xr:uid="{00000000-0002-0000-0000-000001000000}">
      <formula1>NBMIN1</formula1>
    </dataValidation>
  </dataValidations>
  <hyperlinks>
    <hyperlink ref="C24" location="'Menu 2'!A1" tooltip="Configurez vos comptes et solutions d'épargne" display="Configurer vos comptes bancaires et vos solutions d'épargne en cliquant ici" xr:uid="{00000000-0004-0000-0000-000000000000}"/>
    <hyperlink ref="C26" location="'Budget Gold'!A1" tooltip="Configurez vos comptes et solutions d'épargne" display="Accéder à votre tableau Budget Gold" xr:uid="{00000000-0004-0000-0000-000001000000}"/>
    <hyperlink ref="B5:E7" location="'Budget Gold'!A1" tooltip="Accéder au tableau Budget Gold" display="Cliquer pour accéder à votre Budget Gold" xr:uid="{00000000-0004-0000-0000-000002000000}"/>
    <hyperlink ref="J14:K16" location="'ImmoView 1'!A1" tooltip="Accès à Immoview 1" display="Gestion immobilière ImmoView 1" xr:uid="{00000000-0004-0000-0000-000003000000}"/>
    <hyperlink ref="J18:K20" location="'ImmoView 2'!A1" tooltip="Accès à Immoview 2" display="Gestion immobilière ImmoView 2" xr:uid="{00000000-0004-0000-0000-000004000000}"/>
    <hyperlink ref="J22:K24" location="'ImmoView 3'!A1" tooltip="Accès à Immoview 3" display="Gestion immobilière ImmoView 3" xr:uid="{00000000-0004-0000-0000-000005000000}"/>
    <hyperlink ref="J26:K28" location="'Menu Mariage'!A1" tooltip="Accès à Mariage Gold" display="Budget d'un mariage Mariage-Gold" xr:uid="{00000000-0004-0000-0000-000006000000}"/>
  </hyperlinks>
  <pageMargins left="0.78740157499999996" right="0.78740157499999996" top="0.984251969" bottom="0.984251969" header="0.5" footer="0.5"/>
  <pageSetup paperSize="9" orientation="portrait" r:id="rId1"/>
  <headerFooter alignWithMargins="0"/>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Données!$B$8:$B$13</xm:f>
          </x14:formula1>
          <xm:sqref>F16</xm:sqref>
        </x14:dataValidation>
        <x14:dataValidation type="list" allowBlank="1" showInputMessage="1" xr:uid="{00000000-0002-0000-0000-000003000000}">
          <x14:formula1>
            <xm:f>Données!$H$8:$H$19</xm:f>
          </x14:formula1>
          <xm:sqref>F22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53"/>
  <sheetViews>
    <sheetView zoomScale="110" zoomScaleNormal="110" workbookViewId="0">
      <selection activeCell="B2" sqref="B2:B4"/>
    </sheetView>
  </sheetViews>
  <sheetFormatPr baseColWidth="10" defaultColWidth="11.33203125" defaultRowHeight="13"/>
  <cols>
    <col min="1" max="1" width="11.33203125" style="64"/>
    <col min="2" max="2" width="33.6640625" style="64" customWidth="1"/>
    <col min="3" max="3" width="5.33203125" style="65" customWidth="1"/>
    <col min="4" max="4" width="1.33203125" style="64" customWidth="1"/>
    <col min="5" max="5" width="35.1640625" style="64" customWidth="1"/>
    <col min="6" max="7" width="11.33203125" style="64"/>
    <col min="8" max="8" width="35.33203125" style="64" bestFit="1" customWidth="1"/>
    <col min="9" max="16384" width="11.33203125" style="64"/>
  </cols>
  <sheetData>
    <row r="1" spans="2:8" ht="7.5" customHeight="1"/>
    <row r="2" spans="2:8" s="65" customFormat="1">
      <c r="B2" s="452" t="s">
        <v>330</v>
      </c>
      <c r="E2" s="455" t="s">
        <v>314</v>
      </c>
    </row>
    <row r="3" spans="2:8" s="65" customFormat="1">
      <c r="B3" s="452"/>
      <c r="E3" s="455"/>
    </row>
    <row r="4" spans="2:8" s="65" customFormat="1">
      <c r="B4" s="452"/>
      <c r="E4" s="455"/>
    </row>
    <row r="6" spans="2:8" ht="16">
      <c r="B6" s="66" t="s">
        <v>278</v>
      </c>
    </row>
    <row r="7" spans="2:8">
      <c r="B7" s="65" t="s">
        <v>280</v>
      </c>
    </row>
    <row r="8" spans="2:8">
      <c r="B8" s="65"/>
      <c r="C8" s="65">
        <v>1</v>
      </c>
      <c r="E8" s="349" t="s">
        <v>596</v>
      </c>
      <c r="G8" s="67" t="s">
        <v>232</v>
      </c>
      <c r="H8" s="68" t="s">
        <v>282</v>
      </c>
    </row>
    <row r="9" spans="2:8">
      <c r="C9" s="65">
        <v>2</v>
      </c>
      <c r="E9" s="349" t="s">
        <v>597</v>
      </c>
      <c r="H9" s="68" t="s">
        <v>281</v>
      </c>
    </row>
    <row r="10" spans="2:8">
      <c r="C10" s="65">
        <v>3</v>
      </c>
      <c r="E10" s="349"/>
      <c r="H10" s="68" t="s">
        <v>283</v>
      </c>
    </row>
    <row r="11" spans="2:8">
      <c r="C11" s="65">
        <f>C10+1</f>
        <v>4</v>
      </c>
      <c r="E11" s="349"/>
      <c r="H11" s="68" t="s">
        <v>352</v>
      </c>
    </row>
    <row r="12" spans="2:8">
      <c r="C12" s="65">
        <f t="shared" ref="C12:C19" si="0">C11+1</f>
        <v>5</v>
      </c>
      <c r="E12" s="349"/>
      <c r="H12" s="68" t="s">
        <v>472</v>
      </c>
    </row>
    <row r="13" spans="2:8">
      <c r="C13" s="65">
        <f t="shared" si="0"/>
        <v>6</v>
      </c>
      <c r="E13" s="349"/>
    </row>
    <row r="14" spans="2:8">
      <c r="C14" s="65">
        <f t="shared" si="0"/>
        <v>7</v>
      </c>
      <c r="E14" s="349"/>
    </row>
    <row r="15" spans="2:8">
      <c r="C15" s="65">
        <f t="shared" si="0"/>
        <v>8</v>
      </c>
      <c r="E15" s="349"/>
    </row>
    <row r="16" spans="2:8">
      <c r="C16" s="65">
        <f t="shared" si="0"/>
        <v>9</v>
      </c>
      <c r="E16" s="349"/>
    </row>
    <row r="17" spans="2:8">
      <c r="C17" s="65">
        <f t="shared" si="0"/>
        <v>10</v>
      </c>
      <c r="E17" s="349"/>
    </row>
    <row r="18" spans="2:8">
      <c r="C18" s="65">
        <f t="shared" si="0"/>
        <v>11</v>
      </c>
      <c r="E18" s="349"/>
    </row>
    <row r="19" spans="2:8">
      <c r="C19" s="65">
        <f t="shared" si="0"/>
        <v>12</v>
      </c>
      <c r="E19" s="349"/>
    </row>
    <row r="22" spans="2:8" ht="16">
      <c r="B22" s="66" t="s">
        <v>471</v>
      </c>
    </row>
    <row r="23" spans="2:8">
      <c r="B23" s="65" t="s">
        <v>279</v>
      </c>
    </row>
    <row r="24" spans="2:8">
      <c r="B24" s="65" t="s">
        <v>315</v>
      </c>
      <c r="C24" s="65">
        <v>1</v>
      </c>
      <c r="E24" s="349" t="s">
        <v>598</v>
      </c>
      <c r="G24" s="67" t="s">
        <v>232</v>
      </c>
      <c r="H24" s="68" t="s">
        <v>235</v>
      </c>
    </row>
    <row r="25" spans="2:8">
      <c r="C25" s="65">
        <v>2</v>
      </c>
      <c r="E25" s="349" t="s">
        <v>599</v>
      </c>
      <c r="H25" s="68" t="s">
        <v>236</v>
      </c>
    </row>
    <row r="26" spans="2:8">
      <c r="C26" s="65">
        <v>3</v>
      </c>
      <c r="E26" s="349" t="s">
        <v>600</v>
      </c>
      <c r="H26" s="68" t="s">
        <v>233</v>
      </c>
    </row>
    <row r="27" spans="2:8">
      <c r="C27" s="65">
        <f>C26+1</f>
        <v>4</v>
      </c>
      <c r="E27" s="349" t="s">
        <v>601</v>
      </c>
      <c r="H27" s="68" t="s">
        <v>234</v>
      </c>
    </row>
    <row r="28" spans="2:8">
      <c r="C28" s="65">
        <f t="shared" ref="C28:C53" si="1">C27+1</f>
        <v>5</v>
      </c>
      <c r="E28" s="349" t="s">
        <v>602</v>
      </c>
      <c r="H28" s="68" t="s">
        <v>331</v>
      </c>
    </row>
    <row r="29" spans="2:8">
      <c r="C29" s="65">
        <f t="shared" si="1"/>
        <v>6</v>
      </c>
      <c r="E29" s="349"/>
      <c r="H29" s="68" t="s">
        <v>352</v>
      </c>
    </row>
    <row r="30" spans="2:8">
      <c r="C30" s="65">
        <f t="shared" si="1"/>
        <v>7</v>
      </c>
      <c r="E30" s="349"/>
    </row>
    <row r="31" spans="2:8">
      <c r="C31" s="65">
        <f t="shared" si="1"/>
        <v>8</v>
      </c>
      <c r="E31" s="349"/>
    </row>
    <row r="32" spans="2:8">
      <c r="C32" s="65">
        <f t="shared" si="1"/>
        <v>9</v>
      </c>
      <c r="E32" s="349"/>
    </row>
    <row r="33" spans="3:5">
      <c r="C33" s="65">
        <f t="shared" si="1"/>
        <v>10</v>
      </c>
      <c r="E33" s="349"/>
    </row>
    <row r="34" spans="3:5">
      <c r="C34" s="65">
        <f t="shared" si="1"/>
        <v>11</v>
      </c>
      <c r="E34" s="349"/>
    </row>
    <row r="35" spans="3:5">
      <c r="C35" s="65">
        <f t="shared" si="1"/>
        <v>12</v>
      </c>
      <c r="E35" s="349"/>
    </row>
    <row r="36" spans="3:5">
      <c r="C36" s="65">
        <f t="shared" si="1"/>
        <v>13</v>
      </c>
      <c r="E36" s="349"/>
    </row>
    <row r="37" spans="3:5">
      <c r="C37" s="65">
        <f t="shared" si="1"/>
        <v>14</v>
      </c>
      <c r="E37" s="349"/>
    </row>
    <row r="38" spans="3:5">
      <c r="C38" s="65">
        <f t="shared" si="1"/>
        <v>15</v>
      </c>
      <c r="E38" s="350"/>
    </row>
    <row r="39" spans="3:5">
      <c r="C39" s="65">
        <f t="shared" si="1"/>
        <v>16</v>
      </c>
      <c r="E39" s="349"/>
    </row>
    <row r="40" spans="3:5">
      <c r="C40" s="65">
        <f t="shared" si="1"/>
        <v>17</v>
      </c>
      <c r="E40" s="349"/>
    </row>
    <row r="41" spans="3:5">
      <c r="C41" s="65">
        <f t="shared" si="1"/>
        <v>18</v>
      </c>
      <c r="E41" s="350"/>
    </row>
    <row r="42" spans="3:5">
      <c r="C42" s="65">
        <f t="shared" si="1"/>
        <v>19</v>
      </c>
      <c r="E42" s="350"/>
    </row>
    <row r="43" spans="3:5">
      <c r="C43" s="65">
        <f t="shared" si="1"/>
        <v>20</v>
      </c>
      <c r="E43" s="350"/>
    </row>
    <row r="44" spans="3:5">
      <c r="C44" s="65">
        <f t="shared" si="1"/>
        <v>21</v>
      </c>
      <c r="E44" s="350"/>
    </row>
    <row r="45" spans="3:5">
      <c r="C45" s="65">
        <f t="shared" si="1"/>
        <v>22</v>
      </c>
      <c r="E45" s="350"/>
    </row>
    <row r="46" spans="3:5">
      <c r="C46" s="65">
        <f t="shared" si="1"/>
        <v>23</v>
      </c>
      <c r="E46" s="349"/>
    </row>
    <row r="47" spans="3:5">
      <c r="C47" s="65">
        <f t="shared" si="1"/>
        <v>24</v>
      </c>
      <c r="E47" s="349"/>
    </row>
    <row r="48" spans="3:5">
      <c r="C48" s="65">
        <f t="shared" si="1"/>
        <v>25</v>
      </c>
      <c r="E48" s="350"/>
    </row>
    <row r="49" spans="3:5">
      <c r="C49" s="65">
        <f t="shared" si="1"/>
        <v>26</v>
      </c>
      <c r="E49" s="349"/>
    </row>
    <row r="50" spans="3:5">
      <c r="C50" s="65">
        <f t="shared" si="1"/>
        <v>27</v>
      </c>
      <c r="E50" s="349"/>
    </row>
    <row r="51" spans="3:5">
      <c r="C51" s="65">
        <f t="shared" si="1"/>
        <v>28</v>
      </c>
      <c r="E51" s="349"/>
    </row>
    <row r="52" spans="3:5">
      <c r="C52" s="65">
        <f t="shared" si="1"/>
        <v>29</v>
      </c>
      <c r="E52" s="349"/>
    </row>
    <row r="53" spans="3:5">
      <c r="C53" s="65">
        <f t="shared" si="1"/>
        <v>30</v>
      </c>
      <c r="E53" s="442" t="s">
        <v>588</v>
      </c>
    </row>
  </sheetData>
  <sheetProtection algorithmName="SHA-512" hashValue="bt7zozsPXNDsWw5Sm02JkZAyWIohKpwnSwrF+coqiUPI83+Z6xFa4q24Ie7rhLQ0fXyl9bID4VFibhh77Y4vQA==" saltValue="NgTTPebZ0vb90rTpxIOfyw==" spinCount="100000" sheet="1" objects="1" scenarios="1" insertHyperlinks="0"/>
  <mergeCells count="2">
    <mergeCell ref="B2:B4"/>
    <mergeCell ref="E2:E4"/>
  </mergeCells>
  <hyperlinks>
    <hyperlink ref="B2" location="'Budget Gold'!A1" display="Retour au budget" xr:uid="{00000000-0004-0000-0100-000000000000}"/>
    <hyperlink ref="E2:E4" location="Menu!A1" tooltip="Accéder au Menu général" display="Retour au Menu" xr:uid="{00000000-0004-0000-0100-000001000000}"/>
    <hyperlink ref="B2:B4" location="'Budget Gold'!A1" tooltip="Accéder au Budget Gold" display="Retour au budget" xr:uid="{00000000-0004-0000-0100-000002000000}"/>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D1488"/>
  <sheetViews>
    <sheetView tabSelected="1" zoomScale="150" zoomScaleNormal="150" workbookViewId="0">
      <pane xSplit="8" ySplit="7" topLeftCell="I20" activePane="bottomRight" state="frozen"/>
      <selection pane="topRight" activeCell="I1" sqref="I1"/>
      <selection pane="bottomLeft" activeCell="A8" sqref="A8"/>
      <selection pane="bottomRight" activeCell="AD70" sqref="AD70"/>
    </sheetView>
  </sheetViews>
  <sheetFormatPr baseColWidth="10" defaultColWidth="9.1640625" defaultRowHeight="13"/>
  <cols>
    <col min="1" max="1" width="3.5" style="1" customWidth="1"/>
    <col min="2" max="3" width="1.33203125" style="1" customWidth="1"/>
    <col min="4" max="4" width="11.5" style="172" customWidth="1"/>
    <col min="5" max="5" width="4.83203125" style="172" customWidth="1"/>
    <col min="6" max="6" width="41.33203125" style="172" customWidth="1"/>
    <col min="7" max="7" width="17.5" style="172" customWidth="1"/>
    <col min="8" max="8" width="2.1640625" style="1" customWidth="1"/>
    <col min="9" max="9" width="7" style="172" customWidth="1"/>
    <col min="10" max="10" width="11.33203125" style="172" customWidth="1"/>
    <col min="11" max="11" width="3.5" style="172" customWidth="1"/>
    <col min="12" max="12" width="7" style="172" customWidth="1"/>
    <col min="13" max="13" width="11.33203125" style="172" customWidth="1"/>
    <col min="14" max="14" width="3.33203125" style="172" customWidth="1"/>
    <col min="15" max="15" width="7" style="172" customWidth="1"/>
    <col min="16" max="16" width="11.33203125" style="172" customWidth="1"/>
    <col min="17" max="17" width="3.33203125" style="172" customWidth="1"/>
    <col min="18" max="18" width="7" style="172" customWidth="1"/>
    <col min="19" max="19" width="11.33203125" style="172" customWidth="1"/>
    <col min="20" max="20" width="3.33203125" style="172" customWidth="1"/>
    <col min="21" max="21" width="7" style="172" customWidth="1"/>
    <col min="22" max="22" width="11.33203125" style="172" customWidth="1"/>
    <col min="23" max="23" width="3.33203125" style="172" customWidth="1"/>
    <col min="24" max="24" width="7" style="172" customWidth="1"/>
    <col min="25" max="25" width="11.33203125" style="172" customWidth="1"/>
    <col min="26" max="26" width="3.33203125" style="172" customWidth="1"/>
    <col min="27" max="27" width="7" style="172" customWidth="1"/>
    <col min="28" max="28" width="11.33203125" style="172" customWidth="1"/>
    <col min="29" max="29" width="3.33203125" style="172" customWidth="1"/>
    <col min="30" max="30" width="7" style="172" customWidth="1"/>
    <col min="31" max="31" width="11.33203125" style="172" customWidth="1"/>
    <col min="32" max="32" width="3.33203125" style="172" customWidth="1"/>
    <col min="33" max="33" width="7" style="172" customWidth="1"/>
    <col min="34" max="34" width="11.33203125" style="172" customWidth="1"/>
    <col min="35" max="35" width="3.33203125" style="172" customWidth="1"/>
    <col min="36" max="36" width="7" style="172" customWidth="1"/>
    <col min="37" max="37" width="11.33203125" style="172" customWidth="1"/>
    <col min="38" max="38" width="3.33203125" style="172" customWidth="1"/>
    <col min="39" max="39" width="7" style="172" customWidth="1"/>
    <col min="40" max="40" width="11.33203125" style="172" customWidth="1"/>
    <col min="41" max="41" width="3.33203125" style="172" customWidth="1"/>
    <col min="42" max="42" width="7" style="172" customWidth="1"/>
    <col min="43" max="43" width="11.33203125" style="172" customWidth="1"/>
    <col min="44" max="44" width="3.33203125" style="172" customWidth="1"/>
    <col min="45" max="45" width="1.33203125" style="1" customWidth="1"/>
    <col min="46" max="47" width="14.83203125" style="172" customWidth="1"/>
    <col min="48" max="48" width="9.1640625" style="1"/>
    <col min="49" max="49" width="1.33203125" style="1" customWidth="1"/>
    <col min="50" max="50" width="2.33203125" style="1" customWidth="1"/>
    <col min="51" max="51" width="3.83203125" style="172" customWidth="1"/>
    <col min="52" max="52" width="41.83203125" style="172" customWidth="1"/>
    <col min="53" max="53" width="12.33203125" style="172" customWidth="1"/>
    <col min="54" max="54" width="15.6640625" style="172" customWidth="1"/>
    <col min="55" max="55" width="5.5" style="1" customWidth="1"/>
    <col min="56" max="56" width="13.33203125" style="1" customWidth="1"/>
    <col min="57" max="58" width="3.6640625" style="1" customWidth="1"/>
    <col min="59" max="59" width="2.1640625" style="1" customWidth="1"/>
    <col min="60" max="60" width="1.33203125" style="1" customWidth="1"/>
    <col min="61" max="732" width="9.1640625" style="1"/>
    <col min="733" max="16384" width="9.1640625" style="172"/>
  </cols>
  <sheetData>
    <row r="1" spans="1:60" s="1" customFormat="1" ht="6" customHeight="1">
      <c r="H1" s="381"/>
      <c r="AW1" s="203"/>
      <c r="AX1" s="203"/>
      <c r="AY1" s="203"/>
      <c r="AZ1" s="203"/>
      <c r="BA1" s="203"/>
      <c r="BB1" s="203"/>
      <c r="BC1" s="203"/>
      <c r="BD1" s="203"/>
      <c r="BE1" s="203"/>
      <c r="BF1" s="203"/>
      <c r="BG1" s="203"/>
      <c r="BH1" s="203"/>
    </row>
    <row r="2" spans="1:60" s="1" customFormat="1">
      <c r="A2" s="574" t="s">
        <v>290</v>
      </c>
      <c r="B2" s="574"/>
      <c r="C2" s="574"/>
      <c r="D2" s="574"/>
      <c r="E2" s="156"/>
      <c r="F2" s="156" t="s">
        <v>25</v>
      </c>
      <c r="AW2" s="203"/>
      <c r="AX2" s="158"/>
      <c r="AY2" s="158"/>
      <c r="AZ2" s="158"/>
      <c r="BA2" s="158"/>
      <c r="BB2" s="158"/>
      <c r="BC2" s="158"/>
      <c r="BD2" s="158"/>
      <c r="BE2" s="158"/>
      <c r="BF2" s="158"/>
      <c r="BG2" s="158"/>
      <c r="BH2" s="203"/>
    </row>
    <row r="3" spans="1:60" s="1" customFormat="1" ht="12.75" customHeight="1">
      <c r="A3" s="574"/>
      <c r="B3" s="574"/>
      <c r="C3" s="574"/>
      <c r="D3" s="574"/>
      <c r="E3" s="156"/>
      <c r="M3" s="204"/>
      <c r="N3" s="204"/>
      <c r="O3" s="204"/>
      <c r="P3" s="204"/>
      <c r="Q3" s="204"/>
      <c r="R3" s="204"/>
      <c r="S3" s="204"/>
      <c r="T3" s="204"/>
      <c r="U3" s="204"/>
      <c r="V3" s="204"/>
      <c r="W3" s="204"/>
      <c r="X3" s="204"/>
      <c r="Y3" s="204"/>
      <c r="AT3" s="570" t="s">
        <v>544</v>
      </c>
      <c r="AU3" s="570"/>
      <c r="AW3" s="203"/>
      <c r="AX3" s="158"/>
      <c r="AY3" s="158"/>
      <c r="AZ3" s="158"/>
      <c r="BA3" s="158"/>
      <c r="BB3" s="158"/>
      <c r="BC3" s="158"/>
      <c r="BD3" s="158"/>
      <c r="BE3" s="158"/>
      <c r="BF3" s="158"/>
      <c r="BG3" s="158"/>
      <c r="BH3" s="203"/>
    </row>
    <row r="4" spans="1:60" s="1" customFormat="1" ht="20">
      <c r="A4" s="693" t="s">
        <v>351</v>
      </c>
      <c r="B4" s="693"/>
      <c r="C4" s="693"/>
      <c r="D4" s="693"/>
      <c r="F4" s="205" t="str">
        <f>CONCATENATE("Budget de ",IF(Menu!F14="","",Menu!F14))</f>
        <v>Budget de PIZEUIL</v>
      </c>
      <c r="I4" s="354" t="str">
        <f>IF(BB28&gt;0,CONCATENATE("Total des revenus annuels : ",INT(BB28),"€ (",INT(BB29),"€/mois)"),"")</f>
        <v>Total des revenus annuels : 42000€ (3500€/mois)</v>
      </c>
      <c r="J4" s="355"/>
      <c r="K4" s="355"/>
      <c r="L4" s="355"/>
      <c r="M4" s="355"/>
      <c r="N4" s="355"/>
      <c r="S4" s="691" t="str">
        <f>Menu!I6</f>
        <v>Version 2026 Révision VMAX EUR</v>
      </c>
      <c r="T4" s="691"/>
      <c r="U4" s="691"/>
      <c r="V4" s="691"/>
      <c r="AA4" s="354" t="str">
        <f>I4</f>
        <v>Total des revenus annuels : 42000€ (3500€/mois)</v>
      </c>
      <c r="AB4" s="354"/>
      <c r="AC4" s="354"/>
      <c r="AD4" s="354"/>
      <c r="AE4" s="354"/>
      <c r="AF4" s="354"/>
      <c r="AT4" s="570"/>
      <c r="AU4" s="570"/>
      <c r="AW4" s="203"/>
      <c r="AX4" s="158"/>
      <c r="AY4" s="694" t="s">
        <v>243</v>
      </c>
      <c r="AZ4" s="694"/>
      <c r="BA4" s="694"/>
      <c r="BB4" s="694"/>
      <c r="BC4" s="158"/>
      <c r="BD4" s="158"/>
      <c r="BE4" s="158"/>
      <c r="BF4" s="158"/>
      <c r="BG4" s="158"/>
      <c r="BH4" s="203"/>
    </row>
    <row r="5" spans="1:60" s="1" customFormat="1" ht="13.5" customHeight="1">
      <c r="D5" s="206"/>
      <c r="E5" s="206"/>
      <c r="F5" s="205"/>
      <c r="G5" s="185"/>
      <c r="I5" s="356" t="str">
        <f>IF(I4="","",CONCATENATE("Balance annuelle générale : ",INT(BB267),"€ (",INT(BB267/12),"€/mois)"))</f>
        <v>Balance annuelle générale : 21642€ (1803€/mois)</v>
      </c>
      <c r="J5" s="355"/>
      <c r="K5" s="355"/>
      <c r="L5" s="355"/>
      <c r="M5" s="355"/>
      <c r="N5" s="355"/>
      <c r="AA5" s="354" t="str">
        <f>I5</f>
        <v>Balance annuelle générale : 21642€ (1803€/mois)</v>
      </c>
      <c r="AB5" s="354"/>
      <c r="AC5" s="354"/>
      <c r="AD5" s="354"/>
      <c r="AE5" s="354"/>
      <c r="AF5" s="354"/>
      <c r="AT5" s="360" t="s">
        <v>537</v>
      </c>
      <c r="AU5" s="362" t="s">
        <v>540</v>
      </c>
      <c r="AW5" s="203"/>
      <c r="AX5" s="158"/>
      <c r="AY5" s="207"/>
      <c r="AZ5" s="207"/>
      <c r="BA5" s="207"/>
      <c r="BB5" s="207"/>
      <c r="BC5" s="158"/>
      <c r="BD5" s="158"/>
      <c r="BE5" s="158"/>
      <c r="BF5" s="158"/>
      <c r="BG5" s="158"/>
      <c r="BH5" s="203"/>
    </row>
    <row r="6" spans="1:60" s="1" customFormat="1" ht="14" thickBot="1">
      <c r="E6" s="575"/>
      <c r="F6" s="575"/>
      <c r="G6" s="575"/>
      <c r="I6" s="576"/>
      <c r="J6" s="576"/>
      <c r="K6" s="576"/>
      <c r="L6" s="576"/>
      <c r="M6" s="576"/>
      <c r="N6" s="576"/>
      <c r="AW6" s="203"/>
      <c r="AX6" s="158"/>
      <c r="AY6" s="158"/>
      <c r="AZ6" s="158"/>
      <c r="BA6" s="158"/>
      <c r="BB6" s="158"/>
      <c r="BC6" s="158"/>
      <c r="BD6" s="158"/>
      <c r="BE6" s="158"/>
      <c r="BF6" s="158"/>
      <c r="BG6" s="158"/>
      <c r="BH6" s="203"/>
    </row>
    <row r="7" spans="1:60" ht="14" thickBot="1">
      <c r="D7" s="1"/>
      <c r="E7" s="400"/>
      <c r="F7" s="692"/>
      <c r="G7" s="692"/>
      <c r="I7" s="576">
        <f>(Menu!F22)</f>
        <v>46174</v>
      </c>
      <c r="J7" s="576"/>
      <c r="K7" s="576"/>
      <c r="L7" s="576">
        <f>32+I7</f>
        <v>46206</v>
      </c>
      <c r="M7" s="576"/>
      <c r="N7" s="576"/>
      <c r="O7" s="576">
        <f t="shared" ref="O7" si="0">32+L7</f>
        <v>46238</v>
      </c>
      <c r="P7" s="576"/>
      <c r="Q7" s="576"/>
      <c r="R7" s="576">
        <f t="shared" ref="R7" si="1">32+O7</f>
        <v>46270</v>
      </c>
      <c r="S7" s="576"/>
      <c r="T7" s="576"/>
      <c r="U7" s="576">
        <f t="shared" ref="U7" si="2">32+R7</f>
        <v>46302</v>
      </c>
      <c r="V7" s="576"/>
      <c r="W7" s="576"/>
      <c r="X7" s="576">
        <f t="shared" ref="X7" si="3">32+U7</f>
        <v>46334</v>
      </c>
      <c r="Y7" s="576"/>
      <c r="Z7" s="576"/>
      <c r="AA7" s="576">
        <f t="shared" ref="AA7" si="4">32+X7</f>
        <v>46366</v>
      </c>
      <c r="AB7" s="576"/>
      <c r="AC7" s="576"/>
      <c r="AD7" s="576">
        <f t="shared" ref="AD7" si="5">32+AA7</f>
        <v>46398</v>
      </c>
      <c r="AE7" s="576"/>
      <c r="AF7" s="576"/>
      <c r="AG7" s="576">
        <f t="shared" ref="AG7" si="6">32+AD7</f>
        <v>46430</v>
      </c>
      <c r="AH7" s="576"/>
      <c r="AI7" s="576"/>
      <c r="AJ7" s="576">
        <f t="shared" ref="AJ7" si="7">32+AG7</f>
        <v>46462</v>
      </c>
      <c r="AK7" s="576"/>
      <c r="AL7" s="576"/>
      <c r="AM7" s="576">
        <f t="shared" ref="AM7" si="8">32+AJ7</f>
        <v>46494</v>
      </c>
      <c r="AN7" s="576"/>
      <c r="AO7" s="576"/>
      <c r="AP7" s="576">
        <f t="shared" ref="AP7" si="9">32+AM7</f>
        <v>46526</v>
      </c>
      <c r="AQ7" s="576"/>
      <c r="AR7" s="576"/>
      <c r="AT7" s="358"/>
      <c r="AU7" s="358"/>
      <c r="AW7" s="203"/>
      <c r="AX7" s="96"/>
      <c r="AY7" s="662" t="s">
        <v>26</v>
      </c>
      <c r="AZ7" s="663"/>
      <c r="BA7" s="664"/>
      <c r="BB7" s="96"/>
      <c r="BC7" s="96"/>
      <c r="BD7" s="96"/>
      <c r="BE7" s="96"/>
      <c r="BF7" s="96"/>
      <c r="BG7" s="96"/>
      <c r="BH7" s="203"/>
    </row>
    <row r="8" spans="1:60" ht="20" customHeight="1" thickBot="1">
      <c r="D8" s="1"/>
      <c r="E8" s="527" t="s">
        <v>26</v>
      </c>
      <c r="F8" s="528"/>
      <c r="G8" s="529"/>
      <c r="I8" s="358"/>
      <c r="J8" s="358"/>
      <c r="K8" s="358"/>
      <c r="L8" s="358"/>
      <c r="M8" s="358"/>
      <c r="N8" s="358"/>
      <c r="O8" s="358"/>
      <c r="P8" s="358"/>
      <c r="Q8" s="358"/>
      <c r="R8" s="358"/>
      <c r="S8" s="358"/>
      <c r="T8" s="358"/>
      <c r="U8" s="358"/>
      <c r="V8" s="358"/>
      <c r="W8" s="358"/>
      <c r="X8" s="358"/>
      <c r="Y8" s="358"/>
      <c r="Z8" s="358"/>
      <c r="AA8" s="358"/>
      <c r="AB8" s="358"/>
      <c r="AC8" s="358"/>
      <c r="AD8" s="358"/>
      <c r="AE8" s="358"/>
      <c r="AF8" s="358"/>
      <c r="AG8" s="358"/>
      <c r="AH8" s="358"/>
      <c r="AI8" s="358"/>
      <c r="AJ8" s="358"/>
      <c r="AK8" s="358"/>
      <c r="AL8" s="358"/>
      <c r="AM8" s="358"/>
      <c r="AN8" s="358"/>
      <c r="AO8" s="358"/>
      <c r="AP8" s="358"/>
      <c r="AQ8" s="358"/>
      <c r="AR8" s="358"/>
      <c r="AT8" s="358"/>
      <c r="AU8" s="358"/>
      <c r="AW8" s="203"/>
      <c r="AX8" s="96"/>
      <c r="AY8" s="399"/>
      <c r="AZ8" s="399"/>
      <c r="BA8" s="399"/>
      <c r="BB8" s="96"/>
      <c r="BC8" s="96"/>
      <c r="BD8" s="96"/>
      <c r="BE8" s="96"/>
      <c r="BF8" s="96"/>
      <c r="BG8" s="96"/>
      <c r="BH8" s="203"/>
    </row>
    <row r="9" spans="1:60">
      <c r="D9" s="1"/>
      <c r="E9" s="208" t="s">
        <v>219</v>
      </c>
      <c r="F9" s="530" t="s">
        <v>295</v>
      </c>
      <c r="G9" s="531"/>
      <c r="I9" s="380"/>
      <c r="J9" s="380"/>
      <c r="K9" s="380"/>
      <c r="L9" s="380"/>
      <c r="M9" s="380"/>
      <c r="N9" s="380"/>
      <c r="O9" s="380"/>
      <c r="P9" s="380"/>
      <c r="Q9" s="380"/>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T9" s="358"/>
      <c r="AU9" s="358"/>
      <c r="AW9" s="203"/>
      <c r="AX9" s="96"/>
      <c r="AY9" s="399"/>
      <c r="AZ9" s="399"/>
      <c r="BA9" s="399"/>
      <c r="BB9" s="401" t="s">
        <v>572</v>
      </c>
      <c r="BC9" s="441" t="s">
        <v>546</v>
      </c>
      <c r="BD9" s="402" t="s">
        <v>573</v>
      </c>
      <c r="BE9" s="478" t="s">
        <v>586</v>
      </c>
      <c r="BF9" s="478"/>
      <c r="BG9" s="96"/>
      <c r="BH9" s="203"/>
    </row>
    <row r="10" spans="1:60" ht="15">
      <c r="B10" s="209"/>
      <c r="D10" s="177">
        <v>1</v>
      </c>
      <c r="E10" s="210" t="s">
        <v>241</v>
      </c>
      <c r="F10" s="322" t="s">
        <v>29</v>
      </c>
      <c r="G10" s="211" t="s">
        <v>596</v>
      </c>
      <c r="H10" s="382"/>
      <c r="I10" s="510">
        <v>3500</v>
      </c>
      <c r="J10" s="511"/>
      <c r="K10" s="323" t="s">
        <v>585</v>
      </c>
      <c r="L10" s="510">
        <v>3500</v>
      </c>
      <c r="M10" s="511"/>
      <c r="N10" s="323" t="s">
        <v>585</v>
      </c>
      <c r="O10" s="510">
        <v>3500</v>
      </c>
      <c r="P10" s="511"/>
      <c r="Q10" s="323" t="s">
        <v>585</v>
      </c>
      <c r="R10" s="510">
        <v>3500</v>
      </c>
      <c r="S10" s="511"/>
      <c r="T10" s="323" t="s">
        <v>585</v>
      </c>
      <c r="U10" s="510">
        <v>3500</v>
      </c>
      <c r="V10" s="511"/>
      <c r="W10" s="323" t="s">
        <v>585</v>
      </c>
      <c r="X10" s="510">
        <v>3500</v>
      </c>
      <c r="Y10" s="511"/>
      <c r="Z10" s="323" t="s">
        <v>585</v>
      </c>
      <c r="AA10" s="510">
        <v>3500</v>
      </c>
      <c r="AB10" s="511"/>
      <c r="AC10" s="323" t="s">
        <v>585</v>
      </c>
      <c r="AD10" s="510">
        <v>3500</v>
      </c>
      <c r="AE10" s="511"/>
      <c r="AF10" s="323" t="s">
        <v>585</v>
      </c>
      <c r="AG10" s="510">
        <v>3500</v>
      </c>
      <c r="AH10" s="511"/>
      <c r="AI10" s="323" t="s">
        <v>585</v>
      </c>
      <c r="AJ10" s="510">
        <v>3500</v>
      </c>
      <c r="AK10" s="511"/>
      <c r="AL10" s="323" t="s">
        <v>585</v>
      </c>
      <c r="AM10" s="510">
        <v>3500</v>
      </c>
      <c r="AN10" s="511"/>
      <c r="AO10" s="323" t="s">
        <v>585</v>
      </c>
      <c r="AP10" s="510">
        <v>3500</v>
      </c>
      <c r="AQ10" s="511"/>
      <c r="AR10" s="323" t="s">
        <v>585</v>
      </c>
      <c r="AT10" s="1"/>
      <c r="AU10" s="1"/>
      <c r="AW10" s="203"/>
      <c r="AX10" s="96"/>
      <c r="AY10" s="516" t="str">
        <f t="shared" ref="AY10:AY27" si="10">F10</f>
        <v>SALAIRE</v>
      </c>
      <c r="AZ10" s="517"/>
      <c r="BA10" s="518"/>
      <c r="BB10" s="212">
        <f>SUM(I10:AR10)</f>
        <v>42000</v>
      </c>
      <c r="BC10" s="353">
        <f>IF(BB28=0,0,BB10/BB28)</f>
        <v>1</v>
      </c>
      <c r="BD10" s="403">
        <f>BB10/12</f>
        <v>3500</v>
      </c>
      <c r="BE10" s="439">
        <f>IF(BD10=0,"",RANK(BD10,BD$10:BD$27,0))</f>
        <v>1</v>
      </c>
      <c r="BF10" s="440" t="str">
        <f>IF(BD10=0,"",IF(BE10=1,"er","ème"))</f>
        <v>er</v>
      </c>
      <c r="BG10" s="96"/>
      <c r="BH10" s="203"/>
    </row>
    <row r="11" spans="1:60" ht="15">
      <c r="B11" s="209"/>
      <c r="D11" s="177">
        <f>1+D10</f>
        <v>2</v>
      </c>
      <c r="E11" s="210" t="s">
        <v>242</v>
      </c>
      <c r="F11" s="322" t="s">
        <v>28</v>
      </c>
      <c r="G11" s="211" t="s">
        <v>10</v>
      </c>
      <c r="H11" s="383"/>
      <c r="I11" s="510"/>
      <c r="J11" s="511"/>
      <c r="K11" s="323"/>
      <c r="L11" s="510"/>
      <c r="M11" s="511"/>
      <c r="N11" s="323"/>
      <c r="O11" s="510"/>
      <c r="P11" s="511"/>
      <c r="Q11" s="323"/>
      <c r="R11" s="510"/>
      <c r="S11" s="511"/>
      <c r="T11" s="323"/>
      <c r="U11" s="510"/>
      <c r="V11" s="511"/>
      <c r="W11" s="323"/>
      <c r="X11" s="510"/>
      <c r="Y11" s="511"/>
      <c r="Z11" s="323"/>
      <c r="AA11" s="510"/>
      <c r="AB11" s="511"/>
      <c r="AC11" s="323"/>
      <c r="AD11" s="510"/>
      <c r="AE11" s="511"/>
      <c r="AF11" s="323"/>
      <c r="AG11" s="510"/>
      <c r="AH11" s="511"/>
      <c r="AI11" s="323"/>
      <c r="AJ11" s="510"/>
      <c r="AK11" s="511"/>
      <c r="AL11" s="323"/>
      <c r="AM11" s="510"/>
      <c r="AN11" s="511"/>
      <c r="AO11" s="323"/>
      <c r="AP11" s="510"/>
      <c r="AQ11" s="511"/>
      <c r="AR11" s="323"/>
      <c r="AT11" s="1"/>
      <c r="AU11" s="1"/>
      <c r="AW11" s="203"/>
      <c r="AX11" s="96"/>
      <c r="AY11" s="516" t="str">
        <f t="shared" si="10"/>
        <v>Revenu à configurer</v>
      </c>
      <c r="AZ11" s="517"/>
      <c r="BA11" s="518"/>
      <c r="BB11" s="212">
        <f>SUM(I11:AR11)</f>
        <v>0</v>
      </c>
      <c r="BC11" s="353">
        <f>IF(BB28=0,0,BB11/BB28)</f>
        <v>0</v>
      </c>
      <c r="BD11" s="403">
        <f t="shared" ref="BD11:BD27" si="11">BB11/12</f>
        <v>0</v>
      </c>
      <c r="BE11" s="439" t="str">
        <f t="shared" ref="BE11:BE27" si="12">IF(BD11=0,"",RANK(BD11,BD$10:BD$27,0))</f>
        <v/>
      </c>
      <c r="BF11" s="440" t="str">
        <f t="shared" ref="BF11:BF27" si="13">IF(BD11=0,"",IF(BE11=1,"er","ème"))</f>
        <v/>
      </c>
      <c r="BG11" s="96"/>
      <c r="BH11" s="203"/>
    </row>
    <row r="12" spans="1:60" ht="15">
      <c r="B12" s="209"/>
      <c r="D12" s="177">
        <f t="shared" ref="D12:D16" si="14">1+D11</f>
        <v>3</v>
      </c>
      <c r="E12" s="210" t="s">
        <v>242</v>
      </c>
      <c r="F12" s="322" t="s">
        <v>28</v>
      </c>
      <c r="G12" s="211" t="s">
        <v>10</v>
      </c>
      <c r="H12" s="383"/>
      <c r="I12" s="510"/>
      <c r="J12" s="511"/>
      <c r="K12" s="323"/>
      <c r="L12" s="510"/>
      <c r="M12" s="511"/>
      <c r="N12" s="323"/>
      <c r="O12" s="510"/>
      <c r="P12" s="511"/>
      <c r="Q12" s="323"/>
      <c r="R12" s="510"/>
      <c r="S12" s="511"/>
      <c r="T12" s="323"/>
      <c r="U12" s="510"/>
      <c r="V12" s="511"/>
      <c r="W12" s="323"/>
      <c r="X12" s="510"/>
      <c r="Y12" s="511"/>
      <c r="Z12" s="323"/>
      <c r="AA12" s="510"/>
      <c r="AB12" s="511"/>
      <c r="AC12" s="323"/>
      <c r="AD12" s="510"/>
      <c r="AE12" s="511"/>
      <c r="AF12" s="323"/>
      <c r="AG12" s="510"/>
      <c r="AH12" s="511"/>
      <c r="AI12" s="323"/>
      <c r="AJ12" s="510"/>
      <c r="AK12" s="511"/>
      <c r="AL12" s="323"/>
      <c r="AM12" s="510"/>
      <c r="AN12" s="511"/>
      <c r="AO12" s="323"/>
      <c r="AP12" s="510"/>
      <c r="AQ12" s="511"/>
      <c r="AR12" s="323"/>
      <c r="AT12" s="1"/>
      <c r="AU12" s="1"/>
      <c r="AW12" s="203"/>
      <c r="AX12" s="96"/>
      <c r="AY12" s="516" t="str">
        <f t="shared" si="10"/>
        <v>Revenu à configurer</v>
      </c>
      <c r="AZ12" s="517"/>
      <c r="BA12" s="518"/>
      <c r="BB12" s="212">
        <f>SUM(I12:AR12)</f>
        <v>0</v>
      </c>
      <c r="BC12" s="353">
        <f>IF(BB28=0,0,BB12/BB28)</f>
        <v>0</v>
      </c>
      <c r="BD12" s="403">
        <f t="shared" si="11"/>
        <v>0</v>
      </c>
      <c r="BE12" s="439" t="str">
        <f t="shared" si="12"/>
        <v/>
      </c>
      <c r="BF12" s="440" t="str">
        <f t="shared" si="13"/>
        <v/>
      </c>
      <c r="BG12" s="96"/>
      <c r="BH12" s="203"/>
    </row>
    <row r="13" spans="1:60" ht="15">
      <c r="B13" s="209"/>
      <c r="D13" s="177">
        <f t="shared" si="14"/>
        <v>4</v>
      </c>
      <c r="E13" s="210" t="s">
        <v>242</v>
      </c>
      <c r="F13" s="322" t="s">
        <v>28</v>
      </c>
      <c r="G13" s="211" t="s">
        <v>10</v>
      </c>
      <c r="H13" s="383"/>
      <c r="I13" s="510"/>
      <c r="J13" s="511"/>
      <c r="K13" s="323"/>
      <c r="L13" s="510"/>
      <c r="M13" s="511"/>
      <c r="N13" s="323"/>
      <c r="O13" s="510"/>
      <c r="P13" s="511"/>
      <c r="Q13" s="323"/>
      <c r="R13" s="510"/>
      <c r="S13" s="511"/>
      <c r="T13" s="323"/>
      <c r="U13" s="510"/>
      <c r="V13" s="511"/>
      <c r="W13" s="323"/>
      <c r="X13" s="510"/>
      <c r="Y13" s="511"/>
      <c r="Z13" s="323"/>
      <c r="AA13" s="510"/>
      <c r="AB13" s="511"/>
      <c r="AC13" s="323"/>
      <c r="AD13" s="510"/>
      <c r="AE13" s="511"/>
      <c r="AF13" s="323"/>
      <c r="AG13" s="510"/>
      <c r="AH13" s="511"/>
      <c r="AI13" s="323"/>
      <c r="AJ13" s="510"/>
      <c r="AK13" s="511"/>
      <c r="AL13" s="323"/>
      <c r="AM13" s="510"/>
      <c r="AN13" s="511"/>
      <c r="AO13" s="323"/>
      <c r="AP13" s="510"/>
      <c r="AQ13" s="511"/>
      <c r="AR13" s="323"/>
      <c r="AT13" s="1"/>
      <c r="AU13" s="1"/>
      <c r="AW13" s="203"/>
      <c r="AX13" s="96"/>
      <c r="AY13" s="516" t="str">
        <f t="shared" si="10"/>
        <v>Revenu à configurer</v>
      </c>
      <c r="AZ13" s="517"/>
      <c r="BA13" s="518"/>
      <c r="BB13" s="212">
        <f>SUM(I13:AR13)</f>
        <v>0</v>
      </c>
      <c r="BC13" s="353">
        <f>IF(BB28=0,0,BB13/BB28)</f>
        <v>0</v>
      </c>
      <c r="BD13" s="403">
        <f t="shared" si="11"/>
        <v>0</v>
      </c>
      <c r="BE13" s="439" t="str">
        <f t="shared" si="12"/>
        <v/>
      </c>
      <c r="BF13" s="440" t="str">
        <f t="shared" si="13"/>
        <v/>
      </c>
      <c r="BG13" s="96"/>
      <c r="BH13" s="203"/>
    </row>
    <row r="14" spans="1:60" ht="15">
      <c r="B14" s="209"/>
      <c r="D14" s="177">
        <f t="shared" si="14"/>
        <v>5</v>
      </c>
      <c r="E14" s="210" t="s">
        <v>242</v>
      </c>
      <c r="F14" s="322" t="s">
        <v>28</v>
      </c>
      <c r="G14" s="211" t="s">
        <v>10</v>
      </c>
      <c r="H14" s="383"/>
      <c r="I14" s="510"/>
      <c r="J14" s="511"/>
      <c r="K14" s="323"/>
      <c r="L14" s="510"/>
      <c r="M14" s="511"/>
      <c r="N14" s="323"/>
      <c r="O14" s="510"/>
      <c r="P14" s="511"/>
      <c r="Q14" s="323"/>
      <c r="R14" s="510"/>
      <c r="S14" s="511"/>
      <c r="T14" s="323"/>
      <c r="U14" s="510"/>
      <c r="V14" s="511"/>
      <c r="W14" s="323"/>
      <c r="X14" s="510"/>
      <c r="Y14" s="511"/>
      <c r="Z14" s="323"/>
      <c r="AA14" s="510"/>
      <c r="AB14" s="511"/>
      <c r="AC14" s="323"/>
      <c r="AD14" s="510"/>
      <c r="AE14" s="511"/>
      <c r="AF14" s="323"/>
      <c r="AG14" s="510"/>
      <c r="AH14" s="511"/>
      <c r="AI14" s="323"/>
      <c r="AJ14" s="510"/>
      <c r="AK14" s="511"/>
      <c r="AL14" s="323"/>
      <c r="AM14" s="510"/>
      <c r="AN14" s="511"/>
      <c r="AO14" s="323"/>
      <c r="AP14" s="510"/>
      <c r="AQ14" s="511"/>
      <c r="AR14" s="323"/>
      <c r="AT14" s="1"/>
      <c r="AU14" s="1"/>
      <c r="AW14" s="203"/>
      <c r="AX14" s="96"/>
      <c r="AY14" s="516" t="str">
        <f t="shared" si="10"/>
        <v>Revenu à configurer</v>
      </c>
      <c r="AZ14" s="517"/>
      <c r="BA14" s="518"/>
      <c r="BB14" s="212">
        <f t="shared" ref="BB14:BB25" si="15">SUM(I14:AR14)</f>
        <v>0</v>
      </c>
      <c r="BC14" s="353">
        <f>IF(BB28=0,0,BB14/BB28)</f>
        <v>0</v>
      </c>
      <c r="BD14" s="403">
        <f t="shared" si="11"/>
        <v>0</v>
      </c>
      <c r="BE14" s="439" t="str">
        <f t="shared" si="12"/>
        <v/>
      </c>
      <c r="BF14" s="440" t="str">
        <f t="shared" si="13"/>
        <v/>
      </c>
      <c r="BG14" s="96"/>
      <c r="BH14" s="203"/>
    </row>
    <row r="15" spans="1:60" ht="15">
      <c r="B15" s="209"/>
      <c r="D15" s="177">
        <f t="shared" si="14"/>
        <v>6</v>
      </c>
      <c r="E15" s="210" t="s">
        <v>242</v>
      </c>
      <c r="F15" s="322" t="s">
        <v>28</v>
      </c>
      <c r="G15" s="211" t="s">
        <v>10</v>
      </c>
      <c r="H15" s="383"/>
      <c r="I15" s="510"/>
      <c r="J15" s="511"/>
      <c r="K15" s="323"/>
      <c r="L15" s="510"/>
      <c r="M15" s="511"/>
      <c r="N15" s="323"/>
      <c r="O15" s="510"/>
      <c r="P15" s="511"/>
      <c r="Q15" s="323"/>
      <c r="R15" s="510"/>
      <c r="S15" s="511"/>
      <c r="T15" s="323"/>
      <c r="U15" s="510"/>
      <c r="V15" s="511"/>
      <c r="W15" s="323"/>
      <c r="X15" s="510"/>
      <c r="Y15" s="511"/>
      <c r="Z15" s="323"/>
      <c r="AA15" s="510"/>
      <c r="AB15" s="511"/>
      <c r="AC15" s="323"/>
      <c r="AD15" s="510"/>
      <c r="AE15" s="511"/>
      <c r="AF15" s="323"/>
      <c r="AG15" s="510"/>
      <c r="AH15" s="511"/>
      <c r="AI15" s="323"/>
      <c r="AJ15" s="510"/>
      <c r="AK15" s="511"/>
      <c r="AL15" s="323"/>
      <c r="AM15" s="510"/>
      <c r="AN15" s="511"/>
      <c r="AO15" s="323"/>
      <c r="AP15" s="510"/>
      <c r="AQ15" s="511"/>
      <c r="AR15" s="323"/>
      <c r="AT15" s="1"/>
      <c r="AU15" s="1"/>
      <c r="AW15" s="203"/>
      <c r="AX15" s="96"/>
      <c r="AY15" s="516" t="str">
        <f t="shared" si="10"/>
        <v>Revenu à configurer</v>
      </c>
      <c r="AZ15" s="517"/>
      <c r="BA15" s="518"/>
      <c r="BB15" s="212">
        <f>SUM(I15:AR15)</f>
        <v>0</v>
      </c>
      <c r="BC15" s="353">
        <f>IF(BB28=0,0,BB15/BB28)</f>
        <v>0</v>
      </c>
      <c r="BD15" s="403">
        <f t="shared" si="11"/>
        <v>0</v>
      </c>
      <c r="BE15" s="439" t="str">
        <f t="shared" si="12"/>
        <v/>
      </c>
      <c r="BF15" s="440" t="str">
        <f t="shared" si="13"/>
        <v/>
      </c>
      <c r="BG15" s="96"/>
      <c r="BH15" s="203"/>
    </row>
    <row r="16" spans="1:60" ht="15">
      <c r="B16" s="209"/>
      <c r="D16" s="177">
        <f t="shared" si="14"/>
        <v>7</v>
      </c>
      <c r="E16" s="210" t="s">
        <v>242</v>
      </c>
      <c r="F16" s="322" t="s">
        <v>28</v>
      </c>
      <c r="G16" s="211" t="s">
        <v>10</v>
      </c>
      <c r="H16" s="383"/>
      <c r="I16" s="510"/>
      <c r="J16" s="511"/>
      <c r="K16" s="323"/>
      <c r="L16" s="510"/>
      <c r="M16" s="511"/>
      <c r="N16" s="323"/>
      <c r="O16" s="510"/>
      <c r="P16" s="511"/>
      <c r="Q16" s="323"/>
      <c r="R16" s="510"/>
      <c r="S16" s="511"/>
      <c r="T16" s="323"/>
      <c r="U16" s="510"/>
      <c r="V16" s="511"/>
      <c r="W16" s="323"/>
      <c r="X16" s="510"/>
      <c r="Y16" s="511"/>
      <c r="Z16" s="323"/>
      <c r="AA16" s="510"/>
      <c r="AB16" s="511"/>
      <c r="AC16" s="323"/>
      <c r="AD16" s="510"/>
      <c r="AE16" s="511"/>
      <c r="AF16" s="323"/>
      <c r="AG16" s="510"/>
      <c r="AH16" s="511"/>
      <c r="AI16" s="323"/>
      <c r="AJ16" s="510"/>
      <c r="AK16" s="511"/>
      <c r="AL16" s="323"/>
      <c r="AM16" s="510"/>
      <c r="AN16" s="511"/>
      <c r="AO16" s="323"/>
      <c r="AP16" s="510"/>
      <c r="AQ16" s="511"/>
      <c r="AR16" s="323"/>
      <c r="AT16" s="1"/>
      <c r="AU16" s="1"/>
      <c r="AW16" s="203"/>
      <c r="AX16" s="96"/>
      <c r="AY16" s="516" t="str">
        <f t="shared" ref="AY16" si="16">F16</f>
        <v>Revenu à configurer</v>
      </c>
      <c r="AZ16" s="517"/>
      <c r="BA16" s="518"/>
      <c r="BB16" s="212">
        <f t="shared" si="15"/>
        <v>0</v>
      </c>
      <c r="BC16" s="353">
        <f>IF(BB28=0,0,BB16/BB28)</f>
        <v>0</v>
      </c>
      <c r="BD16" s="403">
        <f t="shared" si="11"/>
        <v>0</v>
      </c>
      <c r="BE16" s="439" t="str">
        <f t="shared" si="12"/>
        <v/>
      </c>
      <c r="BF16" s="440" t="str">
        <f t="shared" si="13"/>
        <v/>
      </c>
      <c r="BG16" s="96"/>
      <c r="BH16" s="203"/>
    </row>
    <row r="17" spans="2:60" ht="15">
      <c r="B17" s="209"/>
      <c r="D17" s="177">
        <f t="shared" ref="D17:D27" si="17">1+D16</f>
        <v>8</v>
      </c>
      <c r="E17" s="210" t="s">
        <v>242</v>
      </c>
      <c r="F17" s="322" t="s">
        <v>28</v>
      </c>
      <c r="G17" s="211" t="s">
        <v>10</v>
      </c>
      <c r="H17" s="383"/>
      <c r="I17" s="510"/>
      <c r="J17" s="511"/>
      <c r="K17" s="323"/>
      <c r="L17" s="510"/>
      <c r="M17" s="511"/>
      <c r="N17" s="323"/>
      <c r="O17" s="510"/>
      <c r="P17" s="511"/>
      <c r="Q17" s="323"/>
      <c r="R17" s="510"/>
      <c r="S17" s="511"/>
      <c r="T17" s="323"/>
      <c r="U17" s="510"/>
      <c r="V17" s="511"/>
      <c r="W17" s="323"/>
      <c r="X17" s="510"/>
      <c r="Y17" s="511"/>
      <c r="Z17" s="323"/>
      <c r="AA17" s="510"/>
      <c r="AB17" s="511"/>
      <c r="AC17" s="323"/>
      <c r="AD17" s="510"/>
      <c r="AE17" s="511"/>
      <c r="AF17" s="323"/>
      <c r="AG17" s="510"/>
      <c r="AH17" s="511"/>
      <c r="AI17" s="323"/>
      <c r="AJ17" s="510"/>
      <c r="AK17" s="511"/>
      <c r="AL17" s="323"/>
      <c r="AM17" s="510"/>
      <c r="AN17" s="511"/>
      <c r="AO17" s="323"/>
      <c r="AP17" s="510"/>
      <c r="AQ17" s="511"/>
      <c r="AR17" s="323"/>
      <c r="AT17" s="1"/>
      <c r="AU17" s="1"/>
      <c r="AW17" s="203"/>
      <c r="AX17" s="96"/>
      <c r="AY17" s="516" t="str">
        <f t="shared" si="10"/>
        <v>Revenu à configurer</v>
      </c>
      <c r="AZ17" s="517"/>
      <c r="BA17" s="518"/>
      <c r="BB17" s="212">
        <f t="shared" si="15"/>
        <v>0</v>
      </c>
      <c r="BC17" s="353">
        <f>IF(BB28=0,0,BB17/BB28)</f>
        <v>0</v>
      </c>
      <c r="BD17" s="403">
        <f t="shared" si="11"/>
        <v>0</v>
      </c>
      <c r="BE17" s="439" t="str">
        <f t="shared" si="12"/>
        <v/>
      </c>
      <c r="BF17" s="440" t="str">
        <f t="shared" si="13"/>
        <v/>
      </c>
      <c r="BG17" s="96"/>
      <c r="BH17" s="203"/>
    </row>
    <row r="18" spans="2:60" ht="15">
      <c r="B18" s="209"/>
      <c r="D18" s="177">
        <f t="shared" si="17"/>
        <v>9</v>
      </c>
      <c r="E18" s="210" t="s">
        <v>242</v>
      </c>
      <c r="F18" s="322" t="s">
        <v>28</v>
      </c>
      <c r="G18" s="211" t="s">
        <v>10</v>
      </c>
      <c r="H18" s="383"/>
      <c r="I18" s="510"/>
      <c r="J18" s="511"/>
      <c r="K18" s="323"/>
      <c r="L18" s="510"/>
      <c r="M18" s="511"/>
      <c r="N18" s="323"/>
      <c r="O18" s="510"/>
      <c r="P18" s="511"/>
      <c r="Q18" s="323"/>
      <c r="R18" s="510"/>
      <c r="S18" s="511"/>
      <c r="T18" s="323"/>
      <c r="U18" s="510"/>
      <c r="V18" s="511"/>
      <c r="W18" s="323"/>
      <c r="X18" s="510"/>
      <c r="Y18" s="511"/>
      <c r="Z18" s="323"/>
      <c r="AA18" s="510"/>
      <c r="AB18" s="511"/>
      <c r="AC18" s="323"/>
      <c r="AD18" s="510"/>
      <c r="AE18" s="511"/>
      <c r="AF18" s="323"/>
      <c r="AG18" s="510"/>
      <c r="AH18" s="511"/>
      <c r="AI18" s="323"/>
      <c r="AJ18" s="510"/>
      <c r="AK18" s="511"/>
      <c r="AL18" s="323"/>
      <c r="AM18" s="510"/>
      <c r="AN18" s="511"/>
      <c r="AO18" s="323"/>
      <c r="AP18" s="510"/>
      <c r="AQ18" s="511"/>
      <c r="AR18" s="323"/>
      <c r="AT18" s="1"/>
      <c r="AU18" s="1"/>
      <c r="AW18" s="203"/>
      <c r="AX18" s="96"/>
      <c r="AY18" s="516" t="str">
        <f t="shared" si="10"/>
        <v>Revenu à configurer</v>
      </c>
      <c r="AZ18" s="517"/>
      <c r="BA18" s="518"/>
      <c r="BB18" s="212">
        <f t="shared" si="15"/>
        <v>0</v>
      </c>
      <c r="BC18" s="353">
        <f>IF(BB28=0,0,BB18/BB28)</f>
        <v>0</v>
      </c>
      <c r="BD18" s="403">
        <f t="shared" si="11"/>
        <v>0</v>
      </c>
      <c r="BE18" s="439" t="str">
        <f t="shared" si="12"/>
        <v/>
      </c>
      <c r="BF18" s="440" t="str">
        <f t="shared" si="13"/>
        <v/>
      </c>
      <c r="BG18" s="96"/>
      <c r="BH18" s="203"/>
    </row>
    <row r="19" spans="2:60" ht="15">
      <c r="B19" s="209"/>
      <c r="D19" s="177">
        <f t="shared" si="17"/>
        <v>10</v>
      </c>
      <c r="E19" s="210" t="s">
        <v>242</v>
      </c>
      <c r="F19" s="322" t="s">
        <v>28</v>
      </c>
      <c r="G19" s="211" t="s">
        <v>10</v>
      </c>
      <c r="H19" s="383"/>
      <c r="I19" s="510"/>
      <c r="J19" s="511"/>
      <c r="K19" s="323"/>
      <c r="L19" s="510"/>
      <c r="M19" s="511"/>
      <c r="N19" s="323"/>
      <c r="O19" s="510"/>
      <c r="P19" s="511"/>
      <c r="Q19" s="323"/>
      <c r="R19" s="510"/>
      <c r="S19" s="511"/>
      <c r="T19" s="323"/>
      <c r="U19" s="510"/>
      <c r="V19" s="511"/>
      <c r="W19" s="323"/>
      <c r="X19" s="510"/>
      <c r="Y19" s="511"/>
      <c r="Z19" s="323"/>
      <c r="AA19" s="510"/>
      <c r="AB19" s="511"/>
      <c r="AC19" s="323"/>
      <c r="AD19" s="510"/>
      <c r="AE19" s="511"/>
      <c r="AF19" s="323"/>
      <c r="AG19" s="510"/>
      <c r="AH19" s="511"/>
      <c r="AI19" s="323"/>
      <c r="AJ19" s="510"/>
      <c r="AK19" s="511"/>
      <c r="AL19" s="323"/>
      <c r="AM19" s="510"/>
      <c r="AN19" s="511"/>
      <c r="AO19" s="323"/>
      <c r="AP19" s="510"/>
      <c r="AQ19" s="511"/>
      <c r="AR19" s="323"/>
      <c r="AT19" s="1"/>
      <c r="AU19" s="1"/>
      <c r="AW19" s="203"/>
      <c r="AX19" s="96"/>
      <c r="AY19" s="516" t="str">
        <f t="shared" si="10"/>
        <v>Revenu à configurer</v>
      </c>
      <c r="AZ19" s="517"/>
      <c r="BA19" s="518"/>
      <c r="BB19" s="212">
        <f>SUM(I19:AR19)</f>
        <v>0</v>
      </c>
      <c r="BC19" s="353">
        <f>IF(BB28=0,0,BB19/BB28)</f>
        <v>0</v>
      </c>
      <c r="BD19" s="403">
        <f t="shared" si="11"/>
        <v>0</v>
      </c>
      <c r="BE19" s="439" t="str">
        <f t="shared" si="12"/>
        <v/>
      </c>
      <c r="BF19" s="440" t="str">
        <f t="shared" si="13"/>
        <v/>
      </c>
      <c r="BG19" s="96"/>
      <c r="BH19" s="203"/>
    </row>
    <row r="20" spans="2:60" ht="15">
      <c r="B20" s="209"/>
      <c r="D20" s="177">
        <f t="shared" si="17"/>
        <v>11</v>
      </c>
      <c r="E20" s="210" t="s">
        <v>242</v>
      </c>
      <c r="F20" s="322" t="s">
        <v>28</v>
      </c>
      <c r="G20" s="211" t="s">
        <v>10</v>
      </c>
      <c r="H20" s="383"/>
      <c r="I20" s="510"/>
      <c r="J20" s="511"/>
      <c r="K20" s="323"/>
      <c r="L20" s="510"/>
      <c r="M20" s="511"/>
      <c r="N20" s="323"/>
      <c r="O20" s="510"/>
      <c r="P20" s="511"/>
      <c r="Q20" s="323"/>
      <c r="R20" s="510"/>
      <c r="S20" s="511"/>
      <c r="T20" s="323"/>
      <c r="U20" s="510"/>
      <c r="V20" s="511"/>
      <c r="W20" s="323"/>
      <c r="X20" s="510"/>
      <c r="Y20" s="511"/>
      <c r="Z20" s="323"/>
      <c r="AA20" s="510"/>
      <c r="AB20" s="511"/>
      <c r="AC20" s="323"/>
      <c r="AD20" s="510"/>
      <c r="AE20" s="511"/>
      <c r="AF20" s="323"/>
      <c r="AG20" s="510"/>
      <c r="AH20" s="511"/>
      <c r="AI20" s="323"/>
      <c r="AJ20" s="510"/>
      <c r="AK20" s="511"/>
      <c r="AL20" s="323"/>
      <c r="AM20" s="510"/>
      <c r="AN20" s="511"/>
      <c r="AO20" s="323"/>
      <c r="AP20" s="510"/>
      <c r="AQ20" s="511"/>
      <c r="AR20" s="323"/>
      <c r="AT20" s="1"/>
      <c r="AU20" s="1"/>
      <c r="AW20" s="203"/>
      <c r="AX20" s="96"/>
      <c r="AY20" s="516" t="str">
        <f t="shared" si="10"/>
        <v>Revenu à configurer</v>
      </c>
      <c r="AZ20" s="517"/>
      <c r="BA20" s="518"/>
      <c r="BB20" s="212">
        <f t="shared" si="15"/>
        <v>0</v>
      </c>
      <c r="BC20" s="353">
        <f>IF(BB28=0,0,BB20/BB28)</f>
        <v>0</v>
      </c>
      <c r="BD20" s="403">
        <f t="shared" si="11"/>
        <v>0</v>
      </c>
      <c r="BE20" s="439" t="str">
        <f t="shared" si="12"/>
        <v/>
      </c>
      <c r="BF20" s="440" t="str">
        <f t="shared" si="13"/>
        <v/>
      </c>
      <c r="BG20" s="96"/>
      <c r="BH20" s="203"/>
    </row>
    <row r="21" spans="2:60" ht="15">
      <c r="B21" s="209"/>
      <c r="D21" s="177">
        <f t="shared" si="17"/>
        <v>12</v>
      </c>
      <c r="E21" s="210" t="s">
        <v>242</v>
      </c>
      <c r="F21" s="322" t="s">
        <v>28</v>
      </c>
      <c r="G21" s="211" t="s">
        <v>10</v>
      </c>
      <c r="H21" s="383"/>
      <c r="I21" s="510"/>
      <c r="J21" s="511"/>
      <c r="K21" s="323"/>
      <c r="L21" s="510"/>
      <c r="M21" s="511"/>
      <c r="N21" s="323"/>
      <c r="O21" s="510"/>
      <c r="P21" s="511"/>
      <c r="Q21" s="323"/>
      <c r="R21" s="510"/>
      <c r="S21" s="511"/>
      <c r="T21" s="323"/>
      <c r="U21" s="510"/>
      <c r="V21" s="511"/>
      <c r="W21" s="323"/>
      <c r="X21" s="510"/>
      <c r="Y21" s="511"/>
      <c r="Z21" s="323"/>
      <c r="AA21" s="510"/>
      <c r="AB21" s="511"/>
      <c r="AC21" s="323"/>
      <c r="AD21" s="510"/>
      <c r="AE21" s="511"/>
      <c r="AF21" s="323"/>
      <c r="AG21" s="510"/>
      <c r="AH21" s="511"/>
      <c r="AI21" s="323"/>
      <c r="AJ21" s="510"/>
      <c r="AK21" s="511"/>
      <c r="AL21" s="323"/>
      <c r="AM21" s="510"/>
      <c r="AN21" s="511"/>
      <c r="AO21" s="323"/>
      <c r="AP21" s="510"/>
      <c r="AQ21" s="511"/>
      <c r="AR21" s="323"/>
      <c r="AT21" s="1"/>
      <c r="AU21" s="1"/>
      <c r="AW21" s="203"/>
      <c r="AX21" s="96"/>
      <c r="AY21" s="516" t="str">
        <f t="shared" si="10"/>
        <v>Revenu à configurer</v>
      </c>
      <c r="AZ21" s="517"/>
      <c r="BA21" s="518"/>
      <c r="BB21" s="212">
        <f t="shared" si="15"/>
        <v>0</v>
      </c>
      <c r="BC21" s="353">
        <f>IF(BB28=0,0,BB21/BB28)</f>
        <v>0</v>
      </c>
      <c r="BD21" s="403">
        <f t="shared" si="11"/>
        <v>0</v>
      </c>
      <c r="BE21" s="439" t="str">
        <f t="shared" si="12"/>
        <v/>
      </c>
      <c r="BF21" s="440" t="str">
        <f t="shared" si="13"/>
        <v/>
      </c>
      <c r="BG21" s="96"/>
      <c r="BH21" s="203"/>
    </row>
    <row r="22" spans="2:60" ht="15">
      <c r="B22" s="209"/>
      <c r="D22" s="177">
        <f t="shared" si="17"/>
        <v>13</v>
      </c>
      <c r="E22" s="210" t="s">
        <v>242</v>
      </c>
      <c r="F22" s="322" t="s">
        <v>28</v>
      </c>
      <c r="G22" s="211" t="s">
        <v>10</v>
      </c>
      <c r="H22" s="383"/>
      <c r="I22" s="510"/>
      <c r="J22" s="511"/>
      <c r="K22" s="323"/>
      <c r="L22" s="510"/>
      <c r="M22" s="511"/>
      <c r="N22" s="323"/>
      <c r="O22" s="510"/>
      <c r="P22" s="511"/>
      <c r="Q22" s="323"/>
      <c r="R22" s="510"/>
      <c r="S22" s="511"/>
      <c r="T22" s="323"/>
      <c r="U22" s="510"/>
      <c r="V22" s="511"/>
      <c r="W22" s="323"/>
      <c r="X22" s="510"/>
      <c r="Y22" s="511"/>
      <c r="Z22" s="323"/>
      <c r="AA22" s="510"/>
      <c r="AB22" s="511"/>
      <c r="AC22" s="323"/>
      <c r="AD22" s="510"/>
      <c r="AE22" s="511"/>
      <c r="AF22" s="323"/>
      <c r="AG22" s="510"/>
      <c r="AH22" s="511"/>
      <c r="AI22" s="323"/>
      <c r="AJ22" s="510"/>
      <c r="AK22" s="511"/>
      <c r="AL22" s="323"/>
      <c r="AM22" s="510"/>
      <c r="AN22" s="511"/>
      <c r="AO22" s="323"/>
      <c r="AP22" s="510"/>
      <c r="AQ22" s="511"/>
      <c r="AR22" s="323"/>
      <c r="AT22" s="1"/>
      <c r="AU22" s="1"/>
      <c r="AW22" s="203"/>
      <c r="AX22" s="96"/>
      <c r="AY22" s="516" t="str">
        <f t="shared" si="10"/>
        <v>Revenu à configurer</v>
      </c>
      <c r="AZ22" s="517"/>
      <c r="BA22" s="518"/>
      <c r="BB22" s="212">
        <f t="shared" si="15"/>
        <v>0</v>
      </c>
      <c r="BC22" s="353">
        <f>IF(BB28=0,0,BB22/BB28)</f>
        <v>0</v>
      </c>
      <c r="BD22" s="403">
        <f t="shared" si="11"/>
        <v>0</v>
      </c>
      <c r="BE22" s="439" t="str">
        <f t="shared" si="12"/>
        <v/>
      </c>
      <c r="BF22" s="440" t="str">
        <f t="shared" si="13"/>
        <v/>
      </c>
      <c r="BG22" s="96"/>
      <c r="BH22" s="203"/>
    </row>
    <row r="23" spans="2:60" ht="15">
      <c r="B23" s="209"/>
      <c r="D23" s="177">
        <f t="shared" si="17"/>
        <v>14</v>
      </c>
      <c r="E23" s="210" t="s">
        <v>242</v>
      </c>
      <c r="F23" s="322" t="s">
        <v>28</v>
      </c>
      <c r="G23" s="211" t="s">
        <v>10</v>
      </c>
      <c r="H23" s="383"/>
      <c r="I23" s="510"/>
      <c r="J23" s="511"/>
      <c r="K23" s="323"/>
      <c r="L23" s="510"/>
      <c r="M23" s="511"/>
      <c r="N23" s="323"/>
      <c r="O23" s="510"/>
      <c r="P23" s="511"/>
      <c r="Q23" s="323"/>
      <c r="R23" s="510"/>
      <c r="S23" s="511"/>
      <c r="T23" s="323"/>
      <c r="U23" s="510"/>
      <c r="V23" s="511"/>
      <c r="W23" s="323"/>
      <c r="X23" s="510"/>
      <c r="Y23" s="511"/>
      <c r="Z23" s="323"/>
      <c r="AA23" s="510"/>
      <c r="AB23" s="511"/>
      <c r="AC23" s="323"/>
      <c r="AD23" s="510"/>
      <c r="AE23" s="511"/>
      <c r="AF23" s="323"/>
      <c r="AG23" s="510"/>
      <c r="AH23" s="511"/>
      <c r="AI23" s="323"/>
      <c r="AJ23" s="510"/>
      <c r="AK23" s="511"/>
      <c r="AL23" s="323"/>
      <c r="AM23" s="510"/>
      <c r="AN23" s="511"/>
      <c r="AO23" s="323"/>
      <c r="AP23" s="510"/>
      <c r="AQ23" s="511"/>
      <c r="AR23" s="323"/>
      <c r="AT23" s="1"/>
      <c r="AU23" s="1"/>
      <c r="AW23" s="203"/>
      <c r="AX23" s="96"/>
      <c r="AY23" s="516" t="str">
        <f t="shared" si="10"/>
        <v>Revenu à configurer</v>
      </c>
      <c r="AZ23" s="517"/>
      <c r="BA23" s="518"/>
      <c r="BB23" s="212">
        <f t="shared" si="15"/>
        <v>0</v>
      </c>
      <c r="BC23" s="353">
        <f>IF(BB28=0,0,BB23/BB28)</f>
        <v>0</v>
      </c>
      <c r="BD23" s="403">
        <f t="shared" si="11"/>
        <v>0</v>
      </c>
      <c r="BE23" s="439" t="str">
        <f t="shared" si="12"/>
        <v/>
      </c>
      <c r="BF23" s="440" t="str">
        <f t="shared" si="13"/>
        <v/>
      </c>
      <c r="BG23" s="96"/>
      <c r="BH23" s="203"/>
    </row>
    <row r="24" spans="2:60" ht="15">
      <c r="B24" s="209"/>
      <c r="D24" s="177">
        <f t="shared" si="17"/>
        <v>15</v>
      </c>
      <c r="E24" s="210" t="s">
        <v>242</v>
      </c>
      <c r="F24" s="322" t="s">
        <v>28</v>
      </c>
      <c r="G24" s="211" t="s">
        <v>10</v>
      </c>
      <c r="H24" s="383"/>
      <c r="I24" s="510"/>
      <c r="J24" s="511"/>
      <c r="K24" s="323"/>
      <c r="L24" s="510"/>
      <c r="M24" s="511"/>
      <c r="N24" s="323"/>
      <c r="O24" s="510"/>
      <c r="P24" s="511"/>
      <c r="Q24" s="323"/>
      <c r="R24" s="510"/>
      <c r="S24" s="511"/>
      <c r="T24" s="323"/>
      <c r="U24" s="510"/>
      <c r="V24" s="511"/>
      <c r="W24" s="323"/>
      <c r="X24" s="510"/>
      <c r="Y24" s="511"/>
      <c r="Z24" s="323"/>
      <c r="AA24" s="510"/>
      <c r="AB24" s="511"/>
      <c r="AC24" s="323"/>
      <c r="AD24" s="510"/>
      <c r="AE24" s="511"/>
      <c r="AF24" s="323"/>
      <c r="AG24" s="510"/>
      <c r="AH24" s="511"/>
      <c r="AI24" s="323"/>
      <c r="AJ24" s="510"/>
      <c r="AK24" s="511"/>
      <c r="AL24" s="323"/>
      <c r="AM24" s="510"/>
      <c r="AN24" s="511"/>
      <c r="AO24" s="323"/>
      <c r="AP24" s="510"/>
      <c r="AQ24" s="511"/>
      <c r="AR24" s="323"/>
      <c r="AT24" s="1"/>
      <c r="AU24" s="1"/>
      <c r="AW24" s="203"/>
      <c r="AX24" s="96"/>
      <c r="AY24" s="516" t="str">
        <f t="shared" si="10"/>
        <v>Revenu à configurer</v>
      </c>
      <c r="AZ24" s="517"/>
      <c r="BA24" s="518"/>
      <c r="BB24" s="212">
        <f t="shared" si="15"/>
        <v>0</v>
      </c>
      <c r="BC24" s="353">
        <f>IF(BB28=0,0,BB24/BB28)</f>
        <v>0</v>
      </c>
      <c r="BD24" s="403">
        <f t="shared" si="11"/>
        <v>0</v>
      </c>
      <c r="BE24" s="439" t="str">
        <f t="shared" si="12"/>
        <v/>
      </c>
      <c r="BF24" s="440" t="str">
        <f t="shared" si="13"/>
        <v/>
      </c>
      <c r="BG24" s="96"/>
      <c r="BH24" s="203"/>
    </row>
    <row r="25" spans="2:60" ht="15">
      <c r="B25" s="209"/>
      <c r="D25" s="177">
        <f t="shared" si="17"/>
        <v>16</v>
      </c>
      <c r="E25" s="210" t="s">
        <v>242</v>
      </c>
      <c r="F25" s="322" t="s">
        <v>28</v>
      </c>
      <c r="G25" s="211" t="s">
        <v>10</v>
      </c>
      <c r="H25" s="384"/>
      <c r="I25" s="510"/>
      <c r="J25" s="511"/>
      <c r="K25" s="323"/>
      <c r="L25" s="510"/>
      <c r="M25" s="511"/>
      <c r="N25" s="323"/>
      <c r="O25" s="510"/>
      <c r="P25" s="511"/>
      <c r="Q25" s="323"/>
      <c r="R25" s="510"/>
      <c r="S25" s="511"/>
      <c r="T25" s="323"/>
      <c r="U25" s="510"/>
      <c r="V25" s="511"/>
      <c r="W25" s="323"/>
      <c r="X25" s="510"/>
      <c r="Y25" s="511"/>
      <c r="Z25" s="323"/>
      <c r="AA25" s="510"/>
      <c r="AB25" s="511"/>
      <c r="AC25" s="323"/>
      <c r="AD25" s="510"/>
      <c r="AE25" s="511"/>
      <c r="AF25" s="323"/>
      <c r="AG25" s="510"/>
      <c r="AH25" s="511"/>
      <c r="AI25" s="323"/>
      <c r="AJ25" s="510"/>
      <c r="AK25" s="511"/>
      <c r="AL25" s="323"/>
      <c r="AM25" s="510"/>
      <c r="AN25" s="511"/>
      <c r="AO25" s="323"/>
      <c r="AP25" s="510"/>
      <c r="AQ25" s="511"/>
      <c r="AR25" s="323"/>
      <c r="AT25" s="1"/>
      <c r="AU25" s="1"/>
      <c r="AW25" s="203"/>
      <c r="AX25" s="96"/>
      <c r="AY25" s="516" t="str">
        <f t="shared" ref="AY25:AY26" si="18">F25</f>
        <v>Revenu à configurer</v>
      </c>
      <c r="AZ25" s="517"/>
      <c r="BA25" s="518"/>
      <c r="BB25" s="212">
        <f t="shared" si="15"/>
        <v>0</v>
      </c>
      <c r="BC25" s="353">
        <f>IF(BB28=0,0,BB25/BB28)</f>
        <v>0</v>
      </c>
      <c r="BD25" s="403">
        <f t="shared" si="11"/>
        <v>0</v>
      </c>
      <c r="BE25" s="439" t="str">
        <f t="shared" si="12"/>
        <v/>
      </c>
      <c r="BF25" s="440" t="str">
        <f t="shared" si="13"/>
        <v/>
      </c>
      <c r="BG25" s="96"/>
      <c r="BH25" s="203"/>
    </row>
    <row r="26" spans="2:60" ht="15">
      <c r="B26" s="209"/>
      <c r="D26" s="177">
        <f t="shared" si="17"/>
        <v>17</v>
      </c>
      <c r="E26" s="210" t="s">
        <v>242</v>
      </c>
      <c r="F26" s="322" t="s">
        <v>28</v>
      </c>
      <c r="G26" s="211" t="s">
        <v>10</v>
      </c>
      <c r="H26" s="384"/>
      <c r="I26" s="510"/>
      <c r="J26" s="511"/>
      <c r="K26" s="323"/>
      <c r="L26" s="510"/>
      <c r="M26" s="511"/>
      <c r="N26" s="323"/>
      <c r="O26" s="510"/>
      <c r="P26" s="511"/>
      <c r="Q26" s="323"/>
      <c r="R26" s="510"/>
      <c r="S26" s="511"/>
      <c r="T26" s="323"/>
      <c r="U26" s="510"/>
      <c r="V26" s="511"/>
      <c r="W26" s="323"/>
      <c r="X26" s="510"/>
      <c r="Y26" s="511"/>
      <c r="Z26" s="323"/>
      <c r="AA26" s="510"/>
      <c r="AB26" s="511"/>
      <c r="AC26" s="323"/>
      <c r="AD26" s="510"/>
      <c r="AE26" s="511"/>
      <c r="AF26" s="323"/>
      <c r="AG26" s="510"/>
      <c r="AH26" s="511"/>
      <c r="AI26" s="323"/>
      <c r="AJ26" s="510"/>
      <c r="AK26" s="511"/>
      <c r="AL26" s="323"/>
      <c r="AM26" s="510"/>
      <c r="AN26" s="511"/>
      <c r="AO26" s="323"/>
      <c r="AP26" s="510"/>
      <c r="AQ26" s="511"/>
      <c r="AR26" s="323"/>
      <c r="AT26" s="1"/>
      <c r="AU26" s="1"/>
      <c r="AW26" s="203"/>
      <c r="AX26" s="96"/>
      <c r="AY26" s="516" t="str">
        <f t="shared" si="18"/>
        <v>Revenu à configurer</v>
      </c>
      <c r="AZ26" s="517"/>
      <c r="BA26" s="518"/>
      <c r="BB26" s="212">
        <f t="shared" ref="BB26" si="19">SUM(I26:AR26)</f>
        <v>0</v>
      </c>
      <c r="BC26" s="353">
        <f>IF(BB28=0,0,BB26/BB28)</f>
        <v>0</v>
      </c>
      <c r="BD26" s="403">
        <f t="shared" si="11"/>
        <v>0</v>
      </c>
      <c r="BE26" s="439" t="str">
        <f t="shared" si="12"/>
        <v/>
      </c>
      <c r="BF26" s="440" t="str">
        <f t="shared" si="13"/>
        <v/>
      </c>
      <c r="BG26" s="96"/>
      <c r="BH26" s="203"/>
    </row>
    <row r="27" spans="2:60" ht="15">
      <c r="B27" s="209"/>
      <c r="D27" s="177">
        <f t="shared" si="17"/>
        <v>18</v>
      </c>
      <c r="E27" s="210" t="s">
        <v>242</v>
      </c>
      <c r="F27" s="322" t="s">
        <v>28</v>
      </c>
      <c r="G27" s="211" t="s">
        <v>10</v>
      </c>
      <c r="H27" s="384"/>
      <c r="I27" s="510"/>
      <c r="J27" s="511"/>
      <c r="K27" s="323"/>
      <c r="L27" s="510"/>
      <c r="M27" s="511"/>
      <c r="N27" s="323"/>
      <c r="O27" s="510"/>
      <c r="P27" s="511"/>
      <c r="Q27" s="323"/>
      <c r="R27" s="510"/>
      <c r="S27" s="511"/>
      <c r="T27" s="323"/>
      <c r="U27" s="510"/>
      <c r="V27" s="511"/>
      <c r="W27" s="323"/>
      <c r="X27" s="510"/>
      <c r="Y27" s="511"/>
      <c r="Z27" s="323"/>
      <c r="AA27" s="510"/>
      <c r="AB27" s="511"/>
      <c r="AC27" s="323"/>
      <c r="AD27" s="510"/>
      <c r="AE27" s="511"/>
      <c r="AF27" s="323"/>
      <c r="AG27" s="510"/>
      <c r="AH27" s="511"/>
      <c r="AI27" s="323"/>
      <c r="AJ27" s="510"/>
      <c r="AK27" s="511"/>
      <c r="AL27" s="323"/>
      <c r="AM27" s="510"/>
      <c r="AN27" s="511"/>
      <c r="AO27" s="323"/>
      <c r="AP27" s="510"/>
      <c r="AQ27" s="511"/>
      <c r="AR27" s="323"/>
      <c r="AT27" s="1"/>
      <c r="AU27" s="1"/>
      <c r="AW27" s="203"/>
      <c r="AX27" s="96"/>
      <c r="AY27" s="516" t="str">
        <f t="shared" si="10"/>
        <v>Revenu à configurer</v>
      </c>
      <c r="AZ27" s="517"/>
      <c r="BA27" s="518"/>
      <c r="BB27" s="212">
        <f t="shared" ref="BB27" si="20">SUM(I27:AR27)</f>
        <v>0</v>
      </c>
      <c r="BC27" s="353">
        <f>IF(BB28=0,0,BB27/BB28)</f>
        <v>0</v>
      </c>
      <c r="BD27" s="403">
        <f t="shared" si="11"/>
        <v>0</v>
      </c>
      <c r="BE27" s="439" t="str">
        <f t="shared" si="12"/>
        <v/>
      </c>
      <c r="BF27" s="440" t="str">
        <f t="shared" si="13"/>
        <v/>
      </c>
      <c r="BG27" s="96"/>
      <c r="BH27" s="203"/>
    </row>
    <row r="28" spans="2:60" ht="16">
      <c r="D28" s="1"/>
      <c r="E28" s="1"/>
      <c r="F28" s="466" t="s">
        <v>57</v>
      </c>
      <c r="G28" s="466"/>
      <c r="I28" s="645">
        <f>SUM(I10:J27)</f>
        <v>3500</v>
      </c>
      <c r="J28" s="646"/>
      <c r="K28" s="647"/>
      <c r="L28" s="645">
        <f>SUM(L10:M27)</f>
        <v>3500</v>
      </c>
      <c r="M28" s="646"/>
      <c r="N28" s="647"/>
      <c r="O28" s="645">
        <f t="shared" ref="O28" si="21">SUM(O10:P27)</f>
        <v>3500</v>
      </c>
      <c r="P28" s="646"/>
      <c r="Q28" s="647"/>
      <c r="R28" s="645">
        <f t="shared" ref="R28" si="22">SUM(R10:S27)</f>
        <v>3500</v>
      </c>
      <c r="S28" s="646"/>
      <c r="T28" s="647"/>
      <c r="U28" s="645">
        <f t="shared" ref="U28" si="23">SUM(U10:V27)</f>
        <v>3500</v>
      </c>
      <c r="V28" s="646"/>
      <c r="W28" s="647"/>
      <c r="X28" s="645">
        <f t="shared" ref="X28" si="24">SUM(X10:Y27)</f>
        <v>3500</v>
      </c>
      <c r="Y28" s="646"/>
      <c r="Z28" s="647"/>
      <c r="AA28" s="645">
        <f t="shared" ref="AA28" si="25">SUM(AA10:AB27)</f>
        <v>3500</v>
      </c>
      <c r="AB28" s="646"/>
      <c r="AC28" s="647"/>
      <c r="AD28" s="645">
        <f t="shared" ref="AD28" si="26">SUM(AD10:AE27)</f>
        <v>3500</v>
      </c>
      <c r="AE28" s="646"/>
      <c r="AF28" s="647"/>
      <c r="AG28" s="645">
        <f t="shared" ref="AG28" si="27">SUM(AG10:AH27)</f>
        <v>3500</v>
      </c>
      <c r="AH28" s="646"/>
      <c r="AI28" s="647"/>
      <c r="AJ28" s="645">
        <f t="shared" ref="AJ28" si="28">SUM(AJ10:AK27)</f>
        <v>3500</v>
      </c>
      <c r="AK28" s="646"/>
      <c r="AL28" s="647"/>
      <c r="AM28" s="645">
        <f t="shared" ref="AM28" si="29">SUM(AM10:AN27)</f>
        <v>3500</v>
      </c>
      <c r="AN28" s="646"/>
      <c r="AO28" s="647"/>
      <c r="AP28" s="645">
        <f t="shared" ref="AP28" si="30">SUM(AP10:AQ27)</f>
        <v>3500</v>
      </c>
      <c r="AQ28" s="646"/>
      <c r="AR28" s="647"/>
      <c r="AT28" s="1"/>
      <c r="AU28" s="1"/>
      <c r="AW28" s="203"/>
      <c r="AX28" s="96"/>
      <c r="AY28" s="687" t="s">
        <v>253</v>
      </c>
      <c r="AZ28" s="687"/>
      <c r="BA28" s="688"/>
      <c r="BB28" s="213">
        <f>SUM(BB10:BB27)</f>
        <v>42000</v>
      </c>
      <c r="BC28" s="96"/>
      <c r="BD28" s="96"/>
      <c r="BE28" s="96"/>
      <c r="BF28" s="96"/>
      <c r="BG28" s="96"/>
      <c r="BH28" s="203"/>
    </row>
    <row r="29" spans="2:60" s="1" customFormat="1" ht="14">
      <c r="G29" s="377" t="s">
        <v>564</v>
      </c>
      <c r="I29" s="504">
        <f>I28</f>
        <v>3500</v>
      </c>
      <c r="J29" s="505"/>
      <c r="K29" s="506"/>
      <c r="L29" s="504">
        <f>I29+L28</f>
        <v>7000</v>
      </c>
      <c r="M29" s="505"/>
      <c r="N29" s="506"/>
      <c r="O29" s="504">
        <f t="shared" ref="O29" si="31">L29+O28</f>
        <v>10500</v>
      </c>
      <c r="P29" s="505"/>
      <c r="Q29" s="506"/>
      <c r="R29" s="504">
        <f t="shared" ref="R29" si="32">O29+R28</f>
        <v>14000</v>
      </c>
      <c r="S29" s="505"/>
      <c r="T29" s="506"/>
      <c r="U29" s="504">
        <f t="shared" ref="U29" si="33">R29+U28</f>
        <v>17500</v>
      </c>
      <c r="V29" s="505"/>
      <c r="W29" s="506"/>
      <c r="X29" s="504">
        <f t="shared" ref="X29" si="34">U29+X28</f>
        <v>21000</v>
      </c>
      <c r="Y29" s="505"/>
      <c r="Z29" s="506"/>
      <c r="AA29" s="504">
        <f t="shared" ref="AA29" si="35">X29+AA28</f>
        <v>24500</v>
      </c>
      <c r="AB29" s="505"/>
      <c r="AC29" s="506"/>
      <c r="AD29" s="504">
        <f t="shared" ref="AD29" si="36">AA29+AD28</f>
        <v>28000</v>
      </c>
      <c r="AE29" s="505"/>
      <c r="AF29" s="506"/>
      <c r="AG29" s="504">
        <f t="shared" ref="AG29" si="37">AD29+AG28</f>
        <v>31500</v>
      </c>
      <c r="AH29" s="505"/>
      <c r="AI29" s="506"/>
      <c r="AJ29" s="504">
        <f t="shared" ref="AJ29" si="38">AG29+AJ28</f>
        <v>35000</v>
      </c>
      <c r="AK29" s="505"/>
      <c r="AL29" s="506"/>
      <c r="AM29" s="504">
        <f t="shared" ref="AM29" si="39">AJ29+AM28</f>
        <v>38500</v>
      </c>
      <c r="AN29" s="505"/>
      <c r="AO29" s="506"/>
      <c r="AP29" s="504">
        <f t="shared" ref="AP29" si="40">AM29+AP28</f>
        <v>42000</v>
      </c>
      <c r="AQ29" s="505"/>
      <c r="AR29" s="506"/>
      <c r="AW29" s="203"/>
      <c r="AX29" s="96"/>
      <c r="AY29" s="96"/>
      <c r="AZ29" s="668" t="s">
        <v>561</v>
      </c>
      <c r="BA29" s="668"/>
      <c r="BB29" s="351">
        <f>BB28/12</f>
        <v>3500</v>
      </c>
      <c r="BC29" s="96"/>
      <c r="BD29" s="96"/>
      <c r="BE29" s="96"/>
      <c r="BF29" s="96"/>
      <c r="BG29" s="96"/>
      <c r="BH29" s="203"/>
    </row>
    <row r="30" spans="2:60" s="1" customFormat="1" ht="14">
      <c r="G30" s="378" t="s">
        <v>565</v>
      </c>
      <c r="I30" s="648">
        <f>I29</f>
        <v>3500</v>
      </c>
      <c r="J30" s="649"/>
      <c r="K30" s="650"/>
      <c r="L30" s="648">
        <f>L29/2</f>
        <v>3500</v>
      </c>
      <c r="M30" s="649"/>
      <c r="N30" s="650"/>
      <c r="O30" s="648">
        <f>O29/3</f>
        <v>3500</v>
      </c>
      <c r="P30" s="649"/>
      <c r="Q30" s="650"/>
      <c r="R30" s="648">
        <f>R29/4</f>
        <v>3500</v>
      </c>
      <c r="S30" s="649"/>
      <c r="T30" s="650"/>
      <c r="U30" s="648">
        <f>U29/5</f>
        <v>3500</v>
      </c>
      <c r="V30" s="649"/>
      <c r="W30" s="650"/>
      <c r="X30" s="648">
        <f>X29/6</f>
        <v>3500</v>
      </c>
      <c r="Y30" s="649"/>
      <c r="Z30" s="650"/>
      <c r="AA30" s="648">
        <f>AA29/7</f>
        <v>3500</v>
      </c>
      <c r="AB30" s="649"/>
      <c r="AC30" s="650"/>
      <c r="AD30" s="648">
        <f>AD29/8</f>
        <v>3500</v>
      </c>
      <c r="AE30" s="649"/>
      <c r="AF30" s="650"/>
      <c r="AG30" s="648">
        <f>AG29/9</f>
        <v>3500</v>
      </c>
      <c r="AH30" s="649"/>
      <c r="AI30" s="650"/>
      <c r="AJ30" s="648">
        <f>AJ29/10</f>
        <v>3500</v>
      </c>
      <c r="AK30" s="649"/>
      <c r="AL30" s="650"/>
      <c r="AM30" s="648">
        <f>AM29/11</f>
        <v>3500</v>
      </c>
      <c r="AN30" s="649"/>
      <c r="AO30" s="650"/>
      <c r="AP30" s="648">
        <f>AP29/12</f>
        <v>3500</v>
      </c>
      <c r="AQ30" s="649"/>
      <c r="AR30" s="650"/>
      <c r="AW30" s="203"/>
      <c r="AX30" s="96"/>
      <c r="AY30" s="96"/>
      <c r="AZ30" s="370"/>
      <c r="BA30" s="370"/>
      <c r="BB30" s="96"/>
      <c r="BC30" s="96"/>
      <c r="BD30" s="96"/>
      <c r="BE30" s="96"/>
      <c r="BF30" s="96"/>
      <c r="BG30" s="96"/>
      <c r="BH30" s="203"/>
    </row>
    <row r="31" spans="2:60" s="1" customFormat="1" ht="7.5" customHeight="1">
      <c r="AW31" s="203"/>
      <c r="AX31" s="96"/>
      <c r="AY31" s="96"/>
      <c r="AZ31" s="668"/>
      <c r="BA31" s="668"/>
      <c r="BB31" s="96"/>
      <c r="BC31" s="96"/>
      <c r="BD31" s="96"/>
      <c r="BE31" s="96"/>
      <c r="BF31" s="96"/>
      <c r="BG31" s="96"/>
      <c r="BH31" s="203"/>
    </row>
    <row r="32" spans="2:60" s="1" customFormat="1" ht="14">
      <c r="G32" s="379" t="s">
        <v>566</v>
      </c>
      <c r="I32" s="532"/>
      <c r="J32" s="533"/>
      <c r="K32" s="534"/>
      <c r="L32" s="532"/>
      <c r="M32" s="533"/>
      <c r="N32" s="534"/>
      <c r="O32" s="532"/>
      <c r="P32" s="533"/>
      <c r="Q32" s="534"/>
      <c r="R32" s="532"/>
      <c r="S32" s="533"/>
      <c r="T32" s="534"/>
      <c r="U32" s="532"/>
      <c r="V32" s="533"/>
      <c r="W32" s="534"/>
      <c r="X32" s="532"/>
      <c r="Y32" s="533"/>
      <c r="Z32" s="534"/>
      <c r="AA32" s="532"/>
      <c r="AB32" s="533"/>
      <c r="AC32" s="534"/>
      <c r="AD32" s="532"/>
      <c r="AE32" s="533"/>
      <c r="AF32" s="534"/>
      <c r="AG32" s="532"/>
      <c r="AH32" s="533"/>
      <c r="AI32" s="534"/>
      <c r="AJ32" s="532"/>
      <c r="AK32" s="533"/>
      <c r="AL32" s="534"/>
      <c r="AM32" s="532"/>
      <c r="AN32" s="533"/>
      <c r="AO32" s="534"/>
      <c r="AP32" s="532"/>
      <c r="AQ32" s="533"/>
      <c r="AR32" s="534"/>
      <c r="AW32" s="203"/>
      <c r="AX32" s="96"/>
      <c r="AY32" s="96"/>
      <c r="AZ32" s="370"/>
      <c r="BA32" s="410" t="s">
        <v>576</v>
      </c>
      <c r="BB32" s="411">
        <f>SUM(I32:AR32)</f>
        <v>0</v>
      </c>
      <c r="BC32" s="96"/>
      <c r="BD32" s="96"/>
      <c r="BE32" s="96"/>
      <c r="BF32" s="96"/>
      <c r="BG32" s="96"/>
      <c r="BH32" s="203"/>
    </row>
    <row r="33" spans="4:60" s="1" customFormat="1" ht="7.5" customHeight="1">
      <c r="AW33" s="203"/>
      <c r="AX33" s="96"/>
      <c r="AY33" s="96"/>
      <c r="AZ33" s="668"/>
      <c r="BA33" s="668"/>
      <c r="BB33" s="413"/>
      <c r="BC33" s="96"/>
      <c r="BD33" s="96"/>
      <c r="BE33" s="96"/>
      <c r="BF33" s="96"/>
      <c r="BG33" s="96"/>
      <c r="BH33" s="203"/>
    </row>
    <row r="34" spans="4:60" s="1" customFormat="1" ht="16">
      <c r="G34" s="397" t="s">
        <v>567</v>
      </c>
      <c r="I34" s="522">
        <f>I28+I32</f>
        <v>3500</v>
      </c>
      <c r="J34" s="523"/>
      <c r="K34" s="524"/>
      <c r="L34" s="522">
        <f t="shared" ref="L34" si="41">L28+L32</f>
        <v>3500</v>
      </c>
      <c r="M34" s="523"/>
      <c r="N34" s="524"/>
      <c r="O34" s="522">
        <f t="shared" ref="O34" si="42">O28+O32</f>
        <v>3500</v>
      </c>
      <c r="P34" s="523"/>
      <c r="Q34" s="524"/>
      <c r="R34" s="522">
        <f t="shared" ref="R34" si="43">R28+R32</f>
        <v>3500</v>
      </c>
      <c r="S34" s="523"/>
      <c r="T34" s="524"/>
      <c r="U34" s="522">
        <f t="shared" ref="U34" si="44">U28+U32</f>
        <v>3500</v>
      </c>
      <c r="V34" s="523"/>
      <c r="W34" s="524"/>
      <c r="X34" s="522">
        <f t="shared" ref="X34" si="45">X28+X32</f>
        <v>3500</v>
      </c>
      <c r="Y34" s="523"/>
      <c r="Z34" s="524"/>
      <c r="AA34" s="522">
        <f t="shared" ref="AA34" si="46">AA28+AA32</f>
        <v>3500</v>
      </c>
      <c r="AB34" s="523"/>
      <c r="AC34" s="524"/>
      <c r="AD34" s="522">
        <f t="shared" ref="AD34" si="47">AD28+AD32</f>
        <v>3500</v>
      </c>
      <c r="AE34" s="523"/>
      <c r="AF34" s="524"/>
      <c r="AG34" s="522">
        <f t="shared" ref="AG34" si="48">AG28+AG32</f>
        <v>3500</v>
      </c>
      <c r="AH34" s="523"/>
      <c r="AI34" s="524"/>
      <c r="AJ34" s="522">
        <f t="shared" ref="AJ34" si="49">AJ28+AJ32</f>
        <v>3500</v>
      </c>
      <c r="AK34" s="523"/>
      <c r="AL34" s="524"/>
      <c r="AM34" s="522">
        <f t="shared" ref="AM34" si="50">AM28+AM32</f>
        <v>3500</v>
      </c>
      <c r="AN34" s="523"/>
      <c r="AO34" s="524"/>
      <c r="AP34" s="522">
        <f t="shared" ref="AP34" si="51">AP28+AP32</f>
        <v>3500</v>
      </c>
      <c r="AQ34" s="523"/>
      <c r="AR34" s="524"/>
      <c r="AW34" s="203"/>
      <c r="AX34" s="96"/>
      <c r="AY34" s="96"/>
      <c r="AZ34" s="370"/>
      <c r="BA34" s="409" t="s">
        <v>575</v>
      </c>
      <c r="BB34" s="412">
        <f>BB28+BB32</f>
        <v>42000</v>
      </c>
      <c r="BC34" s="96"/>
      <c r="BD34" s="96"/>
      <c r="BE34" s="96"/>
      <c r="BF34" s="96"/>
      <c r="BG34" s="96"/>
      <c r="BH34" s="203"/>
    </row>
    <row r="35" spans="4:60" s="1" customFormat="1" ht="7.5" customHeight="1">
      <c r="AW35" s="203"/>
      <c r="AX35" s="96"/>
      <c r="AY35" s="96"/>
      <c r="AZ35" s="370"/>
      <c r="BA35" s="370"/>
      <c r="BB35" s="96"/>
      <c r="BC35" s="96"/>
      <c r="BD35" s="96"/>
      <c r="BE35" s="96"/>
      <c r="BF35" s="96"/>
      <c r="BG35" s="96"/>
      <c r="BH35" s="203"/>
    </row>
    <row r="36" spans="4:60" s="1" customFormat="1" ht="7.5" customHeight="1">
      <c r="AW36" s="203"/>
      <c r="AX36" s="96"/>
      <c r="AY36" s="96"/>
      <c r="AZ36" s="370"/>
      <c r="BA36" s="370"/>
      <c r="BB36" s="96"/>
      <c r="BC36" s="96"/>
      <c r="BD36" s="96"/>
      <c r="BE36" s="96"/>
      <c r="BF36" s="96"/>
      <c r="BG36" s="96"/>
      <c r="BH36" s="203"/>
    </row>
    <row r="37" spans="4:60" s="1" customFormat="1">
      <c r="D37" s="579" t="s">
        <v>549</v>
      </c>
      <c r="E37" s="656" t="s">
        <v>545</v>
      </c>
      <c r="F37" s="657"/>
      <c r="G37" s="658"/>
      <c r="I37" s="567">
        <f t="shared" ref="I37:L37" si="52">I7</f>
        <v>46174</v>
      </c>
      <c r="J37" s="567"/>
      <c r="K37" s="567"/>
      <c r="L37" s="567">
        <f t="shared" si="52"/>
        <v>46206</v>
      </c>
      <c r="M37" s="567"/>
      <c r="N37" s="567"/>
      <c r="O37" s="567">
        <f t="shared" ref="O37" si="53">O7</f>
        <v>46238</v>
      </c>
      <c r="P37" s="567"/>
      <c r="Q37" s="567"/>
      <c r="R37" s="567">
        <f t="shared" ref="R37" si="54">R7</f>
        <v>46270</v>
      </c>
      <c r="S37" s="567"/>
      <c r="T37" s="567"/>
      <c r="U37" s="567">
        <f t="shared" ref="U37" si="55">U7</f>
        <v>46302</v>
      </c>
      <c r="V37" s="567"/>
      <c r="W37" s="567"/>
      <c r="X37" s="567">
        <f t="shared" ref="X37" si="56">X7</f>
        <v>46334</v>
      </c>
      <c r="Y37" s="567"/>
      <c r="Z37" s="567"/>
      <c r="AA37" s="567">
        <f t="shared" ref="AA37" si="57">AA7</f>
        <v>46366</v>
      </c>
      <c r="AB37" s="567"/>
      <c r="AC37" s="567"/>
      <c r="AD37" s="567">
        <f t="shared" ref="AD37" si="58">AD7</f>
        <v>46398</v>
      </c>
      <c r="AE37" s="567"/>
      <c r="AF37" s="567"/>
      <c r="AG37" s="567">
        <f t="shared" ref="AG37" si="59">AG7</f>
        <v>46430</v>
      </c>
      <c r="AH37" s="567"/>
      <c r="AI37" s="567"/>
      <c r="AJ37" s="567">
        <f t="shared" ref="AJ37" si="60">AJ7</f>
        <v>46462</v>
      </c>
      <c r="AK37" s="567"/>
      <c r="AL37" s="567"/>
      <c r="AM37" s="567">
        <f t="shared" ref="AM37" si="61">AM7</f>
        <v>46494</v>
      </c>
      <c r="AN37" s="567"/>
      <c r="AO37" s="567"/>
      <c r="AP37" s="567">
        <f t="shared" ref="AP37" si="62">AP7</f>
        <v>46526</v>
      </c>
      <c r="AQ37" s="567"/>
      <c r="AR37" s="567"/>
      <c r="AW37" s="203"/>
      <c r="AX37" s="96"/>
      <c r="AY37" s="96"/>
      <c r="AZ37" s="370"/>
      <c r="BA37" s="370"/>
      <c r="BB37" s="96"/>
      <c r="BC37" s="96"/>
      <c r="BD37" s="96"/>
      <c r="BE37" s="96"/>
      <c r="BF37" s="96"/>
      <c r="BG37" s="96"/>
      <c r="BH37" s="203"/>
    </row>
    <row r="38" spans="4:60" s="1" customFormat="1">
      <c r="D38" s="579"/>
      <c r="E38" s="659" t="s">
        <v>556</v>
      </c>
      <c r="F38" s="660"/>
      <c r="G38" s="661"/>
      <c r="I38" s="577" t="str">
        <f>IF($D$37="Désactivé","",CONCATENATE(IF(AND(I129&gt;=0,I155&gt;=0,I221&gt;=0,I263&gt;=0),"Sections équilibrées",CONCATENATE("Ajuster : ", IF(I129&lt;0,"S1 ",""),IF(I155&lt;0,"S2 ",""),IF(I222&lt;0,"S3 ",""),IF(I263&lt;0,"S4 ","")))))</f>
        <v xml:space="preserve">Ajuster : S4 </v>
      </c>
      <c r="J38" s="577"/>
      <c r="K38" s="577"/>
      <c r="L38" s="577" t="str">
        <f>IF($D$37="Désactivé","",CONCATENATE(IF(AND(L129&gt;=0,L155&gt;=0,L221&gt;=0,L263&gt;=0),"Sections équilibrées",CONCATENATE("Ajuster : ", IF(L129&lt;0,"S1 ",""),IF(L155&lt;0,"S2 ",""),IF(L222&lt;0,"S3 ",""),IF(L263&lt;0,"S4 ","")))))</f>
        <v xml:space="preserve">Ajuster : S4 </v>
      </c>
      <c r="M38" s="577"/>
      <c r="N38" s="577"/>
      <c r="O38" s="577" t="str">
        <f>IF($D$37="Désactivé","",CONCATENATE(IF(AND(O129&gt;=0,O155&gt;=0,O221&gt;=0,O263&gt;=0),"Sections équilibrées",CONCATENATE("Ajuster : ", IF(O129&lt;0,"S1 ",""),IF(O155&lt;0,"S2 ",""),IF(O222&lt;0,"S3 ",""),IF(O263&lt;0,"S4 ","")))))</f>
        <v xml:space="preserve">Ajuster : S4 </v>
      </c>
      <c r="P38" s="577"/>
      <c r="Q38" s="577"/>
      <c r="R38" s="577" t="str">
        <f>IF($D$37="Désactivé","",CONCATENATE(IF(AND(R129&gt;=0,R155&gt;=0,R221&gt;=0,R263&gt;=0),"Sections équilibrées",CONCATENATE("Ajuster : ", IF(R129&lt;0,"S1 ",""),IF(R155&lt;0,"S2 ",""),IF(R222&lt;0,"S3 ",""),IF(R263&lt;0,"S4 ","")))))</f>
        <v xml:space="preserve">Ajuster : S4 </v>
      </c>
      <c r="S38" s="577"/>
      <c r="T38" s="577"/>
      <c r="U38" s="577" t="str">
        <f>IF($D$37="Désactivé","",CONCATENATE(IF(AND(U129&gt;=0,U155&gt;=0,U221&gt;=0,U263&gt;=0),"Sections équilibrées",CONCATENATE("Ajuster : ", IF(U129&lt;0,"S1 ",""),IF(U155&lt;0,"S2 ",""),IF(U222&lt;0,"S3 ",""),IF(U263&lt;0,"S4 ","")))))</f>
        <v xml:space="preserve">Ajuster : S1 S3 S4 </v>
      </c>
      <c r="V38" s="577"/>
      <c r="W38" s="577"/>
      <c r="X38" s="577" t="str">
        <f>IF($D$37="Désactivé","",CONCATENATE(IF(AND(X129&gt;=0,X155&gt;=0,X221&gt;=0,X263&gt;=0),"Sections équilibrées",CONCATENATE("Ajuster : ", IF(X129&lt;0,"S1 ",""),IF(X155&lt;0,"S2 ",""),IF(X222&lt;0,"S3 ",""),IF(X263&lt;0,"S4 ","")))))</f>
        <v xml:space="preserve">Ajuster : S1 S3 S4 </v>
      </c>
      <c r="Y38" s="577"/>
      <c r="Z38" s="577"/>
      <c r="AA38" s="577" t="str">
        <f>IF($D$37="Désactivé","",CONCATENATE(IF(AND(AA129&gt;=0,AA155&gt;=0,AA221&gt;=0,AA263&gt;=0),"Sections équilibrées",CONCATENATE("Ajuster : ", IF(AA129&lt;0,"S1 ",""),IF(AA155&lt;0,"S2 ",""),IF(AA222&lt;0,"S3 ",""),IF(AA263&lt;0,"S4 ","")))))</f>
        <v xml:space="preserve">Ajuster : S1 S3 S4 </v>
      </c>
      <c r="AB38" s="577"/>
      <c r="AC38" s="577"/>
      <c r="AD38" s="577" t="str">
        <f>IF($D$37="Désactivé","",CONCATENATE(IF(AND(AD129&gt;=0,AD155&gt;=0,AD221&gt;=0,AD263&gt;=0),"Sections équilibrées",CONCATENATE("Ajuster : ", IF(AD129&lt;0,"S1 ",""),IF(AD155&lt;0,"S2 ",""),IF(AD222&lt;0,"S3 ",""),IF(AD263&lt;0,"S4 ","")))))</f>
        <v xml:space="preserve">Ajuster : S1 S3 S4 </v>
      </c>
      <c r="AE38" s="577"/>
      <c r="AF38" s="577"/>
      <c r="AG38" s="577" t="str">
        <f>IF($D$37="Désactivé","",CONCATENATE(IF(AND(AG129&gt;=0,AG155&gt;=0,AG221&gt;=0,AG263&gt;=0),"Sections équilibrées",CONCATENATE("Ajuster : ", IF(AG129&lt;0,"S1 ",""),IF(AG155&lt;0,"S2 ",""),IF(AG222&lt;0,"S3 ",""),IF(AG263&lt;0,"S4 ","")))))</f>
        <v xml:space="preserve">Ajuster : S1 S3 S4 </v>
      </c>
      <c r="AH38" s="577"/>
      <c r="AI38" s="577"/>
      <c r="AJ38" s="577" t="str">
        <f>IF($D$37="Désactivé","",CONCATENATE(IF(AND(AJ129&gt;=0,AJ155&gt;=0,AJ221&gt;=0,AJ263&gt;=0),"Sections équilibrées",CONCATENATE("Ajuster : ", IF(AJ129&lt;0,"S1 ",""),IF(AJ155&lt;0,"S2 ",""),IF(AJ222&lt;0,"S3 ",""),IF(AJ263&lt;0,"S4 ","")))))</f>
        <v xml:space="preserve">Ajuster : S1 S3 S4 </v>
      </c>
      <c r="AK38" s="577"/>
      <c r="AL38" s="577"/>
      <c r="AM38" s="577" t="str">
        <f>IF($D$37="Désactivé","",CONCATENATE(IF(AND(AM129&gt;=0,AM155&gt;=0,AM221&gt;=0,AM263&gt;=0),"Sections équilibrées",CONCATENATE("Ajuster : ", IF(AM129&lt;0,"S1 ",""),IF(AM155&lt;0,"S2 ",""),IF(AM222&lt;0,"S3 ",""),IF(AM263&lt;0,"S4 ","")))))</f>
        <v xml:space="preserve">Ajuster : S1 S3 S4 </v>
      </c>
      <c r="AN38" s="577"/>
      <c r="AO38" s="577"/>
      <c r="AP38" s="577" t="str">
        <f>IF($D$37="Désactivé","",CONCATENATE(IF(AND(AP129&gt;=0,AP155&gt;=0,AP221&gt;=0,AP263&gt;=0),"Sections équilibrées",CONCATENATE("Ajuster : ", IF(AP129&lt;0,"S1 ",""),IF(AP155&lt;0,"S2 ",""),IF(AP222&lt;0,"S3 ",""),IF(AP263&lt;0,"S4 ","")))))</f>
        <v xml:space="preserve">Ajuster : S1 S3 S4 </v>
      </c>
      <c r="AQ38" s="577"/>
      <c r="AR38" s="577"/>
      <c r="AW38" s="203"/>
      <c r="AX38" s="96"/>
      <c r="AY38" s="96"/>
      <c r="AZ38" s="370"/>
      <c r="BA38" s="370"/>
      <c r="BB38" s="96"/>
      <c r="BC38" s="96"/>
      <c r="BD38" s="96"/>
      <c r="BE38" s="96"/>
      <c r="BF38" s="96"/>
      <c r="BG38" s="96"/>
      <c r="BH38" s="203"/>
    </row>
    <row r="39" spans="4:60" s="1" customFormat="1" ht="12.75" customHeight="1">
      <c r="E39" s="643" t="s">
        <v>557</v>
      </c>
      <c r="F39" s="637" t="s">
        <v>551</v>
      </c>
      <c r="G39" s="638"/>
      <c r="H39" s="385"/>
      <c r="I39" s="547">
        <v>1048</v>
      </c>
      <c r="J39" s="548"/>
      <c r="K39" s="551" t="s">
        <v>548</v>
      </c>
      <c r="L39" s="547">
        <v>1048</v>
      </c>
      <c r="M39" s="548"/>
      <c r="N39" s="551" t="s">
        <v>548</v>
      </c>
      <c r="O39" s="547">
        <v>1048</v>
      </c>
      <c r="P39" s="548"/>
      <c r="Q39" s="551" t="s">
        <v>548</v>
      </c>
      <c r="R39" s="547">
        <v>1048</v>
      </c>
      <c r="S39" s="548"/>
      <c r="T39" s="551" t="s">
        <v>548</v>
      </c>
      <c r="U39" s="547">
        <v>0</v>
      </c>
      <c r="V39" s="548"/>
      <c r="W39" s="551" t="s">
        <v>548</v>
      </c>
      <c r="X39" s="547">
        <v>0</v>
      </c>
      <c r="Y39" s="548"/>
      <c r="Z39" s="551" t="s">
        <v>546</v>
      </c>
      <c r="AA39" s="547">
        <v>0</v>
      </c>
      <c r="AB39" s="548"/>
      <c r="AC39" s="551" t="s">
        <v>546</v>
      </c>
      <c r="AD39" s="547">
        <v>0</v>
      </c>
      <c r="AE39" s="548"/>
      <c r="AF39" s="551" t="s">
        <v>546</v>
      </c>
      <c r="AG39" s="547">
        <v>0</v>
      </c>
      <c r="AH39" s="548"/>
      <c r="AI39" s="551" t="s">
        <v>546</v>
      </c>
      <c r="AJ39" s="547">
        <v>0</v>
      </c>
      <c r="AK39" s="548"/>
      <c r="AL39" s="551" t="s">
        <v>546</v>
      </c>
      <c r="AM39" s="547">
        <v>0</v>
      </c>
      <c r="AN39" s="548"/>
      <c r="AO39" s="551" t="s">
        <v>546</v>
      </c>
      <c r="AP39" s="547">
        <v>0</v>
      </c>
      <c r="AQ39" s="548"/>
      <c r="AR39" s="551" t="s">
        <v>546</v>
      </c>
      <c r="AW39" s="203"/>
      <c r="AX39" s="96"/>
      <c r="AY39" s="96"/>
      <c r="AZ39" s="370"/>
      <c r="BA39" s="370"/>
      <c r="BB39" s="96"/>
      <c r="BC39" s="96"/>
      <c r="BD39" s="96"/>
      <c r="BE39" s="96"/>
      <c r="BF39" s="96"/>
      <c r="BG39" s="96"/>
      <c r="BH39" s="203"/>
    </row>
    <row r="40" spans="4:60" s="1" customFormat="1" ht="12.75" customHeight="1">
      <c r="E40" s="643"/>
      <c r="F40" s="639"/>
      <c r="G40" s="640"/>
      <c r="H40" s="386"/>
      <c r="I40" s="549"/>
      <c r="J40" s="550"/>
      <c r="K40" s="552"/>
      <c r="L40" s="549"/>
      <c r="M40" s="550"/>
      <c r="N40" s="552"/>
      <c r="O40" s="549"/>
      <c r="P40" s="550"/>
      <c r="Q40" s="552"/>
      <c r="R40" s="549"/>
      <c r="S40" s="550"/>
      <c r="T40" s="552"/>
      <c r="U40" s="549"/>
      <c r="V40" s="550"/>
      <c r="W40" s="552"/>
      <c r="X40" s="549"/>
      <c r="Y40" s="550"/>
      <c r="Z40" s="552"/>
      <c r="AA40" s="549"/>
      <c r="AB40" s="550"/>
      <c r="AC40" s="552"/>
      <c r="AD40" s="549"/>
      <c r="AE40" s="550"/>
      <c r="AF40" s="552"/>
      <c r="AG40" s="549"/>
      <c r="AH40" s="550"/>
      <c r="AI40" s="552"/>
      <c r="AJ40" s="549"/>
      <c r="AK40" s="550"/>
      <c r="AL40" s="552"/>
      <c r="AM40" s="549"/>
      <c r="AN40" s="550"/>
      <c r="AO40" s="552"/>
      <c r="AP40" s="549"/>
      <c r="AQ40" s="550"/>
      <c r="AR40" s="552"/>
      <c r="AW40" s="203"/>
      <c r="AX40" s="96"/>
      <c r="AY40" s="96"/>
      <c r="AZ40" s="370"/>
      <c r="BA40" s="370"/>
      <c r="BB40" s="96"/>
      <c r="BC40" s="96"/>
      <c r="BD40" s="96"/>
      <c r="BE40" s="96"/>
      <c r="BF40" s="96"/>
      <c r="BG40" s="96"/>
      <c r="BH40" s="203"/>
    </row>
    <row r="41" spans="4:60" s="1" customFormat="1" ht="12.75" customHeight="1">
      <c r="E41" s="644" t="s">
        <v>558</v>
      </c>
      <c r="F41" s="641" t="s">
        <v>552</v>
      </c>
      <c r="G41" s="642"/>
      <c r="H41" s="386"/>
      <c r="I41" s="547">
        <v>0</v>
      </c>
      <c r="J41" s="548"/>
      <c r="K41" s="551" t="s">
        <v>548</v>
      </c>
      <c r="L41" s="547">
        <v>0</v>
      </c>
      <c r="M41" s="548"/>
      <c r="N41" s="551" t="s">
        <v>548</v>
      </c>
      <c r="O41" s="547">
        <v>0</v>
      </c>
      <c r="P41" s="548"/>
      <c r="Q41" s="551" t="s">
        <v>548</v>
      </c>
      <c r="R41" s="547">
        <v>0</v>
      </c>
      <c r="S41" s="548"/>
      <c r="T41" s="551" t="s">
        <v>548</v>
      </c>
      <c r="U41" s="547">
        <v>0</v>
      </c>
      <c r="V41" s="548"/>
      <c r="W41" s="551" t="s">
        <v>546</v>
      </c>
      <c r="X41" s="547">
        <v>0</v>
      </c>
      <c r="Y41" s="548"/>
      <c r="Z41" s="551" t="s">
        <v>548</v>
      </c>
      <c r="AA41" s="547">
        <v>0</v>
      </c>
      <c r="AB41" s="548"/>
      <c r="AC41" s="551" t="s">
        <v>548</v>
      </c>
      <c r="AD41" s="547">
        <v>0</v>
      </c>
      <c r="AE41" s="548"/>
      <c r="AF41" s="551" t="s">
        <v>548</v>
      </c>
      <c r="AG41" s="547">
        <v>0</v>
      </c>
      <c r="AH41" s="548"/>
      <c r="AI41" s="551" t="s">
        <v>548</v>
      </c>
      <c r="AJ41" s="547">
        <v>0</v>
      </c>
      <c r="AK41" s="548"/>
      <c r="AL41" s="551" t="s">
        <v>548</v>
      </c>
      <c r="AM41" s="547">
        <v>0</v>
      </c>
      <c r="AN41" s="548"/>
      <c r="AO41" s="551" t="s">
        <v>548</v>
      </c>
      <c r="AP41" s="547">
        <v>0</v>
      </c>
      <c r="AQ41" s="548"/>
      <c r="AR41" s="551" t="s">
        <v>548</v>
      </c>
      <c r="AW41" s="203"/>
      <c r="AX41" s="96"/>
      <c r="AY41" s="96"/>
      <c r="AZ41" s="370"/>
      <c r="BA41" s="370"/>
      <c r="BB41" s="96"/>
      <c r="BC41" s="96"/>
      <c r="BD41" s="96"/>
      <c r="BE41" s="96"/>
      <c r="BF41" s="96"/>
      <c r="BG41" s="96"/>
      <c r="BH41" s="203"/>
    </row>
    <row r="42" spans="4:60" s="1" customFormat="1" ht="12.75" customHeight="1">
      <c r="E42" s="644"/>
      <c r="F42" s="639"/>
      <c r="G42" s="640"/>
      <c r="H42" s="386"/>
      <c r="I42" s="549"/>
      <c r="J42" s="550"/>
      <c r="K42" s="552"/>
      <c r="L42" s="549"/>
      <c r="M42" s="550"/>
      <c r="N42" s="552"/>
      <c r="O42" s="549"/>
      <c r="P42" s="550"/>
      <c r="Q42" s="552"/>
      <c r="R42" s="549"/>
      <c r="S42" s="550"/>
      <c r="T42" s="552"/>
      <c r="U42" s="549"/>
      <c r="V42" s="550"/>
      <c r="W42" s="552"/>
      <c r="X42" s="549"/>
      <c r="Y42" s="550"/>
      <c r="Z42" s="552"/>
      <c r="AA42" s="549"/>
      <c r="AB42" s="550"/>
      <c r="AC42" s="552"/>
      <c r="AD42" s="549"/>
      <c r="AE42" s="550"/>
      <c r="AF42" s="552"/>
      <c r="AG42" s="549"/>
      <c r="AH42" s="550"/>
      <c r="AI42" s="552"/>
      <c r="AJ42" s="549"/>
      <c r="AK42" s="550"/>
      <c r="AL42" s="552"/>
      <c r="AM42" s="549"/>
      <c r="AN42" s="550"/>
      <c r="AO42" s="552"/>
      <c r="AP42" s="549"/>
      <c r="AQ42" s="550"/>
      <c r="AR42" s="552"/>
      <c r="AW42" s="203"/>
      <c r="AX42" s="96"/>
      <c r="AY42" s="96"/>
      <c r="AZ42" s="370"/>
      <c r="BA42" s="370"/>
      <c r="BB42" s="96"/>
      <c r="BC42" s="96"/>
      <c r="BD42" s="96"/>
      <c r="BE42" s="96"/>
      <c r="BF42" s="96"/>
      <c r="BG42" s="96"/>
      <c r="BH42" s="203"/>
    </row>
    <row r="43" spans="4:60" s="1" customFormat="1" ht="12.75" customHeight="1">
      <c r="E43" s="568" t="s">
        <v>559</v>
      </c>
      <c r="F43" s="641" t="s">
        <v>553</v>
      </c>
      <c r="G43" s="642"/>
      <c r="H43" s="386"/>
      <c r="I43" s="547">
        <v>3010</v>
      </c>
      <c r="J43" s="548"/>
      <c r="K43" s="551" t="s">
        <v>548</v>
      </c>
      <c r="L43" s="547">
        <v>3010</v>
      </c>
      <c r="M43" s="548"/>
      <c r="N43" s="551" t="s">
        <v>548</v>
      </c>
      <c r="O43" s="547">
        <v>3010</v>
      </c>
      <c r="P43" s="548"/>
      <c r="Q43" s="551" t="s">
        <v>548</v>
      </c>
      <c r="R43" s="547">
        <v>3010</v>
      </c>
      <c r="S43" s="548"/>
      <c r="T43" s="551" t="s">
        <v>548</v>
      </c>
      <c r="U43" s="547">
        <v>0</v>
      </c>
      <c r="V43" s="548"/>
      <c r="W43" s="551" t="s">
        <v>548</v>
      </c>
      <c r="X43" s="547">
        <v>0</v>
      </c>
      <c r="Y43" s="548"/>
      <c r="Z43" s="551" t="s">
        <v>546</v>
      </c>
      <c r="AA43" s="547">
        <v>0</v>
      </c>
      <c r="AB43" s="548"/>
      <c r="AC43" s="551" t="s">
        <v>546</v>
      </c>
      <c r="AD43" s="547">
        <v>0</v>
      </c>
      <c r="AE43" s="548"/>
      <c r="AF43" s="551" t="s">
        <v>546</v>
      </c>
      <c r="AG43" s="547">
        <v>0</v>
      </c>
      <c r="AH43" s="548"/>
      <c r="AI43" s="551" t="s">
        <v>546</v>
      </c>
      <c r="AJ43" s="547">
        <v>0</v>
      </c>
      <c r="AK43" s="548"/>
      <c r="AL43" s="551" t="s">
        <v>546</v>
      </c>
      <c r="AM43" s="547">
        <v>0</v>
      </c>
      <c r="AN43" s="548"/>
      <c r="AO43" s="551" t="s">
        <v>546</v>
      </c>
      <c r="AP43" s="547">
        <v>0</v>
      </c>
      <c r="AQ43" s="548"/>
      <c r="AR43" s="551" t="s">
        <v>546</v>
      </c>
      <c r="AW43" s="203"/>
      <c r="AX43" s="96"/>
      <c r="AY43" s="96"/>
      <c r="AZ43" s="370"/>
      <c r="BA43" s="370"/>
      <c r="BB43" s="96"/>
      <c r="BC43" s="96"/>
      <c r="BD43" s="96"/>
      <c r="BE43" s="96"/>
      <c r="BF43" s="96"/>
      <c r="BG43" s="96"/>
      <c r="BH43" s="203"/>
    </row>
    <row r="44" spans="4:60" s="1" customFormat="1" ht="12.75" customHeight="1">
      <c r="E44" s="568"/>
      <c r="F44" s="639"/>
      <c r="G44" s="640"/>
      <c r="H44" s="386"/>
      <c r="I44" s="549"/>
      <c r="J44" s="550"/>
      <c r="K44" s="552"/>
      <c r="L44" s="549"/>
      <c r="M44" s="550"/>
      <c r="N44" s="552"/>
      <c r="O44" s="549"/>
      <c r="P44" s="550"/>
      <c r="Q44" s="552"/>
      <c r="R44" s="549"/>
      <c r="S44" s="550"/>
      <c r="T44" s="552"/>
      <c r="U44" s="549"/>
      <c r="V44" s="550"/>
      <c r="W44" s="552"/>
      <c r="X44" s="549"/>
      <c r="Y44" s="550"/>
      <c r="Z44" s="552"/>
      <c r="AA44" s="549"/>
      <c r="AB44" s="550"/>
      <c r="AC44" s="552"/>
      <c r="AD44" s="549"/>
      <c r="AE44" s="550"/>
      <c r="AF44" s="552"/>
      <c r="AG44" s="549"/>
      <c r="AH44" s="550"/>
      <c r="AI44" s="552"/>
      <c r="AJ44" s="549"/>
      <c r="AK44" s="550"/>
      <c r="AL44" s="552"/>
      <c r="AM44" s="549"/>
      <c r="AN44" s="550"/>
      <c r="AO44" s="552"/>
      <c r="AP44" s="549"/>
      <c r="AQ44" s="550"/>
      <c r="AR44" s="552"/>
      <c r="AW44" s="203"/>
      <c r="AX44" s="96"/>
      <c r="AY44" s="96"/>
      <c r="AZ44" s="370"/>
      <c r="BA44" s="370"/>
      <c r="BB44" s="96"/>
      <c r="BC44" s="96"/>
      <c r="BD44" s="96"/>
      <c r="BE44" s="96"/>
      <c r="BF44" s="96"/>
      <c r="BG44" s="96"/>
      <c r="BH44" s="203"/>
    </row>
    <row r="45" spans="4:60" s="1" customFormat="1" ht="12.75" customHeight="1">
      <c r="E45" s="569" t="s">
        <v>560</v>
      </c>
      <c r="F45" s="641" t="s">
        <v>554</v>
      </c>
      <c r="G45" s="642"/>
      <c r="H45" s="386"/>
      <c r="I45" s="547">
        <v>1031.3</v>
      </c>
      <c r="J45" s="548"/>
      <c r="K45" s="551" t="s">
        <v>548</v>
      </c>
      <c r="L45" s="547">
        <v>1031.3</v>
      </c>
      <c r="M45" s="548"/>
      <c r="N45" s="551" t="s">
        <v>548</v>
      </c>
      <c r="O45" s="547">
        <v>1031.3</v>
      </c>
      <c r="P45" s="548"/>
      <c r="Q45" s="551" t="s">
        <v>548</v>
      </c>
      <c r="R45" s="547">
        <v>1031.3</v>
      </c>
      <c r="S45" s="548"/>
      <c r="T45" s="551" t="s">
        <v>548</v>
      </c>
      <c r="U45" s="547">
        <v>0</v>
      </c>
      <c r="V45" s="548"/>
      <c r="W45" s="551" t="s">
        <v>548</v>
      </c>
      <c r="X45" s="547">
        <v>0</v>
      </c>
      <c r="Y45" s="548"/>
      <c r="Z45" s="551" t="s">
        <v>548</v>
      </c>
      <c r="AA45" s="547">
        <v>0</v>
      </c>
      <c r="AB45" s="548"/>
      <c r="AC45" s="551" t="s">
        <v>548</v>
      </c>
      <c r="AD45" s="547">
        <v>0</v>
      </c>
      <c r="AE45" s="548"/>
      <c r="AF45" s="551" t="s">
        <v>548</v>
      </c>
      <c r="AG45" s="547">
        <v>0</v>
      </c>
      <c r="AH45" s="548"/>
      <c r="AI45" s="551" t="s">
        <v>548</v>
      </c>
      <c r="AJ45" s="547">
        <v>0</v>
      </c>
      <c r="AK45" s="548"/>
      <c r="AL45" s="551" t="s">
        <v>548</v>
      </c>
      <c r="AM45" s="547">
        <v>0</v>
      </c>
      <c r="AN45" s="548"/>
      <c r="AO45" s="551" t="s">
        <v>548</v>
      </c>
      <c r="AP45" s="547">
        <v>0</v>
      </c>
      <c r="AQ45" s="548"/>
      <c r="AR45" s="551" t="s">
        <v>546</v>
      </c>
      <c r="AW45" s="203"/>
      <c r="AX45" s="96"/>
      <c r="AY45" s="96"/>
      <c r="AZ45" s="370"/>
      <c r="BA45" s="370"/>
      <c r="BB45" s="96"/>
      <c r="BC45" s="96"/>
      <c r="BD45" s="96"/>
      <c r="BE45" s="96"/>
      <c r="BF45" s="96"/>
      <c r="BG45" s="96"/>
      <c r="BH45" s="203"/>
    </row>
    <row r="46" spans="4:60" s="1" customFormat="1" ht="12.75" customHeight="1">
      <c r="E46" s="569"/>
      <c r="F46" s="637"/>
      <c r="G46" s="638"/>
      <c r="H46" s="387"/>
      <c r="I46" s="549"/>
      <c r="J46" s="550"/>
      <c r="K46" s="552"/>
      <c r="L46" s="549"/>
      <c r="M46" s="550"/>
      <c r="N46" s="552"/>
      <c r="O46" s="549"/>
      <c r="P46" s="550"/>
      <c r="Q46" s="552"/>
      <c r="R46" s="549"/>
      <c r="S46" s="550"/>
      <c r="T46" s="552"/>
      <c r="U46" s="549"/>
      <c r="V46" s="550"/>
      <c r="W46" s="552"/>
      <c r="X46" s="549"/>
      <c r="Y46" s="550"/>
      <c r="Z46" s="552"/>
      <c r="AA46" s="549"/>
      <c r="AB46" s="550"/>
      <c r="AC46" s="552"/>
      <c r="AD46" s="549"/>
      <c r="AE46" s="550"/>
      <c r="AF46" s="552"/>
      <c r="AG46" s="549"/>
      <c r="AH46" s="550"/>
      <c r="AI46" s="552"/>
      <c r="AJ46" s="549"/>
      <c r="AK46" s="550"/>
      <c r="AL46" s="552"/>
      <c r="AM46" s="549"/>
      <c r="AN46" s="550"/>
      <c r="AO46" s="552"/>
      <c r="AP46" s="549"/>
      <c r="AQ46" s="550"/>
      <c r="AR46" s="552"/>
      <c r="AW46" s="203"/>
      <c r="AX46" s="96"/>
      <c r="AY46" s="96"/>
      <c r="AZ46" s="370"/>
      <c r="BA46" s="370"/>
      <c r="BB46" s="96"/>
      <c r="BC46" s="96"/>
      <c r="BD46" s="96"/>
      <c r="BE46" s="96"/>
      <c r="BF46" s="96"/>
      <c r="BG46" s="96"/>
      <c r="BH46" s="203"/>
    </row>
    <row r="47" spans="4:60" s="1" customFormat="1">
      <c r="F47" s="371" t="s">
        <v>555</v>
      </c>
      <c r="G47" s="372"/>
      <c r="I47" s="544">
        <f>INT((I28+I32)-SUM(IF(K39="€",I39,(I39*(I28+I32))/100),IF(K41="€",I41,(I41*(I28+I32))/100),IF(K43="€",I43,(I43*(I28+I32))/100),IF(K45="€",I45,(I45*(I28+I32))/100)))</f>
        <v>-1590</v>
      </c>
      <c r="J47" s="545"/>
      <c r="K47" s="546"/>
      <c r="L47" s="544">
        <f>INT((L28+L32)-SUM(IF(N39="€",L39,(L39*(L28+L32))/100),IF(N41="€",L41,(L41*(L28+L32))/100),IF(N43="€",L43,(L43*(L28+L32))/100),IF(N45="€",L45,(L45*(L28+L32))/100)))</f>
        <v>-1590</v>
      </c>
      <c r="M47" s="545"/>
      <c r="N47" s="546"/>
      <c r="O47" s="544">
        <f t="shared" ref="O47" si="63">INT((O28+O32)-SUM(IF(Q39="€",O39,(O39*(O28+O32))/100),IF(Q41="€",O41,(O41*(O28+O32))/100),IF(Q43="€",O43,(O43*(O28+O32))/100),IF(Q45="€",O45,(O45*(O28+O32))/100)))</f>
        <v>-1590</v>
      </c>
      <c r="P47" s="545"/>
      <c r="Q47" s="546"/>
      <c r="R47" s="544">
        <f t="shared" ref="R47" si="64">INT((R28+R32)-SUM(IF(T39="€",R39,(R39*(R28+R32))/100),IF(T41="€",R41,(R41*(R28+R32))/100),IF(T43="€",R43,(R43*(R28+R32))/100),IF(T45="€",R45,(R45*(R28+R32))/100)))</f>
        <v>-1590</v>
      </c>
      <c r="S47" s="545"/>
      <c r="T47" s="546"/>
      <c r="U47" s="544">
        <f>INT((U28+U32)-SUM(IF(W39="€",U39,(U39*(U28+U32))/100),IF(W41="€",U41,(U41*(U28+U32))/100),IF(W43="€",U43,(U43*(U28+U32))/100),IF(W45="€",U45,(U45*(U28+U32))/100)))</f>
        <v>3500</v>
      </c>
      <c r="V47" s="545"/>
      <c r="W47" s="546"/>
      <c r="X47" s="544">
        <f>INT((X28+X32)-SUM(IF(Z39="€",X39,(X39*(X28+X32))/100),IF(Z41="€",X41,(X41*(X28+X32))/100),IF(Z43="€",X43,(X43*(X28+X32))/100),IF(Z45="€",X45,(X45*(X28+X32))/100)))</f>
        <v>3500</v>
      </c>
      <c r="Y47" s="545"/>
      <c r="Z47" s="546"/>
      <c r="AA47" s="544">
        <f>INT((AA28+AA32)-SUM(IF(AC39="€",AA39,(AA39*(AA28+AA32))/100),IF(AC41="€",AA41,(AA41*(AA28+AA32))/100),IF(AC43="€",AA43,(AA43*(AA28+AA32))/100),IF(AC45="€",AA45,(AA45*(AA28+AA32))/100)))</f>
        <v>3500</v>
      </c>
      <c r="AB47" s="545"/>
      <c r="AC47" s="546"/>
      <c r="AD47" s="544">
        <f>INT((AD28+AD32)-SUM(IF(AF39="€",AD39,(AD39*(AD28+AD32))/100),IF(AF41="€",AD41,(AD41*(AD28+AD32))/100),IF(AF43="€",AD43,(AD43*(AD28+AD32))/100),IF(AF45="€",AD45,(AD45*(AD28+AD32))/100)))</f>
        <v>3500</v>
      </c>
      <c r="AE47" s="545"/>
      <c r="AF47" s="546"/>
      <c r="AG47" s="544">
        <f>INT((AG28+AG32)-SUM(IF(AI39="€",AG39,(AG39*(AG28+AG32))/100),IF(AI41="€",AG41,(AG41*(AG28+AG32))/100),IF(AI43="€",AG43,(AG43*(AG28+AG32))/100),IF(AI45="€",AG45,(AG45*(AG28+AG32))/100)))</f>
        <v>3500</v>
      </c>
      <c r="AH47" s="545"/>
      <c r="AI47" s="546"/>
      <c r="AJ47" s="544">
        <f>INT((AJ28+AJ32)-SUM(IF(AL39="€",AJ39,(AJ39*(AJ28+AJ32))/100),IF(AL41="€",AJ41,(AJ41*(AJ28+AJ32))/100),IF(AL43="€",AJ43,(AJ43*(AJ28+AJ32))/100),IF(AL45="€",AJ45,(AJ45*(AJ28+AJ32))/100)))</f>
        <v>3500</v>
      </c>
      <c r="AK47" s="545"/>
      <c r="AL47" s="546"/>
      <c r="AM47" s="544">
        <f>INT((AM28+AM32)-SUM(IF(AO39="€",AM39,(AM39*(AM28+AM32))/100),IF(AO41="€",AM41,(AM41*(AM28+AM32))/100),IF(AO43="€",AM43,(AM43*(AM28+AM32))/100),IF(AO45="€",AM45,(AM45*(AM28+AM32))/100)))</f>
        <v>3500</v>
      </c>
      <c r="AN47" s="545"/>
      <c r="AO47" s="546"/>
      <c r="AP47" s="544">
        <f>INT((AP28+AP32)-SUM(IF(AR39="€",AP39,(AP39*(AP28+AP32))/100),IF(AR41="€",AP41,(AP41*(AP28+AP32))/100),IF(AR43="€",AP43,(AP43*(AP28+AP32))/100),IF(AR45="€",AP45,(AP45*(AP28+AP32))/100)))</f>
        <v>3500</v>
      </c>
      <c r="AQ47" s="545"/>
      <c r="AR47" s="546"/>
      <c r="AW47" s="203"/>
      <c r="AX47" s="96"/>
      <c r="AY47" s="96"/>
      <c r="AZ47" s="370"/>
      <c r="BA47" s="370"/>
      <c r="BB47" s="96"/>
      <c r="BC47" s="96"/>
      <c r="BD47" s="96"/>
      <c r="BE47" s="96"/>
      <c r="BF47" s="96"/>
      <c r="BG47" s="96"/>
      <c r="BH47" s="203"/>
    </row>
    <row r="48" spans="4:60" s="1" customFormat="1">
      <c r="AW48" s="203"/>
      <c r="AX48" s="96"/>
      <c r="AY48" s="96"/>
      <c r="AZ48" s="370"/>
      <c r="BA48" s="370"/>
      <c r="BB48" s="96"/>
      <c r="BC48" s="96"/>
      <c r="BD48" s="96"/>
      <c r="BE48" s="96"/>
      <c r="BF48" s="96"/>
      <c r="BG48" s="96"/>
      <c r="BH48" s="203"/>
    </row>
    <row r="49" spans="2:60" s="1" customFormat="1">
      <c r="AW49" s="203"/>
      <c r="AX49" s="96"/>
      <c r="AY49" s="96"/>
      <c r="AZ49" s="370"/>
      <c r="BA49" s="370"/>
      <c r="BB49" s="96"/>
      <c r="BC49" s="96"/>
      <c r="BD49" s="96"/>
      <c r="BE49" s="96"/>
      <c r="BF49" s="96"/>
      <c r="BG49" s="96"/>
      <c r="BH49" s="203"/>
    </row>
    <row r="50" spans="2:60" s="1" customFormat="1" ht="14" thickBot="1">
      <c r="AW50" s="203"/>
      <c r="AX50" s="96"/>
      <c r="AY50" s="96"/>
      <c r="AZ50" s="370"/>
      <c r="BA50" s="370"/>
      <c r="BB50" s="96"/>
      <c r="BC50" s="96"/>
      <c r="BD50" s="96"/>
      <c r="BE50" s="96"/>
      <c r="BF50" s="96"/>
      <c r="BG50" s="96"/>
      <c r="BH50" s="203"/>
    </row>
    <row r="51" spans="2:60" ht="14">
      <c r="D51" s="701" t="s">
        <v>475</v>
      </c>
      <c r="E51" s="535" t="s">
        <v>557</v>
      </c>
      <c r="F51" s="635" t="s">
        <v>276</v>
      </c>
      <c r="G51" s="636"/>
      <c r="I51" s="578">
        <f>I7</f>
        <v>46174</v>
      </c>
      <c r="J51" s="578"/>
      <c r="K51" s="578"/>
      <c r="L51" s="578">
        <f>L7</f>
        <v>46206</v>
      </c>
      <c r="M51" s="578"/>
      <c r="N51" s="578"/>
      <c r="O51" s="578">
        <f>O7</f>
        <v>46238</v>
      </c>
      <c r="P51" s="578"/>
      <c r="Q51" s="578"/>
      <c r="R51" s="578">
        <f>R7</f>
        <v>46270</v>
      </c>
      <c r="S51" s="578"/>
      <c r="T51" s="578"/>
      <c r="U51" s="578">
        <f>U7</f>
        <v>46302</v>
      </c>
      <c r="V51" s="578"/>
      <c r="W51" s="578"/>
      <c r="X51" s="578">
        <f>X7</f>
        <v>46334</v>
      </c>
      <c r="Y51" s="578"/>
      <c r="Z51" s="578"/>
      <c r="AA51" s="578">
        <f>AA7</f>
        <v>46366</v>
      </c>
      <c r="AB51" s="578"/>
      <c r="AC51" s="578"/>
      <c r="AD51" s="578">
        <f>AD7</f>
        <v>46398</v>
      </c>
      <c r="AE51" s="578"/>
      <c r="AF51" s="578"/>
      <c r="AG51" s="578">
        <f>AG7</f>
        <v>46430</v>
      </c>
      <c r="AH51" s="578"/>
      <c r="AI51" s="578"/>
      <c r="AJ51" s="578">
        <f>AJ7</f>
        <v>46462</v>
      </c>
      <c r="AK51" s="578"/>
      <c r="AL51" s="578"/>
      <c r="AM51" s="578">
        <f>AM7</f>
        <v>46494</v>
      </c>
      <c r="AN51" s="578"/>
      <c r="AO51" s="578"/>
      <c r="AP51" s="578">
        <f>AP7</f>
        <v>46526</v>
      </c>
      <c r="AQ51" s="578"/>
      <c r="AR51" s="578"/>
      <c r="AT51" s="360" t="s">
        <v>538</v>
      </c>
      <c r="AU51" s="362" t="s">
        <v>538</v>
      </c>
      <c r="AW51" s="203"/>
      <c r="AX51" s="96"/>
      <c r="AY51" s="536" t="s">
        <v>276</v>
      </c>
      <c r="AZ51" s="537"/>
      <c r="BA51" s="669"/>
      <c r="BB51" s="96"/>
      <c r="BC51" s="96"/>
      <c r="BD51" s="96"/>
      <c r="BE51" s="96"/>
      <c r="BF51" s="96"/>
      <c r="BG51" s="96"/>
      <c r="BH51" s="203"/>
    </row>
    <row r="52" spans="2:60" ht="16">
      <c r="D52" s="701"/>
      <c r="E52" s="535"/>
      <c r="F52" s="654" t="str">
        <f>IF($D$37="Activé","Budgets mensuels disponibles pour l'épargne et les placements -&gt;","Balances mensuelles -&gt;")</f>
        <v>Budgets mensuels disponibles pour l'épargne et les placements -&gt;</v>
      </c>
      <c r="G52" s="655"/>
      <c r="I52" s="571">
        <f>IF($D$37="Activé",IF(K39="%",INT(I39*I28/100),I39),I267)</f>
        <v>1048</v>
      </c>
      <c r="J52" s="572"/>
      <c r="K52" s="573"/>
      <c r="L52" s="571">
        <f>IF($D$37="Activé",IF(N39="%",INT(L39*L28/100),L39),L267)</f>
        <v>1048</v>
      </c>
      <c r="M52" s="572"/>
      <c r="N52" s="573"/>
      <c r="O52" s="571">
        <f>IF($D$37="Activé",IF(Q39="%",INT(O39*O28/100),O39),O267)</f>
        <v>1048</v>
      </c>
      <c r="P52" s="572"/>
      <c r="Q52" s="573"/>
      <c r="R52" s="571">
        <f>IF($D$37="Activé",IF(T39="%",INT(R39*R28/100),R39),R267)</f>
        <v>1048</v>
      </c>
      <c r="S52" s="572"/>
      <c r="T52" s="573"/>
      <c r="U52" s="571">
        <f>IF($D$37="Activé",IF(W39="%",INT(U39*U28/100),U39),U267)</f>
        <v>0</v>
      </c>
      <c r="V52" s="572"/>
      <c r="W52" s="573"/>
      <c r="X52" s="571">
        <f>IF($D$37="Activé",IF(Z39="%",INT(X39*X28/100),X39),X267)</f>
        <v>0</v>
      </c>
      <c r="Y52" s="572"/>
      <c r="Z52" s="573"/>
      <c r="AA52" s="571">
        <f>IF($D$37="Activé",IF(AC39="%",INT(AA39*AA28/100),AA39),AA267)</f>
        <v>0</v>
      </c>
      <c r="AB52" s="572"/>
      <c r="AC52" s="573"/>
      <c r="AD52" s="571">
        <f>IF($D$37="Activé",IF(AF39="%",INT(AD39*AD28/100),AD39),AD267)</f>
        <v>0</v>
      </c>
      <c r="AE52" s="572"/>
      <c r="AF52" s="573"/>
      <c r="AG52" s="571">
        <f>IF($D$37="Activé",IF(AI39="%",INT(AG39*AG28/100),AG39),AG267)</f>
        <v>0</v>
      </c>
      <c r="AH52" s="572"/>
      <c r="AI52" s="573"/>
      <c r="AJ52" s="571">
        <f>IF($D$37="Activé",IF(AL39="%",INT(AJ39*AJ28/100),AJ39),AJ267)</f>
        <v>0</v>
      </c>
      <c r="AK52" s="572"/>
      <c r="AL52" s="573"/>
      <c r="AM52" s="571">
        <f>IF($D$37="Activé",IF(AO39="%",INT(AM39*AM28/100),AM39),AM267)</f>
        <v>0</v>
      </c>
      <c r="AN52" s="572"/>
      <c r="AO52" s="573"/>
      <c r="AP52" s="571">
        <f>IF($D$37="Activé",IF(AR39="%",INT(AP39*AP28/100),AP39),AP267)</f>
        <v>0</v>
      </c>
      <c r="AQ52" s="572"/>
      <c r="AR52" s="573"/>
      <c r="AT52" s="360" t="s">
        <v>539</v>
      </c>
      <c r="AU52" s="362" t="s">
        <v>539</v>
      </c>
      <c r="AW52" s="203"/>
      <c r="AX52" s="96"/>
      <c r="AY52" s="665"/>
      <c r="AZ52" s="666"/>
      <c r="BA52" s="667"/>
      <c r="BB52" s="96"/>
      <c r="BC52" s="96"/>
      <c r="BD52" s="96"/>
      <c r="BE52" s="96"/>
      <c r="BF52" s="96"/>
      <c r="BG52" s="96"/>
      <c r="BH52" s="203"/>
    </row>
    <row r="53" spans="2:60" ht="16">
      <c r="D53" s="701"/>
      <c r="E53" s="651" t="s">
        <v>277</v>
      </c>
      <c r="F53" s="652"/>
      <c r="G53" s="653"/>
      <c r="I53" s="214" t="s">
        <v>58</v>
      </c>
      <c r="J53" s="631" t="s">
        <v>59</v>
      </c>
      <c r="K53" s="632"/>
      <c r="L53" s="215" t="s">
        <v>58</v>
      </c>
      <c r="M53" s="631" t="s">
        <v>59</v>
      </c>
      <c r="N53" s="632"/>
      <c r="O53" s="215" t="s">
        <v>58</v>
      </c>
      <c r="P53" s="631" t="s">
        <v>59</v>
      </c>
      <c r="Q53" s="632"/>
      <c r="R53" s="215" t="s">
        <v>58</v>
      </c>
      <c r="S53" s="631" t="s">
        <v>59</v>
      </c>
      <c r="T53" s="632"/>
      <c r="U53" s="215" t="s">
        <v>58</v>
      </c>
      <c r="V53" s="631" t="s">
        <v>59</v>
      </c>
      <c r="W53" s="632"/>
      <c r="X53" s="215" t="s">
        <v>58</v>
      </c>
      <c r="Y53" s="631" t="s">
        <v>59</v>
      </c>
      <c r="Z53" s="632"/>
      <c r="AA53" s="215" t="s">
        <v>58</v>
      </c>
      <c r="AB53" s="631" t="s">
        <v>59</v>
      </c>
      <c r="AC53" s="632"/>
      <c r="AD53" s="215" t="s">
        <v>58</v>
      </c>
      <c r="AE53" s="631" t="s">
        <v>59</v>
      </c>
      <c r="AF53" s="632"/>
      <c r="AG53" s="215" t="s">
        <v>58</v>
      </c>
      <c r="AH53" s="631" t="s">
        <v>59</v>
      </c>
      <c r="AI53" s="632"/>
      <c r="AJ53" s="215" t="s">
        <v>58</v>
      </c>
      <c r="AK53" s="631" t="s">
        <v>59</v>
      </c>
      <c r="AL53" s="632"/>
      <c r="AM53" s="215" t="s">
        <v>58</v>
      </c>
      <c r="AN53" s="631" t="s">
        <v>59</v>
      </c>
      <c r="AO53" s="632"/>
      <c r="AP53" s="215" t="s">
        <v>58</v>
      </c>
      <c r="AQ53" s="631" t="s">
        <v>59</v>
      </c>
      <c r="AR53" s="632"/>
      <c r="AT53" s="360" t="s">
        <v>537</v>
      </c>
      <c r="AU53" s="362" t="s">
        <v>540</v>
      </c>
      <c r="AV53" s="156"/>
      <c r="AW53" s="216"/>
      <c r="AX53" s="158"/>
      <c r="AY53" s="651" t="s">
        <v>277</v>
      </c>
      <c r="AZ53" s="652"/>
      <c r="BA53" s="653"/>
      <c r="BB53" s="401" t="s">
        <v>572</v>
      </c>
      <c r="BC53" s="401"/>
      <c r="BD53" s="402" t="s">
        <v>573</v>
      </c>
      <c r="BE53" s="96"/>
      <c r="BF53" s="96"/>
      <c r="BG53" s="96"/>
      <c r="BH53" s="203"/>
    </row>
    <row r="54" spans="2:60" ht="16">
      <c r="B54" s="163"/>
      <c r="D54" s="345">
        <v>1</v>
      </c>
      <c r="E54" s="507" t="s">
        <v>603</v>
      </c>
      <c r="F54" s="508"/>
      <c r="G54" s="509"/>
      <c r="H54" s="388"/>
      <c r="I54" s="324"/>
      <c r="J54" s="325">
        <v>250</v>
      </c>
      <c r="K54" s="326" t="s">
        <v>585</v>
      </c>
      <c r="L54" s="324"/>
      <c r="M54" s="325">
        <v>250</v>
      </c>
      <c r="N54" s="326" t="s">
        <v>585</v>
      </c>
      <c r="O54" s="324"/>
      <c r="P54" s="325">
        <v>250</v>
      </c>
      <c r="Q54" s="326" t="s">
        <v>585</v>
      </c>
      <c r="R54" s="324"/>
      <c r="S54" s="325">
        <v>250</v>
      </c>
      <c r="T54" s="326" t="s">
        <v>585</v>
      </c>
      <c r="U54" s="324"/>
      <c r="V54" s="325">
        <v>250</v>
      </c>
      <c r="W54" s="326" t="s">
        <v>585</v>
      </c>
      <c r="X54" s="324"/>
      <c r="Y54" s="325">
        <v>250</v>
      </c>
      <c r="Z54" s="326" t="s">
        <v>585</v>
      </c>
      <c r="AA54" s="324"/>
      <c r="AB54" s="325">
        <v>250</v>
      </c>
      <c r="AC54" s="326" t="s">
        <v>585</v>
      </c>
      <c r="AD54" s="324"/>
      <c r="AE54" s="325">
        <v>250</v>
      </c>
      <c r="AF54" s="326" t="s">
        <v>585</v>
      </c>
      <c r="AG54" s="324"/>
      <c r="AH54" s="325">
        <v>250</v>
      </c>
      <c r="AI54" s="326" t="s">
        <v>585</v>
      </c>
      <c r="AJ54" s="324"/>
      <c r="AK54" s="325">
        <v>250</v>
      </c>
      <c r="AL54" s="326" t="s">
        <v>585</v>
      </c>
      <c r="AM54" s="324"/>
      <c r="AN54" s="325">
        <v>250</v>
      </c>
      <c r="AO54" s="326" t="s">
        <v>585</v>
      </c>
      <c r="AP54" s="324"/>
      <c r="AQ54" s="325">
        <v>250</v>
      </c>
      <c r="AR54" s="326" t="s">
        <v>585</v>
      </c>
      <c r="AT54" s="367" t="str">
        <f>CONCATENATE("Moy. de ",INT(BB54/12)," €/mois")</f>
        <v>Moy. de 250 €/mois</v>
      </c>
      <c r="AU54" s="367" t="str">
        <f>CONCATENATE("Moy. de ",INT(BB54/12)," €/mois")</f>
        <v>Moy. de 250 €/mois</v>
      </c>
      <c r="AW54" s="203"/>
      <c r="AX54" s="96"/>
      <c r="AY54" s="461" t="str">
        <f>IF(E54="","",E54)</f>
        <v>PEA - INVESTISSEMENTS</v>
      </c>
      <c r="AZ54" s="462"/>
      <c r="BA54" s="463"/>
      <c r="BB54" s="404">
        <f>SUM(MAX(I54,J54),MAX(L54,M54),MAX(O54,P54),MAX(R54,S54),MAX(U54,V54),MAX(X54,Y54),MAX(AA54,AB54),MAX(AD54,AE54),MAX(AG54,AH54),MAX(AJ54,AK54),MAX(AM54,AN54),MAX(AP54,AQ54))</f>
        <v>3000</v>
      </c>
      <c r="BC54" s="388"/>
      <c r="BD54" s="405">
        <f t="shared" ref="BD54:BD96" si="65">BB54/12</f>
        <v>250</v>
      </c>
      <c r="BE54" s="96"/>
      <c r="BF54" s="96"/>
      <c r="BG54" s="96"/>
      <c r="BH54" s="203"/>
    </row>
    <row r="55" spans="2:60" ht="14">
      <c r="B55" s="163"/>
      <c r="D55" s="365" t="s">
        <v>542</v>
      </c>
      <c r="E55" s="436">
        <f>IF(BB54=0,"",INT(SUM(IF(K54="ok",J54,0),IF(N54="ok",M54,0),IF(Q54="ok",P54,0),IF(T54="ok",S54,0),IF(W54="ok",V54,0),IF(Z54="ok",Y54,0),IF(AC54="ok",AB54,0),IF(AF54="ok",AE54,0),IF(AI54="ok",AH54,0),IF(AL54="ok",AK54,0),IF(AO54="ok",AN54,0),IF(AR54="ok",AQ54,0))*100/BB54)/100)</f>
        <v>0</v>
      </c>
      <c r="F55" s="375" t="str">
        <f>IF(BB54=0,"",CONCATENATE("de l'objectif annuel atteint ","(",INT(SUM(IF(K54="ok",J54,0),IF(N54="ok",M54,0),IF(Q54="ok",P54,0),IF(T54="ok",S54,0),IF(W54="ok",V54,0),IF(Z54="ok",Y54,0),IF(AC54="ok",AB54,0),IF(AF54="ok",AE54,0),IF(AI54="ok",AH54,0),IF(AL54="ok",AK54,0),IF(AO54="ok",AN54,0),IF(AR54="ok",AQ54,0)))," € / ",BB54,")",IF(BB54=INT(SUM(IF(K54="ok",J54,0),IF(N54="ok",M54,0),IF(Q54="ok",P54,0),IF(T54="ok",S54,0),IF(W54="ok",V54,0),IF(Z54="ok",Y54,0),IF(AC54="ok",AB54,0),IF(AF54="ok",AE54,0),IF(AI54="ok",AH54,0),IF(AL54="ok",AK54,0),IF(AO54="ok",AN54,0),IF(AR54="ok",AQ54,0))),"",CONCATENATE(" : manque ",BB54-INT(SUM(IF(K54="ok",J54,0),IF(N54="ok",M54,0),IF(Q54="ok",P54,0),IF(T54="ok",S54,0),IF(W54="ok",V54,0),IF(Z54="ok",Y54,0),IF(AC54="ok",AB54,0),IF(AF54="ok",AE54,0),IF(AI54="ok",AH54,0),IF(AL54="ok",AK54,0),IF(AO54="ok",AN54,0),IF(AR54="ok",AQ54,0)))," €"))))</f>
        <v>de l'objectif annuel atteint (0 € / 3000) : manque 3000 €</v>
      </c>
      <c r="G55" s="359" t="s">
        <v>536</v>
      </c>
      <c r="H55" s="389"/>
      <c r="I55" s="327"/>
      <c r="J55" s="328"/>
      <c r="K55" s="329"/>
      <c r="L55" s="327"/>
      <c r="M55" s="328"/>
      <c r="N55" s="329"/>
      <c r="O55" s="327"/>
      <c r="P55" s="328"/>
      <c r="Q55" s="329"/>
      <c r="R55" s="327"/>
      <c r="S55" s="328"/>
      <c r="T55" s="329"/>
      <c r="U55" s="327"/>
      <c r="V55" s="328"/>
      <c r="W55" s="329"/>
      <c r="X55" s="327"/>
      <c r="Y55" s="328"/>
      <c r="Z55" s="329"/>
      <c r="AA55" s="327"/>
      <c r="AB55" s="328"/>
      <c r="AC55" s="329"/>
      <c r="AD55" s="327"/>
      <c r="AE55" s="328"/>
      <c r="AF55" s="329"/>
      <c r="AG55" s="327"/>
      <c r="AH55" s="328"/>
      <c r="AI55" s="329"/>
      <c r="AJ55" s="327"/>
      <c r="AK55" s="328"/>
      <c r="AL55" s="329"/>
      <c r="AM55" s="327"/>
      <c r="AN55" s="328"/>
      <c r="AO55" s="329"/>
      <c r="AP55" s="327"/>
      <c r="AQ55" s="328"/>
      <c r="AR55" s="329"/>
      <c r="AT55" s="366"/>
      <c r="AU55" s="366"/>
      <c r="AW55" s="203"/>
      <c r="AX55" s="96"/>
      <c r="AY55" s="464" t="s">
        <v>245</v>
      </c>
      <c r="AZ55" s="465"/>
      <c r="BA55" s="465"/>
      <c r="BB55" s="406">
        <f>SUM(MAX(I55,J55),MAX(L55,M55),MAX(O55,P55),MAX(R55,S55),MAX(U55,V55),MAX(X55,Y55),MAX(AA55,AB55),MAX(AD55,AE55),MAX(AG55,AH55),MAX(AJ55,AK55),MAX(AM55,AN55),MAX(AP55,AQ55))</f>
        <v>0</v>
      </c>
      <c r="BC55" s="389"/>
      <c r="BD55" s="487" t="s">
        <v>574</v>
      </c>
      <c r="BE55" s="96"/>
      <c r="BF55" s="96"/>
      <c r="BG55" s="96"/>
      <c r="BH55" s="203"/>
    </row>
    <row r="56" spans="2:60" ht="16">
      <c r="B56" s="163"/>
      <c r="D56" s="346">
        <v>39530</v>
      </c>
      <c r="E56" s="501" t="s">
        <v>599</v>
      </c>
      <c r="F56" s="502"/>
      <c r="G56" s="503"/>
      <c r="H56" s="389"/>
      <c r="I56" s="467">
        <f>D56+IF(I54&gt;J54,I54,J54)-IF(J55&lt;I55,I55,J55)</f>
        <v>39780</v>
      </c>
      <c r="J56" s="468"/>
      <c r="K56" s="219"/>
      <c r="L56" s="467">
        <f t="shared" ref="L56" si="66">I56+IF(L54&gt;M54,L54,M54)-IF(M55&lt;L55,L55,M55)</f>
        <v>40030</v>
      </c>
      <c r="M56" s="468"/>
      <c r="N56" s="219"/>
      <c r="O56" s="467">
        <f t="shared" ref="O56" si="67">L56+IF(O54&gt;P54,O54,P54)-IF(P55&lt;O55,O55,P55)</f>
        <v>40280</v>
      </c>
      <c r="P56" s="468"/>
      <c r="Q56" s="219"/>
      <c r="R56" s="467">
        <f>O56+IF(R54&gt;S54,R54,S54)-IF(S55&lt;R55,R55,S55)</f>
        <v>40530</v>
      </c>
      <c r="S56" s="468"/>
      <c r="T56" s="219"/>
      <c r="U56" s="467">
        <f t="shared" ref="U56" si="68">R56+IF(U54&gt;V54,U54,V54)-IF(V55&lt;U55,U55,V55)</f>
        <v>40780</v>
      </c>
      <c r="V56" s="468"/>
      <c r="W56" s="219"/>
      <c r="X56" s="467">
        <f t="shared" ref="X56" si="69">U56+IF(X54&gt;Y54,X54,Y54)-IF(Y55&lt;X55,X55,Y55)</f>
        <v>41030</v>
      </c>
      <c r="Y56" s="468"/>
      <c r="Z56" s="219"/>
      <c r="AA56" s="467">
        <f>X56+IF(AA54&gt;AB54,AA54,AB54)-IF(AB55&lt;AA55,AA55,AB55)</f>
        <v>41280</v>
      </c>
      <c r="AB56" s="468"/>
      <c r="AC56" s="219"/>
      <c r="AD56" s="467">
        <f t="shared" ref="AD56" si="70">AA56+IF(AD54&gt;AE54,AD54,AE54)-IF(AE55&lt;AD55,AD55,AE55)</f>
        <v>41530</v>
      </c>
      <c r="AE56" s="468"/>
      <c r="AF56" s="219"/>
      <c r="AG56" s="467">
        <f t="shared" ref="AG56" si="71">AD56+IF(AG54&gt;AH54,AG54,AH54)-IF(AH55&lt;AG55,AG55,AH55)</f>
        <v>41780</v>
      </c>
      <c r="AH56" s="468"/>
      <c r="AI56" s="219"/>
      <c r="AJ56" s="467">
        <f t="shared" ref="AJ56" si="72">AG56+IF(AJ54&gt;AK54,AJ54,AK54)-IF(AK55&lt;AJ55,AJ55,AK55)</f>
        <v>42030</v>
      </c>
      <c r="AK56" s="468"/>
      <c r="AL56" s="219"/>
      <c r="AM56" s="467">
        <f t="shared" ref="AM56" si="73">AJ56+IF(AM54&gt;AN54,AM54,AN54)-IF(AN55&lt;AM55,AM55,AN55)</f>
        <v>42280</v>
      </c>
      <c r="AN56" s="468"/>
      <c r="AO56" s="219"/>
      <c r="AP56" s="467">
        <f t="shared" ref="AP56" si="74">AM56+IF(AP54&gt;AQ54,AP54,AQ54)-IF(AQ55&lt;AP55,AP55,AQ55)</f>
        <v>42530</v>
      </c>
      <c r="AQ56" s="468"/>
      <c r="AR56" s="219"/>
      <c r="AT56" s="361">
        <f>AP56+BB54</f>
        <v>45530</v>
      </c>
      <c r="AU56" s="363">
        <f>AP56+BB54*4</f>
        <v>54530</v>
      </c>
      <c r="AW56" s="203"/>
      <c r="AX56" s="96"/>
      <c r="AY56" s="472" t="str">
        <f>IF(E56="","",E56)</f>
        <v>PEA - Bourse direct</v>
      </c>
      <c r="AZ56" s="473"/>
      <c r="BA56" s="474"/>
      <c r="BB56" s="407">
        <f>AP56</f>
        <v>42530</v>
      </c>
      <c r="BC56" s="389"/>
      <c r="BD56" s="711"/>
      <c r="BE56" s="96"/>
      <c r="BF56" s="96"/>
      <c r="BG56" s="96"/>
      <c r="BH56" s="203"/>
    </row>
    <row r="57" spans="2:60" ht="16">
      <c r="B57" s="163"/>
      <c r="D57" s="345">
        <f>1+D54</f>
        <v>2</v>
      </c>
      <c r="E57" s="507" t="s">
        <v>605</v>
      </c>
      <c r="F57" s="508"/>
      <c r="G57" s="509"/>
      <c r="H57" s="389"/>
      <c r="I57" s="324"/>
      <c r="J57" s="325">
        <v>200</v>
      </c>
      <c r="K57" s="326" t="s">
        <v>585</v>
      </c>
      <c r="L57" s="324"/>
      <c r="M57" s="325">
        <v>200</v>
      </c>
      <c r="N57" s="326" t="s">
        <v>585</v>
      </c>
      <c r="O57" s="324"/>
      <c r="P57" s="325">
        <v>200</v>
      </c>
      <c r="Q57" s="326" t="s">
        <v>585</v>
      </c>
      <c r="R57" s="324"/>
      <c r="S57" s="325">
        <v>200</v>
      </c>
      <c r="T57" s="326" t="s">
        <v>585</v>
      </c>
      <c r="U57" s="324"/>
      <c r="V57" s="325">
        <v>200</v>
      </c>
      <c r="W57" s="326" t="s">
        <v>585</v>
      </c>
      <c r="X57" s="324"/>
      <c r="Y57" s="325">
        <v>200</v>
      </c>
      <c r="Z57" s="326" t="s">
        <v>585</v>
      </c>
      <c r="AA57" s="324"/>
      <c r="AB57" s="325">
        <v>200</v>
      </c>
      <c r="AC57" s="326" t="s">
        <v>585</v>
      </c>
      <c r="AD57" s="324"/>
      <c r="AE57" s="325">
        <v>200</v>
      </c>
      <c r="AF57" s="326" t="s">
        <v>585</v>
      </c>
      <c r="AG57" s="324"/>
      <c r="AH57" s="325">
        <v>200</v>
      </c>
      <c r="AI57" s="326" t="s">
        <v>585</v>
      </c>
      <c r="AJ57" s="324"/>
      <c r="AK57" s="325">
        <v>200</v>
      </c>
      <c r="AL57" s="326" t="s">
        <v>585</v>
      </c>
      <c r="AM57" s="324"/>
      <c r="AN57" s="325">
        <v>200</v>
      </c>
      <c r="AO57" s="326" t="s">
        <v>585</v>
      </c>
      <c r="AP57" s="324"/>
      <c r="AQ57" s="325">
        <v>200</v>
      </c>
      <c r="AR57" s="326" t="s">
        <v>585</v>
      </c>
      <c r="AT57" s="367" t="str">
        <f>CONCATENATE("Moy. de ",INT(BB57/12)," €/mois")</f>
        <v>Moy. de 200 €/mois</v>
      </c>
      <c r="AU57" s="367" t="str">
        <f>CONCATENATE("Moy. de ",INT(BB57/12)," €/mois")</f>
        <v>Moy. de 200 €/mois</v>
      </c>
      <c r="AW57" s="203"/>
      <c r="AX57" s="96"/>
      <c r="AY57" s="461" t="str">
        <f>IF(E57="","",E57)</f>
        <v>Assurance vie "INVESTISSEMENTS"</v>
      </c>
      <c r="AZ57" s="462"/>
      <c r="BA57" s="463"/>
      <c r="BB57" s="404">
        <f>SUM(MAX(I57,J57),MAX(L57,M57),MAX(O57,P57),MAX(R57,S57),MAX(U57,V57),MAX(X57,Y57),MAX(AA57,AB57),MAX(AD57,AE57),MAX(AG57,AH57),MAX(AJ57,AK57),MAX(AM57,AN57),MAX(AP57,AQ57))</f>
        <v>2400</v>
      </c>
      <c r="BC57" s="389"/>
      <c r="BD57" s="405">
        <f t="shared" si="65"/>
        <v>200</v>
      </c>
      <c r="BE57" s="96"/>
      <c r="BF57" s="96"/>
      <c r="BG57" s="96"/>
      <c r="BH57" s="203"/>
    </row>
    <row r="58" spans="2:60" ht="14">
      <c r="B58" s="163"/>
      <c r="D58" s="365" t="s">
        <v>542</v>
      </c>
      <c r="E58" s="436">
        <f>IF(BB57=0,"",INT(SUM(IF(K57="ok",J57,0),IF(N57="ok",M57,0),IF(Q57="ok",P57,0),IF(T57="ok",S57,0),IF(W57="ok",V57,0),IF(Z57="ok",Y57,0),IF(AC57="ok",AB57,0),IF(AF57="ok",AE57,0),IF(AI57="ok",AH57,0),IF(AL57="ok",AK57,0),IF(AO57="ok",AN57,0),IF(AR57="ok",AQ57,0))*100/BB57)/100)</f>
        <v>0</v>
      </c>
      <c r="F58" s="375" t="str">
        <f>IF(BB57=0,"",CONCATENATE("de l'objectif annuel atteint ","(",INT(SUM(IF(K57="ok",J57,0),IF(N57="ok",M57,0),IF(Q57="ok",P57,0),IF(T57="ok",S57,0),IF(W57="ok",V57,0),IF(Z57="ok",Y57,0),IF(AC57="ok",AB57,0),IF(AF57="ok",AE57,0),IF(AI57="ok",AH57,0),IF(AL57="ok",AK57,0),IF(AO57="ok",AN57,0),IF(AR57="ok",AQ57,0)))," € / ",BB57,")",IF(BB57=INT(SUM(IF(K57="ok",J57,0),IF(N57="ok",M57,0),IF(Q57="ok",P57,0),IF(T57="ok",S57,0),IF(W57="ok",V57,0),IF(Z57="ok",Y57,0),IF(AC57="ok",AB57,0),IF(AF57="ok",AE57,0),IF(AI57="ok",AH57,0),IF(AL57="ok",AK57,0),IF(AO57="ok",AN57,0),IF(AR57="ok",AQ57,0))),"",CONCATENATE(" : manque ",BB57-INT(SUM(IF(K57="ok",J57,0),IF(N57="ok",M57,0),IF(Q57="ok",P57,0),IF(T57="ok",S57,0),IF(W57="ok",V57,0),IF(Z57="ok",Y57,0),IF(AC57="ok",AB57,0),IF(AF57="ok",AE57,0),IF(AI57="ok",AH57,0),IF(AL57="ok",AK57,0),IF(AO57="ok",AN57,0),IF(AR57="ok",AQ57,0)))," €"))))</f>
        <v>de l'objectif annuel atteint (0 € / 2400) : manque 2400 €</v>
      </c>
      <c r="G58" s="359" t="s">
        <v>536</v>
      </c>
      <c r="H58" s="389"/>
      <c r="I58" s="327"/>
      <c r="J58" s="328"/>
      <c r="K58" s="329"/>
      <c r="L58" s="327"/>
      <c r="M58" s="328"/>
      <c r="N58" s="329"/>
      <c r="O58" s="327"/>
      <c r="P58" s="328"/>
      <c r="Q58" s="329"/>
      <c r="R58" s="327"/>
      <c r="S58" s="328"/>
      <c r="T58" s="329"/>
      <c r="U58" s="327"/>
      <c r="V58" s="328"/>
      <c r="W58" s="329"/>
      <c r="X58" s="327"/>
      <c r="Y58" s="328"/>
      <c r="Z58" s="329"/>
      <c r="AA58" s="327"/>
      <c r="AB58" s="328"/>
      <c r="AC58" s="329"/>
      <c r="AD58" s="327"/>
      <c r="AE58" s="328"/>
      <c r="AF58" s="329"/>
      <c r="AG58" s="327"/>
      <c r="AH58" s="328"/>
      <c r="AI58" s="329"/>
      <c r="AJ58" s="327"/>
      <c r="AK58" s="328"/>
      <c r="AL58" s="329"/>
      <c r="AM58" s="327"/>
      <c r="AN58" s="328"/>
      <c r="AO58" s="329"/>
      <c r="AP58" s="327"/>
      <c r="AQ58" s="328"/>
      <c r="AR58" s="329"/>
      <c r="AT58" s="366"/>
      <c r="AU58" s="366"/>
      <c r="AW58" s="203"/>
      <c r="AX58" s="96"/>
      <c r="AY58" s="464" t="s">
        <v>245</v>
      </c>
      <c r="AZ58" s="465"/>
      <c r="BA58" s="465"/>
      <c r="BB58" s="406">
        <f>SUM(MAX(I58,J58),MAX(L58,M58),MAX(O58,P58),MAX(R58,S58),MAX(U58,V58),MAX(X58,Y58),MAX(AA58,AB58),MAX(AD58,AE58),MAX(AG58,AH58),MAX(AJ58,AK58),MAX(AM58,AN58),MAX(AP58,AQ58))</f>
        <v>0</v>
      </c>
      <c r="BC58" s="389"/>
      <c r="BD58" s="487" t="s">
        <v>574</v>
      </c>
      <c r="BE58" s="96"/>
      <c r="BF58" s="96"/>
      <c r="BG58" s="96"/>
      <c r="BH58" s="203"/>
    </row>
    <row r="59" spans="2:60" ht="16">
      <c r="B59" s="163"/>
      <c r="D59" s="346">
        <v>2311</v>
      </c>
      <c r="E59" s="501" t="s">
        <v>600</v>
      </c>
      <c r="F59" s="502"/>
      <c r="G59" s="503"/>
      <c r="H59" s="389"/>
      <c r="I59" s="467">
        <f>D59+IF(I57&gt;J57,I57,J57)-IF(J58&lt;I58,I58,J58)</f>
        <v>2511</v>
      </c>
      <c r="J59" s="468"/>
      <c r="K59" s="219"/>
      <c r="L59" s="467">
        <f t="shared" ref="L59" si="75">I59+IF(L57&gt;M57,L57,M57)-IF(M58&lt;L58,L58,M58)</f>
        <v>2711</v>
      </c>
      <c r="M59" s="468"/>
      <c r="N59" s="219"/>
      <c r="O59" s="467">
        <f t="shared" ref="O59" si="76">L59+IF(O57&gt;P57,O57,P57)-IF(P58&lt;O58,O58,P58)</f>
        <v>2911</v>
      </c>
      <c r="P59" s="468"/>
      <c r="Q59" s="219"/>
      <c r="R59" s="467">
        <f t="shared" ref="R59" si="77">O59+IF(R57&gt;S57,R57,S57)-IF(S58&lt;R58,R58,S58)</f>
        <v>3111</v>
      </c>
      <c r="S59" s="468"/>
      <c r="T59" s="219"/>
      <c r="U59" s="467">
        <f t="shared" ref="U59" si="78">R59+IF(U57&gt;V57,U57,V57)-IF(V58&lt;U58,U58,V58)</f>
        <v>3311</v>
      </c>
      <c r="V59" s="468"/>
      <c r="W59" s="219"/>
      <c r="X59" s="467">
        <f t="shared" ref="X59" si="79">U59+IF(X57&gt;Y57,X57,Y57)-IF(Y58&lt;X58,X58,Y58)</f>
        <v>3511</v>
      </c>
      <c r="Y59" s="468"/>
      <c r="Z59" s="219"/>
      <c r="AA59" s="467">
        <f t="shared" ref="AA59" si="80">X59+IF(AA57&gt;AB57,AA57,AB57)-IF(AB58&lt;AA58,AA58,AB58)</f>
        <v>3711</v>
      </c>
      <c r="AB59" s="468"/>
      <c r="AC59" s="219"/>
      <c r="AD59" s="467">
        <f t="shared" ref="AD59" si="81">AA59+IF(AD57&gt;AE57,AD57,AE57)-IF(AE58&lt;AD58,AD58,AE58)</f>
        <v>3911</v>
      </c>
      <c r="AE59" s="468"/>
      <c r="AF59" s="219"/>
      <c r="AG59" s="467">
        <f t="shared" ref="AG59" si="82">AD59+IF(AG57&gt;AH57,AG57,AH57)-IF(AH58&lt;AG58,AG58,AH58)</f>
        <v>4111</v>
      </c>
      <c r="AH59" s="468"/>
      <c r="AI59" s="219"/>
      <c r="AJ59" s="467">
        <f t="shared" ref="AJ59" si="83">AG59+IF(AJ57&gt;AK57,AJ57,AK57)-IF(AK58&lt;AJ58,AJ58,AK58)</f>
        <v>4311</v>
      </c>
      <c r="AK59" s="468"/>
      <c r="AL59" s="219"/>
      <c r="AM59" s="467">
        <f t="shared" ref="AM59" si="84">AJ59+IF(AM57&gt;AN57,AM57,AN57)-IF(AN58&lt;AM58,AM58,AN58)</f>
        <v>4511</v>
      </c>
      <c r="AN59" s="468"/>
      <c r="AO59" s="219"/>
      <c r="AP59" s="467">
        <f t="shared" ref="AP59" si="85">AM59+IF(AP57&gt;AQ57,AP57,AQ57)-IF(AQ58&lt;AP58,AP58,AQ58)</f>
        <v>4711</v>
      </c>
      <c r="AQ59" s="468"/>
      <c r="AR59" s="219"/>
      <c r="AT59" s="361">
        <f>AP59+BB57</f>
        <v>7111</v>
      </c>
      <c r="AU59" s="363">
        <f>AP59+BB57*4</f>
        <v>14311</v>
      </c>
      <c r="AW59" s="203"/>
      <c r="AX59" s="96"/>
      <c r="AY59" s="472" t="str">
        <f>IF(E59="","",E59)</f>
        <v>Assurance vie - Finarylife</v>
      </c>
      <c r="AZ59" s="473"/>
      <c r="BA59" s="474"/>
      <c r="BB59" s="407">
        <f>AP59</f>
        <v>4711</v>
      </c>
      <c r="BC59" s="389"/>
      <c r="BD59" s="711"/>
      <c r="BE59" s="96"/>
      <c r="BF59" s="96"/>
      <c r="BG59" s="96"/>
      <c r="BH59" s="203"/>
    </row>
    <row r="60" spans="2:60" ht="16">
      <c r="B60" s="163"/>
      <c r="D60" s="345">
        <f>1+D57</f>
        <v>3</v>
      </c>
      <c r="E60" s="507" t="s">
        <v>129</v>
      </c>
      <c r="F60" s="508"/>
      <c r="G60" s="509"/>
      <c r="H60" s="389"/>
      <c r="I60" s="324"/>
      <c r="J60" s="325">
        <v>100</v>
      </c>
      <c r="K60" s="326"/>
      <c r="L60" s="324"/>
      <c r="M60" s="325">
        <v>100</v>
      </c>
      <c r="N60" s="326" t="s">
        <v>585</v>
      </c>
      <c r="O60" s="324"/>
      <c r="P60" s="325">
        <v>100</v>
      </c>
      <c r="Q60" s="326"/>
      <c r="R60" s="324"/>
      <c r="S60" s="325">
        <v>100</v>
      </c>
      <c r="T60" s="326"/>
      <c r="U60" s="324"/>
      <c r="V60" s="325"/>
      <c r="W60" s="326"/>
      <c r="X60" s="324"/>
      <c r="Y60" s="325"/>
      <c r="Z60" s="326"/>
      <c r="AA60" s="324"/>
      <c r="AB60" s="325"/>
      <c r="AC60" s="326"/>
      <c r="AD60" s="324"/>
      <c r="AE60" s="325"/>
      <c r="AF60" s="326"/>
      <c r="AG60" s="324"/>
      <c r="AH60" s="325"/>
      <c r="AI60" s="326"/>
      <c r="AJ60" s="324"/>
      <c r="AK60" s="325"/>
      <c r="AL60" s="326"/>
      <c r="AM60" s="324"/>
      <c r="AN60" s="325"/>
      <c r="AO60" s="326"/>
      <c r="AP60" s="324"/>
      <c r="AQ60" s="325"/>
      <c r="AR60" s="326"/>
      <c r="AT60" s="367" t="str">
        <f t="shared" ref="AT60" si="86">CONCATENATE("Moy. de ",INT(BB60/12)," €/mois")</f>
        <v>Moy. de 33 €/mois</v>
      </c>
      <c r="AU60" s="367" t="str">
        <f>CONCATENATE("Moy. de ",INT(BB60/12)," €/mois")</f>
        <v>Moy. de 33 €/mois</v>
      </c>
      <c r="AW60" s="203"/>
      <c r="AX60" s="96"/>
      <c r="AY60" s="461" t="str">
        <f>IF(E60="","",E60)</f>
        <v>Trésorerie "Service pour DIEU &amp; Bonnes Œuvres"</v>
      </c>
      <c r="AZ60" s="462"/>
      <c r="BA60" s="463"/>
      <c r="BB60" s="404">
        <f>SUM(MAX(I60,J60),MAX(L60,M60),MAX(O60,P60),MAX(R60,S60),MAX(U60,V60),MAX(X60,Y60),MAX(AA60,AB60),MAX(AD60,AE60),MAX(AG60,AH60),MAX(AJ60,AK60),MAX(AM60,AN60),MAX(AP60,AQ60))</f>
        <v>400</v>
      </c>
      <c r="BC60" s="389"/>
      <c r="BD60" s="405">
        <f t="shared" si="65"/>
        <v>33.333333333333336</v>
      </c>
      <c r="BE60" s="96"/>
      <c r="BF60" s="96"/>
      <c r="BG60" s="96"/>
      <c r="BH60" s="203"/>
    </row>
    <row r="61" spans="2:60" ht="14">
      <c r="B61" s="163"/>
      <c r="D61" s="365" t="s">
        <v>542</v>
      </c>
      <c r="E61" s="436">
        <f>IF(BB60=0,"",INT(SUM(IF(K60="ok",J60,0),IF(N60="ok",M60,0),IF(Q60="ok",P60,0),IF(T60="ok",S60,0),IF(W60="ok",V60,0),IF(Z60="ok",Y60,0),IF(AC60="ok",AB60,0),IF(AF60="ok",AE60,0),IF(AI60="ok",AH60,0),IF(AL60="ok",AK60,0),IF(AO60="ok",AN60,0),IF(AR60="ok",AQ60,0))*100/BB60)/100)</f>
        <v>0</v>
      </c>
      <c r="F61" s="375" t="str">
        <f>IF(BB60=0,"",CONCATENATE("de l'objectif annuel atteint ","(",INT(SUM(IF(K60="ok",J60,0),IF(N60="ok",M60,0),IF(Q60="ok",P60,0),IF(T60="ok",S60,0),IF(W60="ok",V60,0),IF(Z60="ok",Y60,0),IF(AC60="ok",AB60,0),IF(AF60="ok",AE60,0),IF(AI60="ok",AH60,0),IF(AL60="ok",AK60,0),IF(AO60="ok",AN60,0),IF(AR60="ok",AQ60,0)))," € / ",BB60,")",IF(BB60=INT(SUM(IF(K60="ok",J60,0),IF(N60="ok",M60,0),IF(Q60="ok",P60,0),IF(T60="ok",S60,0),IF(W60="ok",V60,0),IF(Z60="ok",Y60,0),IF(AC60="ok",AB60,0),IF(AF60="ok",AE60,0),IF(AI60="ok",AH60,0),IF(AL60="ok",AK60,0),IF(AO60="ok",AN60,0),IF(AR60="ok",AQ60,0))),"",CONCATENATE(" : manque ",BB60-INT(SUM(IF(K60="ok",J60,0),IF(N60="ok",M60,0),IF(Q60="ok",P60,0),IF(T60="ok",S60,0),IF(W60="ok",V60,0),IF(Z60="ok",Y60,0),IF(AC60="ok",AB60,0),IF(AF60="ok",AE60,0),IF(AI60="ok",AH60,0),IF(AL60="ok",AK60,0),IF(AO60="ok",AN60,0),IF(AR60="ok",AQ60,0)))," €"))))</f>
        <v>de l'objectif annuel atteint (0 € / 400) : manque 400 €</v>
      </c>
      <c r="G61" s="359" t="s">
        <v>536</v>
      </c>
      <c r="H61" s="389"/>
      <c r="I61" s="327"/>
      <c r="J61" s="328"/>
      <c r="K61" s="329"/>
      <c r="L61" s="327"/>
      <c r="M61" s="328"/>
      <c r="N61" s="329"/>
      <c r="O61" s="327"/>
      <c r="P61" s="328"/>
      <c r="Q61" s="329"/>
      <c r="R61" s="327"/>
      <c r="S61" s="328"/>
      <c r="T61" s="329"/>
      <c r="U61" s="327"/>
      <c r="V61" s="328"/>
      <c r="W61" s="329"/>
      <c r="X61" s="327"/>
      <c r="Y61" s="328"/>
      <c r="Z61" s="329"/>
      <c r="AA61" s="327"/>
      <c r="AB61" s="328"/>
      <c r="AC61" s="329"/>
      <c r="AD61" s="327"/>
      <c r="AE61" s="328"/>
      <c r="AF61" s="329"/>
      <c r="AG61" s="327"/>
      <c r="AH61" s="328"/>
      <c r="AI61" s="329"/>
      <c r="AJ61" s="327"/>
      <c r="AK61" s="328"/>
      <c r="AL61" s="329"/>
      <c r="AM61" s="327"/>
      <c r="AN61" s="328"/>
      <c r="AO61" s="329"/>
      <c r="AP61" s="327"/>
      <c r="AQ61" s="328"/>
      <c r="AR61" s="329"/>
      <c r="AT61" s="366"/>
      <c r="AU61" s="366"/>
      <c r="AW61" s="203"/>
      <c r="AX61" s="96"/>
      <c r="AY61" s="464" t="s">
        <v>245</v>
      </c>
      <c r="AZ61" s="465"/>
      <c r="BA61" s="465"/>
      <c r="BB61" s="406">
        <f>SUM(MAX(I61,J61),MAX(L61,M61),MAX(O61,P61),MAX(R61,S61),MAX(U61,V61),MAX(X61,Y61),MAX(AA61,AB61),MAX(AD61,AE61),MAX(AG61,AH61),MAX(AJ61,AK61),MAX(AM61,AN61),MAX(AP61,AQ61))</f>
        <v>0</v>
      </c>
      <c r="BC61" s="389"/>
      <c r="BD61" s="487" t="s">
        <v>574</v>
      </c>
      <c r="BE61" s="96"/>
      <c r="BF61" s="96"/>
      <c r="BG61" s="96"/>
      <c r="BH61" s="203"/>
    </row>
    <row r="62" spans="2:60" ht="16">
      <c r="B62" s="163"/>
      <c r="D62" s="346"/>
      <c r="E62" s="501" t="s">
        <v>598</v>
      </c>
      <c r="F62" s="502"/>
      <c r="G62" s="503"/>
      <c r="H62" s="389"/>
      <c r="I62" s="467">
        <f>D62+IF(I60&gt;J60,I60,J60)-IF(J61&lt;I61,I61,J61)</f>
        <v>100</v>
      </c>
      <c r="J62" s="468"/>
      <c r="K62" s="219"/>
      <c r="L62" s="467">
        <f t="shared" ref="L62" si="87">I62+IF(L60&gt;M60,L60,M60)-IF(M61&lt;L61,L61,M61)</f>
        <v>200</v>
      </c>
      <c r="M62" s="468"/>
      <c r="N62" s="219"/>
      <c r="O62" s="467">
        <f t="shared" ref="O62" si="88">L62+IF(O60&gt;P60,O60,P60)-IF(P61&lt;O61,O61,P61)</f>
        <v>300</v>
      </c>
      <c r="P62" s="468"/>
      <c r="Q62" s="219"/>
      <c r="R62" s="467">
        <f t="shared" ref="R62" si="89">O62+IF(R60&gt;S60,R60,S60)-IF(S61&lt;R61,R61,S61)</f>
        <v>400</v>
      </c>
      <c r="S62" s="468"/>
      <c r="T62" s="219"/>
      <c r="U62" s="467">
        <f t="shared" ref="U62" si="90">R62+IF(U60&gt;V60,U60,V60)-IF(V61&lt;U61,U61,V61)</f>
        <v>400</v>
      </c>
      <c r="V62" s="468"/>
      <c r="W62" s="219"/>
      <c r="X62" s="467">
        <f t="shared" ref="X62" si="91">U62+IF(X60&gt;Y60,X60,Y60)-IF(Y61&lt;X61,X61,Y61)</f>
        <v>400</v>
      </c>
      <c r="Y62" s="468"/>
      <c r="Z62" s="219"/>
      <c r="AA62" s="467">
        <f t="shared" ref="AA62" si="92">X62+IF(AA60&gt;AB60,AA60,AB60)-IF(AB61&lt;AA61,AA61,AB61)</f>
        <v>400</v>
      </c>
      <c r="AB62" s="468"/>
      <c r="AC62" s="219"/>
      <c r="AD62" s="467">
        <f t="shared" ref="AD62" si="93">AA62+IF(AD60&gt;AE60,AD60,AE60)-IF(AE61&lt;AD61,AD61,AE61)</f>
        <v>400</v>
      </c>
      <c r="AE62" s="468"/>
      <c r="AF62" s="219"/>
      <c r="AG62" s="467">
        <f t="shared" ref="AG62" si="94">AD62+IF(AG60&gt;AH60,AG60,AH60)-IF(AH61&lt;AG61,AG61,AH61)</f>
        <v>400</v>
      </c>
      <c r="AH62" s="468"/>
      <c r="AI62" s="219"/>
      <c r="AJ62" s="467">
        <f t="shared" ref="AJ62" si="95">AG62+IF(AJ60&gt;AK60,AJ60,AK60)-IF(AK61&lt;AJ61,AJ61,AK61)</f>
        <v>400</v>
      </c>
      <c r="AK62" s="468"/>
      <c r="AL62" s="219"/>
      <c r="AM62" s="467">
        <f t="shared" ref="AM62" si="96">AJ62+IF(AM60&gt;AN60,AM60,AN60)-IF(AN61&lt;AM61,AM61,AN61)</f>
        <v>400</v>
      </c>
      <c r="AN62" s="468"/>
      <c r="AO62" s="219"/>
      <c r="AP62" s="467">
        <f t="shared" ref="AP62" si="97">AM62+IF(AP60&gt;AQ60,AP60,AQ60)-IF(AQ61&lt;AP61,AP61,AQ61)</f>
        <v>400</v>
      </c>
      <c r="AQ62" s="468"/>
      <c r="AR62" s="219"/>
      <c r="AT62" s="361">
        <f t="shared" ref="AT62" si="98">AP62+BB60</f>
        <v>800</v>
      </c>
      <c r="AU62" s="363">
        <f t="shared" ref="AU62" si="99">AP62+BB60*4</f>
        <v>2000</v>
      </c>
      <c r="AW62" s="203"/>
      <c r="AX62" s="96"/>
      <c r="AY62" s="472" t="str">
        <f>IF(E62="","",E62)</f>
        <v>Livret A - BANXO</v>
      </c>
      <c r="AZ62" s="473"/>
      <c r="BA62" s="474"/>
      <c r="BB62" s="407">
        <f>AP62</f>
        <v>400</v>
      </c>
      <c r="BC62" s="389"/>
      <c r="BD62" s="711"/>
      <c r="BE62" s="96"/>
      <c r="BF62" s="96"/>
      <c r="BG62" s="96"/>
      <c r="BH62" s="203"/>
    </row>
    <row r="63" spans="2:60" ht="16">
      <c r="B63" s="163"/>
      <c r="D63" s="345">
        <f>1+D60</f>
        <v>4</v>
      </c>
      <c r="E63" s="507" t="s">
        <v>128</v>
      </c>
      <c r="F63" s="508"/>
      <c r="G63" s="509"/>
      <c r="H63" s="389"/>
      <c r="I63" s="324"/>
      <c r="J63" s="325">
        <v>25</v>
      </c>
      <c r="K63" s="326"/>
      <c r="L63" s="324"/>
      <c r="M63" s="325">
        <v>25</v>
      </c>
      <c r="N63" s="326"/>
      <c r="O63" s="324"/>
      <c r="P63" s="325">
        <v>25</v>
      </c>
      <c r="Q63" s="326"/>
      <c r="R63" s="324"/>
      <c r="S63" s="325">
        <v>25</v>
      </c>
      <c r="T63" s="326"/>
      <c r="U63" s="324"/>
      <c r="V63" s="325"/>
      <c r="W63" s="326"/>
      <c r="X63" s="324"/>
      <c r="Y63" s="325"/>
      <c r="Z63" s="326"/>
      <c r="AA63" s="324"/>
      <c r="AB63" s="325"/>
      <c r="AC63" s="326"/>
      <c r="AD63" s="324"/>
      <c r="AE63" s="325"/>
      <c r="AF63" s="326"/>
      <c r="AG63" s="324"/>
      <c r="AH63" s="325"/>
      <c r="AI63" s="326"/>
      <c r="AJ63" s="324"/>
      <c r="AK63" s="325"/>
      <c r="AL63" s="326"/>
      <c r="AM63" s="324"/>
      <c r="AN63" s="325"/>
      <c r="AO63" s="326"/>
      <c r="AP63" s="324"/>
      <c r="AQ63" s="325"/>
      <c r="AR63" s="326"/>
      <c r="AT63" s="367" t="str">
        <f t="shared" ref="AT63" si="100">CONCATENATE("Moy. de ",INT(BB63/12)," €/mois")</f>
        <v>Moy. de 8 €/mois</v>
      </c>
      <c r="AU63" s="367" t="str">
        <f>CONCATENATE("Moy. de ",INT(BB63/12)," €/mois")</f>
        <v>Moy. de 8 €/mois</v>
      </c>
      <c r="AW63" s="203"/>
      <c r="AX63" s="96"/>
      <c r="AY63" s="461" t="str">
        <f>IF(E63="","",E63)</f>
        <v>Réserve de "SOUTIEN FAMILIAL"</v>
      </c>
      <c r="AZ63" s="462"/>
      <c r="BA63" s="463"/>
      <c r="BB63" s="404">
        <f>SUM(MAX(I63,J63),MAX(L63,M63),MAX(O63,P63),MAX(R63,S63),MAX(U63,V63),MAX(X63,Y63),MAX(AA63,AB63),MAX(AD63,AE63),MAX(AG63,AH63),MAX(AJ63,AK63),MAX(AM63,AN63),MAX(AP63,AQ63))</f>
        <v>100</v>
      </c>
      <c r="BC63" s="389"/>
      <c r="BD63" s="405">
        <f t="shared" si="65"/>
        <v>8.3333333333333339</v>
      </c>
      <c r="BE63" s="96"/>
      <c r="BF63" s="96"/>
      <c r="BG63" s="96"/>
      <c r="BH63" s="203"/>
    </row>
    <row r="64" spans="2:60" ht="14">
      <c r="B64" s="163"/>
      <c r="D64" s="365" t="s">
        <v>542</v>
      </c>
      <c r="E64" s="436">
        <f>IF(BB63=0,"",INT(SUM(IF(K63="ok",J63,0),IF(N63="ok",M63,0),IF(Q63="ok",P63,0),IF(T63="ok",S63,0),IF(W63="ok",V63,0),IF(Z63="ok",Y63,0),IF(AC63="ok",AB63,0),IF(AF63="ok",AE63,0),IF(AI63="ok",AH63,0),IF(AL63="ok",AK63,0),IF(AO63="ok",AN63,0),IF(AR63="ok",AQ63,0))*100/BB63)/100)</f>
        <v>0</v>
      </c>
      <c r="F64" s="375" t="str">
        <f>IF(BB63=0,"",CONCATENATE("de l'objectif annuel atteint ","(",INT(SUM(IF(K63="ok",J63,0),IF(N63="ok",M63,0),IF(Q63="ok",P63,0),IF(T63="ok",S63,0),IF(W63="ok",V63,0),IF(Z63="ok",Y63,0),IF(AC63="ok",AB63,0),IF(AF63="ok",AE63,0),IF(AI63="ok",AH63,0),IF(AL63="ok",AK63,0),IF(AO63="ok",AN63,0),IF(AR63="ok",AQ63,0)))," € / ",BB63,")",IF(BB63=INT(SUM(IF(K63="ok",J63,0),IF(N63="ok",M63,0),IF(Q63="ok",P63,0),IF(T63="ok",S63,0),IF(W63="ok",V63,0),IF(Z63="ok",Y63,0),IF(AC63="ok",AB63,0),IF(AF63="ok",AE63,0),IF(AI63="ok",AH63,0),IF(AL63="ok",AK63,0),IF(AO63="ok",AN63,0),IF(AR63="ok",AQ63,0))),"",CONCATENATE(" : manque ",BB63-INT(SUM(IF(K63="ok",J63,0),IF(N63="ok",M63,0),IF(Q63="ok",P63,0),IF(T63="ok",S63,0),IF(W63="ok",V63,0),IF(Z63="ok",Y63,0),IF(AC63="ok",AB63,0),IF(AF63="ok",AE63,0),IF(AI63="ok",AH63,0),IF(AL63="ok",AK63,0),IF(AO63="ok",AN63,0),IF(AR63="ok",AQ63,0)))," €"))))</f>
        <v>de l'objectif annuel atteint (0 € / 100) : manque 100 €</v>
      </c>
      <c r="G64" s="359" t="s">
        <v>536</v>
      </c>
      <c r="H64" s="389"/>
      <c r="I64" s="327"/>
      <c r="J64" s="328"/>
      <c r="K64" s="329"/>
      <c r="L64" s="327"/>
      <c r="M64" s="328"/>
      <c r="N64" s="329"/>
      <c r="O64" s="327"/>
      <c r="P64" s="328"/>
      <c r="Q64" s="329"/>
      <c r="R64" s="327"/>
      <c r="S64" s="328"/>
      <c r="T64" s="329"/>
      <c r="U64" s="327"/>
      <c r="V64" s="328"/>
      <c r="W64" s="329"/>
      <c r="X64" s="327"/>
      <c r="Y64" s="328"/>
      <c r="Z64" s="329"/>
      <c r="AA64" s="327"/>
      <c r="AB64" s="328"/>
      <c r="AC64" s="329"/>
      <c r="AD64" s="327"/>
      <c r="AE64" s="328"/>
      <c r="AF64" s="329"/>
      <c r="AG64" s="327"/>
      <c r="AH64" s="328"/>
      <c r="AI64" s="329"/>
      <c r="AJ64" s="327"/>
      <c r="AK64" s="328"/>
      <c r="AL64" s="329"/>
      <c r="AM64" s="327"/>
      <c r="AN64" s="328"/>
      <c r="AO64" s="329"/>
      <c r="AP64" s="327"/>
      <c r="AQ64" s="328"/>
      <c r="AR64" s="329"/>
      <c r="AT64" s="366"/>
      <c r="AU64" s="366"/>
      <c r="AW64" s="203"/>
      <c r="AX64" s="96"/>
      <c r="AY64" s="464" t="s">
        <v>245</v>
      </c>
      <c r="AZ64" s="465"/>
      <c r="BA64" s="465"/>
      <c r="BB64" s="406">
        <f>SUM(MAX(I64,J64),MAX(L64,M64),MAX(O64,P64),MAX(R64,S64),MAX(U64,V64),MAX(X64,Y64),MAX(AA64,AB64),MAX(AD64,AE64),MAX(AG64,AH64),MAX(AJ64,AK64),MAX(AM64,AN64),MAX(AP64,AQ64))</f>
        <v>0</v>
      </c>
      <c r="BC64" s="389"/>
      <c r="BD64" s="487" t="s">
        <v>574</v>
      </c>
      <c r="BE64" s="96"/>
      <c r="BF64" s="96"/>
      <c r="BG64" s="96"/>
      <c r="BH64" s="203"/>
    </row>
    <row r="65" spans="2:60" ht="16">
      <c r="B65" s="163"/>
      <c r="D65" s="346"/>
      <c r="E65" s="501" t="s">
        <v>598</v>
      </c>
      <c r="F65" s="502"/>
      <c r="G65" s="503"/>
      <c r="H65" s="389"/>
      <c r="I65" s="467">
        <f>D65+IF(I63&gt;J63,I63,J63)-IF(J64&lt;I64,I64,J64)</f>
        <v>25</v>
      </c>
      <c r="J65" s="468"/>
      <c r="K65" s="219"/>
      <c r="L65" s="467">
        <f t="shared" ref="L65" si="101">I65+IF(L63&gt;M63,L63,M63)-IF(M64&lt;L64,L64,M64)</f>
        <v>50</v>
      </c>
      <c r="M65" s="468"/>
      <c r="N65" s="219"/>
      <c r="O65" s="467">
        <f t="shared" ref="O65" si="102">L65+IF(O63&gt;P63,O63,P63)-IF(P64&lt;O64,O64,P64)</f>
        <v>75</v>
      </c>
      <c r="P65" s="468"/>
      <c r="Q65" s="219"/>
      <c r="R65" s="467">
        <f t="shared" ref="R65" si="103">O65+IF(R63&gt;S63,R63,S63)-IF(S64&lt;R64,R64,S64)</f>
        <v>100</v>
      </c>
      <c r="S65" s="468"/>
      <c r="T65" s="219"/>
      <c r="U65" s="467">
        <f t="shared" ref="U65" si="104">R65+IF(U63&gt;V63,U63,V63)-IF(V64&lt;U64,U64,V64)</f>
        <v>100</v>
      </c>
      <c r="V65" s="468"/>
      <c r="W65" s="219"/>
      <c r="X65" s="467">
        <f t="shared" ref="X65" si="105">U65+IF(X63&gt;Y63,X63,Y63)-IF(Y64&lt;X64,X64,Y64)</f>
        <v>100</v>
      </c>
      <c r="Y65" s="468"/>
      <c r="Z65" s="219"/>
      <c r="AA65" s="467">
        <f t="shared" ref="AA65" si="106">X65+IF(AA63&gt;AB63,AA63,AB63)-IF(AB64&lt;AA64,AA64,AB64)</f>
        <v>100</v>
      </c>
      <c r="AB65" s="468"/>
      <c r="AC65" s="219"/>
      <c r="AD65" s="467">
        <f t="shared" ref="AD65" si="107">AA65+IF(AD63&gt;AE63,AD63,AE63)-IF(AE64&lt;AD64,AD64,AE64)</f>
        <v>100</v>
      </c>
      <c r="AE65" s="468"/>
      <c r="AF65" s="219"/>
      <c r="AG65" s="467">
        <f t="shared" ref="AG65" si="108">AD65+IF(AG63&gt;AH63,AG63,AH63)-IF(AH64&lt;AG64,AG64,AH64)</f>
        <v>100</v>
      </c>
      <c r="AH65" s="468"/>
      <c r="AI65" s="219"/>
      <c r="AJ65" s="467">
        <f t="shared" ref="AJ65" si="109">AG65+IF(AJ63&gt;AK63,AJ63,AK63)-IF(AK64&lt;AJ64,AJ64,AK64)</f>
        <v>100</v>
      </c>
      <c r="AK65" s="468"/>
      <c r="AL65" s="219"/>
      <c r="AM65" s="467">
        <f t="shared" ref="AM65" si="110">AJ65+IF(AM63&gt;AN63,AM63,AN63)-IF(AN64&lt;AM64,AM64,AN64)</f>
        <v>100</v>
      </c>
      <c r="AN65" s="468"/>
      <c r="AO65" s="219"/>
      <c r="AP65" s="467">
        <f t="shared" ref="AP65" si="111">AM65+IF(AP63&gt;AQ63,AP63,AQ63)-IF(AQ64&lt;AP64,AP64,AQ64)</f>
        <v>100</v>
      </c>
      <c r="AQ65" s="468"/>
      <c r="AR65" s="219"/>
      <c r="AT65" s="361">
        <f t="shared" ref="AT65" si="112">AP65+BB63</f>
        <v>200</v>
      </c>
      <c r="AU65" s="363">
        <f t="shared" ref="AU65" si="113">AP65+BB63*4</f>
        <v>500</v>
      </c>
      <c r="AW65" s="203"/>
      <c r="AX65" s="96"/>
      <c r="AY65" s="472" t="str">
        <f>IF(E65="","",E65)</f>
        <v>Livret A - BANXO</v>
      </c>
      <c r="AZ65" s="473"/>
      <c r="BA65" s="474"/>
      <c r="BB65" s="407">
        <f>AP65</f>
        <v>100</v>
      </c>
      <c r="BC65" s="389"/>
      <c r="BD65" s="711"/>
      <c r="BE65" s="96"/>
      <c r="BF65" s="96"/>
      <c r="BG65" s="96"/>
      <c r="BH65" s="203"/>
    </row>
    <row r="66" spans="2:60" ht="16">
      <c r="B66" s="163"/>
      <c r="D66" s="345">
        <f>1+D63</f>
        <v>5</v>
      </c>
      <c r="E66" s="507" t="s">
        <v>607</v>
      </c>
      <c r="F66" s="508"/>
      <c r="G66" s="509"/>
      <c r="H66" s="389"/>
      <c r="I66" s="324"/>
      <c r="J66" s="325">
        <v>50</v>
      </c>
      <c r="K66" s="326"/>
      <c r="L66" s="324"/>
      <c r="M66" s="325">
        <v>50</v>
      </c>
      <c r="N66" s="326"/>
      <c r="O66" s="324"/>
      <c r="P66" s="325">
        <v>50</v>
      </c>
      <c r="Q66" s="326"/>
      <c r="R66" s="324"/>
      <c r="S66" s="325">
        <v>50</v>
      </c>
      <c r="T66" s="326"/>
      <c r="U66" s="324"/>
      <c r="V66" s="325"/>
      <c r="W66" s="326"/>
      <c r="X66" s="324"/>
      <c r="Y66" s="325"/>
      <c r="Z66" s="326"/>
      <c r="AA66" s="324"/>
      <c r="AB66" s="325"/>
      <c r="AC66" s="326"/>
      <c r="AD66" s="324"/>
      <c r="AE66" s="325"/>
      <c r="AF66" s="326"/>
      <c r="AG66" s="324"/>
      <c r="AH66" s="325"/>
      <c r="AI66" s="326"/>
      <c r="AJ66" s="324"/>
      <c r="AK66" s="325"/>
      <c r="AL66" s="326"/>
      <c r="AM66" s="324"/>
      <c r="AN66" s="325"/>
      <c r="AO66" s="326"/>
      <c r="AP66" s="324"/>
      <c r="AQ66" s="325"/>
      <c r="AR66" s="326"/>
      <c r="AT66" s="367" t="str">
        <f t="shared" ref="AT66" si="114">CONCATENATE("Moy. de ",INT(BB66/12)," €/mois")</f>
        <v>Moy. de 16 €/mois</v>
      </c>
      <c r="AU66" s="367" t="str">
        <f t="shared" ref="AU66" si="115">CONCATENATE("Moy. de ",INT(BB66/12)," €/mois")</f>
        <v>Moy. de 16 €/mois</v>
      </c>
      <c r="AW66" s="203"/>
      <c r="AX66" s="96"/>
      <c r="AY66" s="461" t="str">
        <f>IF(E66="","",E66)</f>
        <v>Epargne pour "Mariage"</v>
      </c>
      <c r="AZ66" s="462"/>
      <c r="BA66" s="463"/>
      <c r="BB66" s="404">
        <f>SUM(MAX(I66,J66),MAX(L66,M66),MAX(O66,P66),MAX(R66,S66),MAX(U66,V66),MAX(X66,Y66),MAX(AA66,AB66),MAX(AD66,AE66),MAX(AG66,AH66),MAX(AJ66,AK66),MAX(AM66,AN66),MAX(AP66,AQ66))</f>
        <v>200</v>
      </c>
      <c r="BC66" s="389"/>
      <c r="BD66" s="405">
        <f t="shared" si="65"/>
        <v>16.666666666666668</v>
      </c>
      <c r="BE66" s="96"/>
      <c r="BF66" s="96"/>
      <c r="BG66" s="96"/>
      <c r="BH66" s="203"/>
    </row>
    <row r="67" spans="2:60" ht="14">
      <c r="B67" s="163"/>
      <c r="D67" s="365" t="s">
        <v>542</v>
      </c>
      <c r="E67" s="436">
        <f>IF(BB66=0,"",INT(SUM(IF(K66="ok",J66,0),IF(N66="ok",M66,0),IF(Q66="ok",P66,0),IF(T66="ok",S66,0),IF(W66="ok",V66,0),IF(Z66="ok",Y66,0),IF(AC66="ok",AB66,0),IF(AF66="ok",AE66,0),IF(AI66="ok",AH66,0),IF(AL66="ok",AK66,0),IF(AO66="ok",AN66,0),IF(AR66="ok",AQ66,0))*100/BB66)/100)</f>
        <v>0</v>
      </c>
      <c r="F67" s="375" t="str">
        <f>IF(BB66=0,"",CONCATENATE("de l'objectif annuel atteint ","(",INT(SUM(IF(K66="ok",J66,0),IF(N66="ok",M66,0),IF(Q66="ok",P66,0),IF(T66="ok",S66,0),IF(W66="ok",V66,0),IF(Z66="ok",Y66,0),IF(AC66="ok",AB66,0),IF(AF66="ok",AE66,0),IF(AI66="ok",AH66,0),IF(AL66="ok",AK66,0),IF(AO66="ok",AN66,0),IF(AR66="ok",AQ66,0)))," € / ",BB66,")",IF(BB66=INT(SUM(IF(K66="ok",J66,0),IF(N66="ok",M66,0),IF(Q66="ok",P66,0),IF(T66="ok",S66,0),IF(W66="ok",V66,0),IF(Z66="ok",Y66,0),IF(AC66="ok",AB66,0),IF(AF66="ok",AE66,0),IF(AI66="ok",AH66,0),IF(AL66="ok",AK66,0),IF(AO66="ok",AN66,0),IF(AR66="ok",AQ66,0))),"",CONCATENATE(" : manque ",BB66-INT(SUM(IF(K66="ok",J66,0),IF(N66="ok",M66,0),IF(Q66="ok",P66,0),IF(T66="ok",S66,0),IF(W66="ok",V66,0),IF(Z66="ok",Y66,0),IF(AC66="ok",AB66,0),IF(AF66="ok",AE66,0),IF(AI66="ok",AH66,0),IF(AL66="ok",AK66,0),IF(AO66="ok",AN66,0),IF(AR66="ok",AQ66,0)))," €"))))</f>
        <v>de l'objectif annuel atteint (0 € / 200) : manque 200 €</v>
      </c>
      <c r="G67" s="359" t="s">
        <v>536</v>
      </c>
      <c r="H67" s="389"/>
      <c r="I67" s="327"/>
      <c r="J67" s="328"/>
      <c r="K67" s="329"/>
      <c r="L67" s="327"/>
      <c r="M67" s="328"/>
      <c r="N67" s="329"/>
      <c r="O67" s="327"/>
      <c r="P67" s="328"/>
      <c r="Q67" s="329"/>
      <c r="R67" s="327"/>
      <c r="S67" s="328"/>
      <c r="T67" s="329"/>
      <c r="U67" s="327"/>
      <c r="V67" s="328"/>
      <c r="W67" s="329"/>
      <c r="X67" s="327"/>
      <c r="Y67" s="328"/>
      <c r="Z67" s="329"/>
      <c r="AA67" s="327"/>
      <c r="AB67" s="328"/>
      <c r="AC67" s="329"/>
      <c r="AD67" s="327"/>
      <c r="AE67" s="328"/>
      <c r="AF67" s="329"/>
      <c r="AG67" s="327"/>
      <c r="AH67" s="328"/>
      <c r="AI67" s="329"/>
      <c r="AJ67" s="327"/>
      <c r="AK67" s="328"/>
      <c r="AL67" s="329"/>
      <c r="AM67" s="327"/>
      <c r="AN67" s="328"/>
      <c r="AO67" s="329"/>
      <c r="AP67" s="327"/>
      <c r="AQ67" s="328"/>
      <c r="AR67" s="329"/>
      <c r="AT67" s="366"/>
      <c r="AU67" s="366"/>
      <c r="AW67" s="203"/>
      <c r="AX67" s="96"/>
      <c r="AY67" s="464" t="s">
        <v>245</v>
      </c>
      <c r="AZ67" s="465"/>
      <c r="BA67" s="465"/>
      <c r="BB67" s="406">
        <f>SUM(MAX(I67,J67),MAX(L67,M67),MAX(O67,P67),MAX(R67,S67),MAX(U67,V67),MAX(X67,Y67),MAX(AA67,AB67),MAX(AD67,AE67),MAX(AG67,AH67),MAX(AJ67,AK67),MAX(AM67,AN67),MAX(AP67,AQ67))</f>
        <v>0</v>
      </c>
      <c r="BC67" s="389"/>
      <c r="BD67" s="487" t="s">
        <v>574</v>
      </c>
      <c r="BE67" s="96"/>
      <c r="BF67" s="96"/>
      <c r="BG67" s="96"/>
      <c r="BH67" s="203"/>
    </row>
    <row r="68" spans="2:60" ht="16">
      <c r="B68" s="163"/>
      <c r="D68" s="346"/>
      <c r="E68" s="501" t="s">
        <v>598</v>
      </c>
      <c r="F68" s="502"/>
      <c r="G68" s="503"/>
      <c r="H68" s="389"/>
      <c r="I68" s="467">
        <f>D68+IF(I66&gt;J66,I66,J66)-IF(J67&lt;I67,I67,J67)</f>
        <v>50</v>
      </c>
      <c r="J68" s="468"/>
      <c r="K68" s="219"/>
      <c r="L68" s="467">
        <f t="shared" ref="L68" si="116">I68+IF(L66&gt;M66,L66,M66)-IF(M67&lt;L67,L67,M67)</f>
        <v>100</v>
      </c>
      <c r="M68" s="468"/>
      <c r="N68" s="219"/>
      <c r="O68" s="467">
        <f t="shared" ref="O68" si="117">L68+IF(O66&gt;P66,O66,P66)-IF(P67&lt;O67,O67,P67)</f>
        <v>150</v>
      </c>
      <c r="P68" s="468"/>
      <c r="Q68" s="219"/>
      <c r="R68" s="467">
        <f t="shared" ref="R68" si="118">O68+IF(R66&gt;S66,R66,S66)-IF(S67&lt;R67,R67,S67)</f>
        <v>200</v>
      </c>
      <c r="S68" s="468"/>
      <c r="T68" s="219"/>
      <c r="U68" s="467">
        <f t="shared" ref="U68" si="119">R68+IF(U66&gt;V66,U66,V66)-IF(V67&lt;U67,U67,V67)</f>
        <v>200</v>
      </c>
      <c r="V68" s="468"/>
      <c r="W68" s="219"/>
      <c r="X68" s="467">
        <f t="shared" ref="X68" si="120">U68+IF(X66&gt;Y66,X66,Y66)-IF(Y67&lt;X67,X67,Y67)</f>
        <v>200</v>
      </c>
      <c r="Y68" s="468"/>
      <c r="Z68" s="219"/>
      <c r="AA68" s="467">
        <f t="shared" ref="AA68" si="121">X68+IF(AA66&gt;AB66,AA66,AB66)-IF(AB67&lt;AA67,AA67,AB67)</f>
        <v>200</v>
      </c>
      <c r="AB68" s="468"/>
      <c r="AC68" s="219"/>
      <c r="AD68" s="467">
        <f t="shared" ref="AD68" si="122">AA68+IF(AD66&gt;AE66,AD66,AE66)-IF(AE67&lt;AD67,AD67,AE67)</f>
        <v>200</v>
      </c>
      <c r="AE68" s="468"/>
      <c r="AF68" s="219"/>
      <c r="AG68" s="467">
        <f t="shared" ref="AG68" si="123">AD68+IF(AG66&gt;AH66,AG66,AH66)-IF(AH67&lt;AG67,AG67,AH67)</f>
        <v>200</v>
      </c>
      <c r="AH68" s="468"/>
      <c r="AI68" s="219"/>
      <c r="AJ68" s="467">
        <f t="shared" ref="AJ68" si="124">AG68+IF(AJ66&gt;AK66,AJ66,AK66)-IF(AK67&lt;AJ67,AJ67,AK67)</f>
        <v>200</v>
      </c>
      <c r="AK68" s="468"/>
      <c r="AL68" s="219"/>
      <c r="AM68" s="467">
        <f t="shared" ref="AM68" si="125">AJ68+IF(AM66&gt;AN66,AM66,AN66)-IF(AN67&lt;AM67,AM67,AN67)</f>
        <v>200</v>
      </c>
      <c r="AN68" s="468"/>
      <c r="AO68" s="219"/>
      <c r="AP68" s="467">
        <f t="shared" ref="AP68" si="126">AM68+IF(AP66&gt;AQ66,AP66,AQ66)-IF(AQ67&lt;AP67,AP67,AQ67)</f>
        <v>200</v>
      </c>
      <c r="AQ68" s="468"/>
      <c r="AR68" s="219"/>
      <c r="AT68" s="361">
        <f t="shared" ref="AT68" si="127">AP68+BB66</f>
        <v>400</v>
      </c>
      <c r="AU68" s="363">
        <f t="shared" ref="AU68" si="128">AP68+BB66*4</f>
        <v>1000</v>
      </c>
      <c r="AW68" s="203"/>
      <c r="AX68" s="96"/>
      <c r="AY68" s="472" t="str">
        <f>IF(E68="","",E68)</f>
        <v>Livret A - BANXO</v>
      </c>
      <c r="AZ68" s="473"/>
      <c r="BA68" s="474"/>
      <c r="BB68" s="407">
        <f>AP68</f>
        <v>200</v>
      </c>
      <c r="BC68" s="389"/>
      <c r="BD68" s="711"/>
      <c r="BE68" s="96"/>
      <c r="BF68" s="96"/>
      <c r="BG68" s="96"/>
      <c r="BH68" s="203"/>
    </row>
    <row r="69" spans="2:60" ht="16">
      <c r="B69" s="163"/>
      <c r="D69" s="345">
        <f>1+D66</f>
        <v>6</v>
      </c>
      <c r="E69" s="507" t="s">
        <v>114</v>
      </c>
      <c r="F69" s="508"/>
      <c r="G69" s="509"/>
      <c r="H69" s="389"/>
      <c r="I69" s="324"/>
      <c r="J69" s="325">
        <v>100</v>
      </c>
      <c r="K69" s="326"/>
      <c r="L69" s="324"/>
      <c r="M69" s="325">
        <v>100</v>
      </c>
      <c r="N69" s="326"/>
      <c r="O69" s="324"/>
      <c r="P69" s="325">
        <v>100</v>
      </c>
      <c r="Q69" s="326"/>
      <c r="R69" s="324"/>
      <c r="S69" s="325">
        <v>100</v>
      </c>
      <c r="T69" s="326"/>
      <c r="U69" s="324"/>
      <c r="V69" s="325"/>
      <c r="W69" s="326"/>
      <c r="X69" s="324"/>
      <c r="Y69" s="325"/>
      <c r="Z69" s="326"/>
      <c r="AA69" s="324"/>
      <c r="AB69" s="325"/>
      <c r="AC69" s="326"/>
      <c r="AD69" s="324"/>
      <c r="AE69" s="325"/>
      <c r="AF69" s="326"/>
      <c r="AG69" s="324"/>
      <c r="AH69" s="325"/>
      <c r="AI69" s="326"/>
      <c r="AJ69" s="324"/>
      <c r="AK69" s="325"/>
      <c r="AL69" s="326"/>
      <c r="AM69" s="324"/>
      <c r="AN69" s="325"/>
      <c r="AO69" s="326"/>
      <c r="AP69" s="324"/>
      <c r="AQ69" s="325"/>
      <c r="AR69" s="326"/>
      <c r="AT69" s="367" t="str">
        <f t="shared" ref="AT69" si="129">CONCATENATE("Moy. de ",INT(BB69/12)," €/mois")</f>
        <v>Moy. de 33 €/mois</v>
      </c>
      <c r="AU69" s="367" t="str">
        <f t="shared" ref="AU69" si="130">CONCATENATE("Moy. de ",INT(BB69/12)," €/mois")</f>
        <v>Moy. de 33 €/mois</v>
      </c>
      <c r="AW69" s="203"/>
      <c r="AX69" s="96"/>
      <c r="AY69" s="461" t="str">
        <f>IF(E69="","",E69)</f>
        <v>Epargne pour "IMPREVUS"</v>
      </c>
      <c r="AZ69" s="462"/>
      <c r="BA69" s="463"/>
      <c r="BB69" s="404">
        <f>SUM(MAX(I69,J69),MAX(L69,M69),MAX(O69,P69),MAX(R69,S69),MAX(U69,V69),MAX(X69,Y69),MAX(AA69,AB69),MAX(AD69,AE69),MAX(AG69,AH69),MAX(AJ69,AK69),MAX(AM69,AN69),MAX(AP69,AQ69))</f>
        <v>400</v>
      </c>
      <c r="BC69" s="389"/>
      <c r="BD69" s="405">
        <f t="shared" si="65"/>
        <v>33.333333333333336</v>
      </c>
      <c r="BE69" s="96"/>
      <c r="BF69" s="96"/>
      <c r="BG69" s="96"/>
      <c r="BH69" s="203"/>
    </row>
    <row r="70" spans="2:60" ht="14">
      <c r="B70" s="163"/>
      <c r="D70" s="365" t="s">
        <v>542</v>
      </c>
      <c r="E70" s="436">
        <f>IF(BB69=0,"",INT(SUM(IF(K69="ok",J69,0),IF(N69="ok",M69,0),IF(Q69="ok",P69,0),IF(T69="ok",S69,0),IF(W69="ok",V69,0),IF(Z69="ok",Y69,0),IF(AC69="ok",AB69,0),IF(AF69="ok",AE69,0),IF(AI69="ok",AH69,0),IF(AL69="ok",AK69,0),IF(AO69="ok",AN69,0),IF(AR69="ok",AQ69,0))*100/BB69)/100)</f>
        <v>0</v>
      </c>
      <c r="F70" s="375" t="str">
        <f>IF(BB69=0,"",CONCATENATE("de l'objectif annuel atteint ","(",INT(SUM(IF(K69="ok",J69,0),IF(N69="ok",M69,0),IF(Q69="ok",P69,0),IF(T69="ok",S69,0),IF(W69="ok",V69,0),IF(Z69="ok",Y69,0),IF(AC69="ok",AB69,0),IF(AF69="ok",AE69,0),IF(AI69="ok",AH69,0),IF(AL69="ok",AK69,0),IF(AO69="ok",AN69,0),IF(AR69="ok",AQ69,0)))," € / ",BB69,")",IF(BB69=INT(SUM(IF(K69="ok",J69,0),IF(N69="ok",M69,0),IF(Q69="ok",P69,0),IF(T69="ok",S69,0),IF(W69="ok",V69,0),IF(Z69="ok",Y69,0),IF(AC69="ok",AB69,0),IF(AF69="ok",AE69,0),IF(AI69="ok",AH69,0),IF(AL69="ok",AK69,0),IF(AO69="ok",AN69,0),IF(AR69="ok",AQ69,0))),"",CONCATENATE(" : manque ",BB69-INT(SUM(IF(K69="ok",J69,0),IF(N69="ok",M69,0),IF(Q69="ok",P69,0),IF(T69="ok",S69,0),IF(W69="ok",V69,0),IF(Z69="ok",Y69,0),IF(AC69="ok",AB69,0),IF(AF69="ok",AE69,0),IF(AI69="ok",AH69,0),IF(AL69="ok",AK69,0),IF(AO69="ok",AN69,0),IF(AR69="ok",AQ69,0)))," €"))))</f>
        <v>de l'objectif annuel atteint (0 € / 400) : manque 400 €</v>
      </c>
      <c r="G70" s="359" t="s">
        <v>536</v>
      </c>
      <c r="H70" s="389"/>
      <c r="I70" s="327"/>
      <c r="J70" s="328"/>
      <c r="K70" s="329"/>
      <c r="L70" s="327"/>
      <c r="M70" s="328"/>
      <c r="N70" s="329"/>
      <c r="O70" s="327"/>
      <c r="P70" s="328"/>
      <c r="Q70" s="329"/>
      <c r="R70" s="327"/>
      <c r="S70" s="328"/>
      <c r="T70" s="329"/>
      <c r="U70" s="327"/>
      <c r="V70" s="328"/>
      <c r="W70" s="329"/>
      <c r="X70" s="327"/>
      <c r="Y70" s="328"/>
      <c r="Z70" s="329"/>
      <c r="AA70" s="327"/>
      <c r="AB70" s="328">
        <v>10000</v>
      </c>
      <c r="AC70" s="329"/>
      <c r="AD70" s="327"/>
      <c r="AE70" s="328"/>
      <c r="AF70" s="329"/>
      <c r="AG70" s="327"/>
      <c r="AH70" s="328"/>
      <c r="AI70" s="329"/>
      <c r="AJ70" s="327"/>
      <c r="AK70" s="328"/>
      <c r="AL70" s="329"/>
      <c r="AM70" s="327"/>
      <c r="AN70" s="328"/>
      <c r="AO70" s="329"/>
      <c r="AP70" s="327"/>
      <c r="AQ70" s="328"/>
      <c r="AR70" s="329"/>
      <c r="AT70" s="366"/>
      <c r="AU70" s="366"/>
      <c r="AW70" s="203"/>
      <c r="AX70" s="96"/>
      <c r="AY70" s="464" t="s">
        <v>245</v>
      </c>
      <c r="AZ70" s="465"/>
      <c r="BA70" s="465"/>
      <c r="BB70" s="406">
        <f>SUM(MAX(I70,J70),MAX(L70,M70),MAX(O70,P70),MAX(R70,S70),MAX(U70,V70),MAX(X70,Y70),MAX(AA70,AB70),MAX(AD70,AE70),MAX(AG70,AH70),MAX(AJ70,AK70),MAX(AM70,AN70),MAX(AP70,AQ70))</f>
        <v>10000</v>
      </c>
      <c r="BC70" s="389"/>
      <c r="BD70" s="487" t="s">
        <v>574</v>
      </c>
      <c r="BE70" s="96"/>
      <c r="BF70" s="96"/>
      <c r="BG70" s="96"/>
      <c r="BH70" s="203"/>
    </row>
    <row r="71" spans="2:60" ht="16">
      <c r="B71" s="163"/>
      <c r="D71" s="346">
        <v>8000</v>
      </c>
      <c r="E71" s="501" t="s">
        <v>598</v>
      </c>
      <c r="F71" s="502"/>
      <c r="G71" s="503"/>
      <c r="H71" s="389"/>
      <c r="I71" s="467">
        <f>D71+IF(I69&gt;J69,I69,J69)-IF(J70&lt;I70,I70,J70)</f>
        <v>8100</v>
      </c>
      <c r="J71" s="468"/>
      <c r="K71" s="219"/>
      <c r="L71" s="467">
        <f t="shared" ref="L71" si="131">I71+IF(L69&gt;M69,L69,M69)-IF(M70&lt;L70,L70,M70)</f>
        <v>8200</v>
      </c>
      <c r="M71" s="468"/>
      <c r="N71" s="219"/>
      <c r="O71" s="467">
        <f t="shared" ref="O71" si="132">L71+IF(O69&gt;P69,O69,P69)-IF(P70&lt;O70,O70,P70)</f>
        <v>8300</v>
      </c>
      <c r="P71" s="468"/>
      <c r="Q71" s="219"/>
      <c r="R71" s="467">
        <f t="shared" ref="R71" si="133">O71+IF(R69&gt;S69,R69,S69)-IF(S70&lt;R70,R70,S70)</f>
        <v>8400</v>
      </c>
      <c r="S71" s="468"/>
      <c r="T71" s="219"/>
      <c r="U71" s="467">
        <f t="shared" ref="U71" si="134">R71+IF(U69&gt;V69,U69,V69)-IF(V70&lt;U70,U70,V70)</f>
        <v>8400</v>
      </c>
      <c r="V71" s="468"/>
      <c r="W71" s="219"/>
      <c r="X71" s="467">
        <f t="shared" ref="X71" si="135">U71+IF(X69&gt;Y69,X69,Y69)-IF(Y70&lt;X70,X70,Y70)</f>
        <v>8400</v>
      </c>
      <c r="Y71" s="468"/>
      <c r="Z71" s="219"/>
      <c r="AA71" s="467">
        <f t="shared" ref="AA71" si="136">X71+IF(AA69&gt;AB69,AA69,AB69)-IF(AB70&lt;AA70,AA70,AB70)</f>
        <v>-1600</v>
      </c>
      <c r="AB71" s="468"/>
      <c r="AC71" s="219"/>
      <c r="AD71" s="467">
        <f t="shared" ref="AD71" si="137">AA71+IF(AD69&gt;AE69,AD69,AE69)-IF(AE70&lt;AD70,AD70,AE70)</f>
        <v>-1600</v>
      </c>
      <c r="AE71" s="468"/>
      <c r="AF71" s="219"/>
      <c r="AG71" s="467">
        <f t="shared" ref="AG71" si="138">AD71+IF(AG69&gt;AH69,AG69,AH69)-IF(AH70&lt;AG70,AG70,AH70)</f>
        <v>-1600</v>
      </c>
      <c r="AH71" s="468"/>
      <c r="AI71" s="219"/>
      <c r="AJ71" s="467">
        <f t="shared" ref="AJ71" si="139">AG71+IF(AJ69&gt;AK69,AJ69,AK69)-IF(AK70&lt;AJ70,AJ70,AK70)</f>
        <v>-1600</v>
      </c>
      <c r="AK71" s="468"/>
      <c r="AL71" s="219"/>
      <c r="AM71" s="467">
        <f t="shared" ref="AM71" si="140">AJ71+IF(AM69&gt;AN69,AM69,AN69)-IF(AN70&lt;AM70,AM70,AN70)</f>
        <v>-1600</v>
      </c>
      <c r="AN71" s="468"/>
      <c r="AO71" s="219"/>
      <c r="AP71" s="467">
        <f t="shared" ref="AP71" si="141">AM71+IF(AP69&gt;AQ69,AP69,AQ69)-IF(AQ70&lt;AP70,AP70,AQ70)</f>
        <v>-1600</v>
      </c>
      <c r="AQ71" s="468"/>
      <c r="AR71" s="219"/>
      <c r="AT71" s="361">
        <f t="shared" ref="AT71" si="142">AP71+BB69</f>
        <v>-1200</v>
      </c>
      <c r="AU71" s="363">
        <f t="shared" ref="AU71" si="143">AP71+BB69*4</f>
        <v>0</v>
      </c>
      <c r="AW71" s="203"/>
      <c r="AX71" s="96"/>
      <c r="AY71" s="472" t="str">
        <f>IF(E71="","",E71)</f>
        <v>Livret A - BANXO</v>
      </c>
      <c r="AZ71" s="473"/>
      <c r="BA71" s="474"/>
      <c r="BB71" s="407">
        <f>AP71</f>
        <v>-1600</v>
      </c>
      <c r="BC71" s="389"/>
      <c r="BD71" s="711"/>
      <c r="BE71" s="96"/>
      <c r="BF71" s="96"/>
      <c r="BG71" s="96"/>
      <c r="BH71" s="203"/>
    </row>
    <row r="72" spans="2:60" ht="16">
      <c r="B72" s="163"/>
      <c r="D72" s="345">
        <f>1+D69</f>
        <v>7</v>
      </c>
      <c r="E72" s="507" t="s">
        <v>606</v>
      </c>
      <c r="F72" s="508"/>
      <c r="G72" s="509"/>
      <c r="H72" s="389"/>
      <c r="I72" s="324"/>
      <c r="J72" s="325">
        <v>25</v>
      </c>
      <c r="K72" s="326"/>
      <c r="L72" s="324"/>
      <c r="M72" s="325">
        <v>25</v>
      </c>
      <c r="N72" s="326"/>
      <c r="O72" s="324"/>
      <c r="P72" s="325">
        <v>25</v>
      </c>
      <c r="Q72" s="326"/>
      <c r="R72" s="324"/>
      <c r="S72" s="325">
        <v>25</v>
      </c>
      <c r="T72" s="326"/>
      <c r="U72" s="324"/>
      <c r="V72" s="325"/>
      <c r="W72" s="326"/>
      <c r="X72" s="324"/>
      <c r="Y72" s="325"/>
      <c r="Z72" s="326"/>
      <c r="AA72" s="324"/>
      <c r="AB72" s="325"/>
      <c r="AC72" s="326"/>
      <c r="AD72" s="324"/>
      <c r="AE72" s="325"/>
      <c r="AF72" s="326"/>
      <c r="AG72" s="324"/>
      <c r="AH72" s="325"/>
      <c r="AI72" s="326"/>
      <c r="AJ72" s="324"/>
      <c r="AK72" s="325"/>
      <c r="AL72" s="326"/>
      <c r="AM72" s="324"/>
      <c r="AN72" s="325"/>
      <c r="AO72" s="326"/>
      <c r="AP72" s="324"/>
      <c r="AQ72" s="325"/>
      <c r="AR72" s="326"/>
      <c r="AT72" s="367" t="str">
        <f t="shared" ref="AT72" si="144">CONCATENATE("Moy. de ",INT(BB72/12)," €/mois")</f>
        <v>Moy. de 8 €/mois</v>
      </c>
      <c r="AU72" s="367" t="str">
        <f t="shared" ref="AU72" si="145">CONCATENATE("Moy. de ",INT(BB72/12)," €/mois")</f>
        <v>Moy. de 8 €/mois</v>
      </c>
      <c r="AW72" s="203"/>
      <c r="AX72" s="96"/>
      <c r="AY72" s="461" t="str">
        <f>IF(E72="","",E72)</f>
        <v>Epargne pour 'FORMATION" (compétences, etc.)</v>
      </c>
      <c r="AZ72" s="462"/>
      <c r="BA72" s="463"/>
      <c r="BB72" s="404">
        <f>SUM(MAX(I72,J72),MAX(L72,M72),MAX(O72,P72),MAX(R72,S72),MAX(U72,V72),MAX(X72,Y72),MAX(AA72,AB72),MAX(AD72,AE72),MAX(AG72,AH72),MAX(AJ72,AK72),MAX(AM72,AN72),MAX(AP72,AQ72))</f>
        <v>100</v>
      </c>
      <c r="BC72" s="389"/>
      <c r="BD72" s="405">
        <f t="shared" si="65"/>
        <v>8.3333333333333339</v>
      </c>
      <c r="BE72" s="96"/>
      <c r="BF72" s="96"/>
      <c r="BG72" s="96"/>
      <c r="BH72" s="203"/>
    </row>
    <row r="73" spans="2:60" ht="14">
      <c r="B73" s="163"/>
      <c r="D73" s="365" t="s">
        <v>542</v>
      </c>
      <c r="E73" s="436">
        <f>IF(BB72=0,"",INT(SUM(IF(K72="ok",J72,0),IF(N72="ok",M72,0),IF(Q72="ok",P72,0),IF(T72="ok",S72,0),IF(W72="ok",V72,0),IF(Z72="ok",Y72,0),IF(AC72="ok",AB72,0),IF(AF72="ok",AE72,0),IF(AI72="ok",AH72,0),IF(AL72="ok",AK72,0),IF(AO72="ok",AN72,0),IF(AR72="ok",AQ72,0))*100/BB72)/100)</f>
        <v>0</v>
      </c>
      <c r="F73" s="375" t="str">
        <f>IF(BB72=0,"",CONCATENATE("de l'objectif annuel atteint ","(",INT(SUM(IF(K72="ok",J72,0),IF(N72="ok",M72,0),IF(Q72="ok",P72,0),IF(T72="ok",S72,0),IF(W72="ok",V72,0),IF(Z72="ok",Y72,0),IF(AC72="ok",AB72,0),IF(AF72="ok",AE72,0),IF(AI72="ok",AH72,0),IF(AL72="ok",AK72,0),IF(AO72="ok",AN72,0),IF(AR72="ok",AQ72,0)))," € / ",BB72,")",IF(BB72=INT(SUM(IF(K72="ok",J72,0),IF(N72="ok",M72,0),IF(Q72="ok",P72,0),IF(T72="ok",S72,0),IF(W72="ok",V72,0),IF(Z72="ok",Y72,0),IF(AC72="ok",AB72,0),IF(AF72="ok",AE72,0),IF(AI72="ok",AH72,0),IF(AL72="ok",AK72,0),IF(AO72="ok",AN72,0),IF(AR72="ok",AQ72,0))),"",CONCATENATE(" : manque ",BB72-INT(SUM(IF(K72="ok",J72,0),IF(N72="ok",M72,0),IF(Q72="ok",P72,0),IF(T72="ok",S72,0),IF(W72="ok",V72,0),IF(Z72="ok",Y72,0),IF(AC72="ok",AB72,0),IF(AF72="ok",AE72,0),IF(AI72="ok",AH72,0),IF(AL72="ok",AK72,0),IF(AO72="ok",AN72,0),IF(AR72="ok",AQ72,0)))," €"))))</f>
        <v>de l'objectif annuel atteint (0 € / 100) : manque 100 €</v>
      </c>
      <c r="G73" s="359" t="s">
        <v>536</v>
      </c>
      <c r="H73" s="389"/>
      <c r="I73" s="327"/>
      <c r="J73" s="328"/>
      <c r="K73" s="329"/>
      <c r="L73" s="327"/>
      <c r="M73" s="328"/>
      <c r="N73" s="329"/>
      <c r="O73" s="327"/>
      <c r="P73" s="328"/>
      <c r="Q73" s="329"/>
      <c r="R73" s="327"/>
      <c r="S73" s="328"/>
      <c r="T73" s="329"/>
      <c r="U73" s="327"/>
      <c r="V73" s="328"/>
      <c r="W73" s="329"/>
      <c r="X73" s="327"/>
      <c r="Y73" s="328"/>
      <c r="Z73" s="329"/>
      <c r="AA73" s="327"/>
      <c r="AB73" s="328"/>
      <c r="AC73" s="329"/>
      <c r="AD73" s="327"/>
      <c r="AE73" s="328"/>
      <c r="AF73" s="329"/>
      <c r="AG73" s="327"/>
      <c r="AH73" s="328"/>
      <c r="AI73" s="329"/>
      <c r="AJ73" s="327"/>
      <c r="AK73" s="328"/>
      <c r="AL73" s="329"/>
      <c r="AM73" s="327"/>
      <c r="AN73" s="328"/>
      <c r="AO73" s="329"/>
      <c r="AP73" s="327"/>
      <c r="AQ73" s="328"/>
      <c r="AR73" s="329"/>
      <c r="AT73" s="366"/>
      <c r="AU73" s="366"/>
      <c r="AW73" s="203"/>
      <c r="AX73" s="96"/>
      <c r="AY73" s="464" t="s">
        <v>245</v>
      </c>
      <c r="AZ73" s="465"/>
      <c r="BA73" s="465"/>
      <c r="BB73" s="406">
        <f>SUM(MAX(I73,J73),MAX(L73,M73),MAX(O73,P73),MAX(R73,S73),MAX(U73,V73),MAX(X73,Y73),MAX(AA73,AB73),MAX(AD73,AE73),MAX(AG73,AH73),MAX(AJ73,AK73),MAX(AM73,AN73),MAX(AP73,AQ73))</f>
        <v>0</v>
      </c>
      <c r="BC73" s="389"/>
      <c r="BD73" s="487" t="s">
        <v>574</v>
      </c>
      <c r="BE73" s="96"/>
      <c r="BF73" s="96"/>
      <c r="BG73" s="96"/>
      <c r="BH73" s="203"/>
    </row>
    <row r="74" spans="2:60" ht="16">
      <c r="B74" s="163"/>
      <c r="D74" s="346"/>
      <c r="E74" s="501" t="s">
        <v>598</v>
      </c>
      <c r="F74" s="502"/>
      <c r="G74" s="503"/>
      <c r="H74" s="389"/>
      <c r="I74" s="467">
        <f>D74+IF(I72&gt;J72,I72,J72)-IF(J73&lt;I73,I73,J73)</f>
        <v>25</v>
      </c>
      <c r="J74" s="468"/>
      <c r="K74" s="219"/>
      <c r="L74" s="467">
        <f t="shared" ref="L74" si="146">I74+IF(L72&gt;M72,L72,M72)-IF(M73&lt;L73,L73,M73)</f>
        <v>50</v>
      </c>
      <c r="M74" s="468"/>
      <c r="N74" s="219"/>
      <c r="O74" s="467">
        <f t="shared" ref="O74" si="147">L74+IF(O72&gt;P72,O72,P72)-IF(P73&lt;O73,O73,P73)</f>
        <v>75</v>
      </c>
      <c r="P74" s="468"/>
      <c r="Q74" s="219"/>
      <c r="R74" s="467">
        <f t="shared" ref="R74" si="148">O74+IF(R72&gt;S72,R72,S72)-IF(S73&lt;R73,R73,S73)</f>
        <v>100</v>
      </c>
      <c r="S74" s="468"/>
      <c r="T74" s="219"/>
      <c r="U74" s="467">
        <f t="shared" ref="U74" si="149">R74+IF(U72&gt;V72,U72,V72)-IF(V73&lt;U73,U73,V73)</f>
        <v>100</v>
      </c>
      <c r="V74" s="468"/>
      <c r="W74" s="219"/>
      <c r="X74" s="467">
        <f t="shared" ref="X74" si="150">U74+IF(X72&gt;Y72,X72,Y72)-IF(Y73&lt;X73,X73,Y73)</f>
        <v>100</v>
      </c>
      <c r="Y74" s="468"/>
      <c r="Z74" s="219"/>
      <c r="AA74" s="467">
        <f t="shared" ref="AA74" si="151">X74+IF(AA72&gt;AB72,AA72,AB72)-IF(AB73&lt;AA73,AA73,AB73)</f>
        <v>100</v>
      </c>
      <c r="AB74" s="468"/>
      <c r="AC74" s="219"/>
      <c r="AD74" s="467">
        <f t="shared" ref="AD74" si="152">AA74+IF(AD72&gt;AE72,AD72,AE72)-IF(AE73&lt;AD73,AD73,AE73)</f>
        <v>100</v>
      </c>
      <c r="AE74" s="468"/>
      <c r="AF74" s="219"/>
      <c r="AG74" s="467">
        <f t="shared" ref="AG74" si="153">AD74+IF(AG72&gt;AH72,AG72,AH72)-IF(AH73&lt;AG73,AG73,AH73)</f>
        <v>100</v>
      </c>
      <c r="AH74" s="468"/>
      <c r="AI74" s="219"/>
      <c r="AJ74" s="467">
        <f t="shared" ref="AJ74" si="154">AG74+IF(AJ72&gt;AK72,AJ72,AK72)-IF(AK73&lt;AJ73,AJ73,AK73)</f>
        <v>100</v>
      </c>
      <c r="AK74" s="468"/>
      <c r="AL74" s="219"/>
      <c r="AM74" s="467">
        <f t="shared" ref="AM74" si="155">AJ74+IF(AM72&gt;AN72,AM72,AN72)-IF(AN73&lt;AM73,AM73,AN73)</f>
        <v>100</v>
      </c>
      <c r="AN74" s="468"/>
      <c r="AO74" s="219"/>
      <c r="AP74" s="467">
        <f t="shared" ref="AP74" si="156">AM74+IF(AP72&gt;AQ72,AP72,AQ72)-IF(AQ73&lt;AP73,AP73,AQ73)</f>
        <v>100</v>
      </c>
      <c r="AQ74" s="468"/>
      <c r="AR74" s="219"/>
      <c r="AT74" s="361">
        <f t="shared" ref="AT74" si="157">AP74+BB72</f>
        <v>200</v>
      </c>
      <c r="AU74" s="363">
        <f t="shared" ref="AU74" si="158">AP74+BB72*4</f>
        <v>500</v>
      </c>
      <c r="AW74" s="203"/>
      <c r="AX74" s="96"/>
      <c r="AY74" s="472" t="str">
        <f>IF(E74="","",E74)</f>
        <v>Livret A - BANXO</v>
      </c>
      <c r="AZ74" s="473"/>
      <c r="BA74" s="474"/>
      <c r="BB74" s="407">
        <f>AP74</f>
        <v>100</v>
      </c>
      <c r="BC74" s="389"/>
      <c r="BD74" s="711"/>
      <c r="BE74" s="96"/>
      <c r="BF74" s="96"/>
      <c r="BG74" s="96"/>
      <c r="BH74" s="203"/>
    </row>
    <row r="75" spans="2:60" ht="16">
      <c r="B75" s="163"/>
      <c r="D75" s="345">
        <f>1+D72</f>
        <v>8</v>
      </c>
      <c r="E75" s="507" t="s">
        <v>125</v>
      </c>
      <c r="F75" s="508"/>
      <c r="G75" s="509"/>
      <c r="H75" s="389"/>
      <c r="I75" s="324"/>
      <c r="J75" s="325">
        <v>100</v>
      </c>
      <c r="K75" s="326"/>
      <c r="L75" s="324"/>
      <c r="M75" s="325">
        <v>100</v>
      </c>
      <c r="N75" s="326"/>
      <c r="O75" s="324"/>
      <c r="P75" s="325">
        <v>100</v>
      </c>
      <c r="Q75" s="326"/>
      <c r="R75" s="324"/>
      <c r="S75" s="325">
        <v>100</v>
      </c>
      <c r="T75" s="326"/>
      <c r="U75" s="324"/>
      <c r="V75" s="325">
        <v>350</v>
      </c>
      <c r="W75" s="326"/>
      <c r="X75" s="324"/>
      <c r="Y75" s="325"/>
      <c r="Z75" s="326"/>
      <c r="AA75" s="324"/>
      <c r="AB75" s="325"/>
      <c r="AC75" s="326"/>
      <c r="AD75" s="324"/>
      <c r="AE75" s="325"/>
      <c r="AF75" s="326"/>
      <c r="AG75" s="324"/>
      <c r="AH75" s="325"/>
      <c r="AI75" s="326"/>
      <c r="AJ75" s="324"/>
      <c r="AK75" s="325"/>
      <c r="AL75" s="326"/>
      <c r="AM75" s="324"/>
      <c r="AN75" s="325"/>
      <c r="AO75" s="326"/>
      <c r="AP75" s="324"/>
      <c r="AQ75" s="325"/>
      <c r="AR75" s="326"/>
      <c r="AT75" s="367" t="str">
        <f t="shared" ref="AT75" si="159">CONCATENATE("Moy. de ",INT(BB75/12)," €/mois")</f>
        <v>Moy. de 62 €/mois</v>
      </c>
      <c r="AU75" s="367" t="str">
        <f t="shared" ref="AU75" si="160">CONCATENATE("Moy. de ",INT(BB75/12)," €/mois")</f>
        <v>Moy. de 62 €/mois</v>
      </c>
      <c r="AW75" s="203"/>
      <c r="AX75" s="96"/>
      <c r="AY75" s="461" t="str">
        <f>IF(E75="","",E75)</f>
        <v>Epargne "ACHAT VOITURE"</v>
      </c>
      <c r="AZ75" s="462"/>
      <c r="BA75" s="463"/>
      <c r="BB75" s="404">
        <f>SUM(MAX(I75,J75),MAX(L75,M75),MAX(O75,P75),MAX(R75,S75),MAX(U75,V75),MAX(X75,Y75),MAX(AA75,AB75),MAX(AD75,AE75),MAX(AG75,AH75),MAX(AJ75,AK75),MAX(AM75,AN75),MAX(AP75,AQ75))</f>
        <v>750</v>
      </c>
      <c r="BC75" s="389"/>
      <c r="BD75" s="405">
        <f t="shared" si="65"/>
        <v>62.5</v>
      </c>
      <c r="BE75" s="96"/>
      <c r="BF75" s="96"/>
      <c r="BG75" s="96"/>
      <c r="BH75" s="203"/>
    </row>
    <row r="76" spans="2:60" ht="14">
      <c r="B76" s="163"/>
      <c r="D76" s="365" t="s">
        <v>542</v>
      </c>
      <c r="E76" s="436">
        <f>IF(BB75=0,"",INT(SUM(IF(K75="ok",J75,0),IF(N75="ok",M75,0),IF(Q75="ok",P75,0),IF(T75="ok",S75,0),IF(W75="ok",V75,0),IF(Z75="ok",Y75,0),IF(AC75="ok",AB75,0),IF(AF75="ok",AE75,0),IF(AI75="ok",AH75,0),IF(AL75="ok",AK75,0),IF(AO75="ok",AN75,0),IF(AR75="ok",AQ75,0))*100/BB75)/100)</f>
        <v>0</v>
      </c>
      <c r="F76" s="375" t="str">
        <f>IF(BB75=0,"",CONCATENATE("de l'objectif annuel atteint ","(",INT(SUM(IF(K75="ok",J75,0),IF(N75="ok",M75,0),IF(Q75="ok",P75,0),IF(T75="ok",S75,0),IF(W75="ok",V75,0),IF(Z75="ok",Y75,0),IF(AC75="ok",AB75,0),IF(AF75="ok",AE75,0),IF(AI75="ok",AH75,0),IF(AL75="ok",AK75,0),IF(AO75="ok",AN75,0),IF(AR75="ok",AQ75,0)))," € / ",BB75,")",IF(BB75=INT(SUM(IF(K75="ok",J75,0),IF(N75="ok",M75,0),IF(Q75="ok",P75,0),IF(T75="ok",S75,0),IF(W75="ok",V75,0),IF(Z75="ok",Y75,0),IF(AC75="ok",AB75,0),IF(AF75="ok",AE75,0),IF(AI75="ok",AH75,0),IF(AL75="ok",AK75,0),IF(AO75="ok",AN75,0),IF(AR75="ok",AQ75,0))),"",CONCATENATE(" : manque ",BB75-INT(SUM(IF(K75="ok",J75,0),IF(N75="ok",M75,0),IF(Q75="ok",P75,0),IF(T75="ok",S75,0),IF(W75="ok",V75,0),IF(Z75="ok",Y75,0),IF(AC75="ok",AB75,0),IF(AF75="ok",AE75,0),IF(AI75="ok",AH75,0),IF(AL75="ok",AK75,0),IF(AO75="ok",AN75,0),IF(AR75="ok",AQ75,0)))," €"))))</f>
        <v>de l'objectif annuel atteint (0 € / 750) : manque 750 €</v>
      </c>
      <c r="G76" s="359" t="s">
        <v>536</v>
      </c>
      <c r="H76" s="389"/>
      <c r="I76" s="327"/>
      <c r="J76" s="328"/>
      <c r="K76" s="329"/>
      <c r="L76" s="327"/>
      <c r="M76" s="328"/>
      <c r="N76" s="329"/>
      <c r="O76" s="327"/>
      <c r="P76" s="328"/>
      <c r="Q76" s="329"/>
      <c r="R76" s="327"/>
      <c r="S76" s="328"/>
      <c r="T76" s="329"/>
      <c r="U76" s="327"/>
      <c r="V76" s="328"/>
      <c r="W76" s="329"/>
      <c r="X76" s="327"/>
      <c r="Y76" s="328"/>
      <c r="Z76" s="329"/>
      <c r="AA76" s="327"/>
      <c r="AB76" s="328"/>
      <c r="AC76" s="329"/>
      <c r="AD76" s="327"/>
      <c r="AE76" s="328"/>
      <c r="AF76" s="329"/>
      <c r="AG76" s="327"/>
      <c r="AH76" s="328"/>
      <c r="AI76" s="329"/>
      <c r="AJ76" s="327"/>
      <c r="AK76" s="328"/>
      <c r="AL76" s="329"/>
      <c r="AM76" s="327"/>
      <c r="AN76" s="328"/>
      <c r="AO76" s="329"/>
      <c r="AP76" s="327"/>
      <c r="AQ76" s="328"/>
      <c r="AR76" s="329"/>
      <c r="AT76" s="366"/>
      <c r="AU76" s="366"/>
      <c r="AW76" s="203"/>
      <c r="AX76" s="96"/>
      <c r="AY76" s="464" t="s">
        <v>245</v>
      </c>
      <c r="AZ76" s="465"/>
      <c r="BA76" s="465"/>
      <c r="BB76" s="406">
        <f>SUM(MAX(I76,J76),MAX(L76,M76),MAX(O76,P76),MAX(R76,S76),MAX(U76,V76),MAX(X76,Y76),MAX(AA76,AB76),MAX(AD76,AE76),MAX(AG76,AH76),MAX(AJ76,AK76),MAX(AM76,AN76),MAX(AP76,AQ76))</f>
        <v>0</v>
      </c>
      <c r="BC76" s="389"/>
      <c r="BD76" s="487" t="s">
        <v>574</v>
      </c>
      <c r="BE76" s="96"/>
      <c r="BF76" s="96"/>
      <c r="BG76" s="96"/>
      <c r="BH76" s="203"/>
    </row>
    <row r="77" spans="2:60" ht="16">
      <c r="B77" s="163"/>
      <c r="D77" s="346"/>
      <c r="E77" s="501" t="s">
        <v>598</v>
      </c>
      <c r="F77" s="502"/>
      <c r="G77" s="503"/>
      <c r="H77" s="389"/>
      <c r="I77" s="467">
        <f>D77+IF(I75&gt;J75,I75,J75)-IF(J76&lt;I76,I76,J76)</f>
        <v>100</v>
      </c>
      <c r="J77" s="468"/>
      <c r="K77" s="219"/>
      <c r="L77" s="467">
        <f t="shared" ref="L77" si="161">I77+IF(L75&gt;M75,L75,M75)-IF(M76&lt;L76,L76,M76)</f>
        <v>200</v>
      </c>
      <c r="M77" s="468"/>
      <c r="N77" s="219"/>
      <c r="O77" s="467">
        <f t="shared" ref="O77" si="162">L77+IF(O75&gt;P75,O75,P75)-IF(P76&lt;O76,O76,P76)</f>
        <v>300</v>
      </c>
      <c r="P77" s="468"/>
      <c r="Q77" s="219"/>
      <c r="R77" s="467">
        <f t="shared" ref="R77" si="163">O77+IF(R75&gt;S75,R75,S75)-IF(S76&lt;R76,R76,S76)</f>
        <v>400</v>
      </c>
      <c r="S77" s="468"/>
      <c r="T77" s="219"/>
      <c r="U77" s="467">
        <f t="shared" ref="U77" si="164">R77+IF(U75&gt;V75,U75,V75)-IF(V76&lt;U76,U76,V76)</f>
        <v>750</v>
      </c>
      <c r="V77" s="468"/>
      <c r="W77" s="219"/>
      <c r="X77" s="467">
        <f t="shared" ref="X77" si="165">U77+IF(X75&gt;Y75,X75,Y75)-IF(Y76&lt;X76,X76,Y76)</f>
        <v>750</v>
      </c>
      <c r="Y77" s="468"/>
      <c r="Z77" s="219"/>
      <c r="AA77" s="467">
        <f t="shared" ref="AA77" si="166">X77+IF(AA75&gt;AB75,AA75,AB75)-IF(AB76&lt;AA76,AA76,AB76)</f>
        <v>750</v>
      </c>
      <c r="AB77" s="468"/>
      <c r="AC77" s="219"/>
      <c r="AD77" s="467">
        <f t="shared" ref="AD77" si="167">AA77+IF(AD75&gt;AE75,AD75,AE75)-IF(AE76&lt;AD76,AD76,AE76)</f>
        <v>750</v>
      </c>
      <c r="AE77" s="468"/>
      <c r="AF77" s="219"/>
      <c r="AG77" s="467">
        <f t="shared" ref="AG77" si="168">AD77+IF(AG75&gt;AH75,AG75,AH75)-IF(AH76&lt;AG76,AG76,AH76)</f>
        <v>750</v>
      </c>
      <c r="AH77" s="468"/>
      <c r="AI77" s="219"/>
      <c r="AJ77" s="467">
        <f t="shared" ref="AJ77" si="169">AG77+IF(AJ75&gt;AK75,AJ75,AK75)-IF(AK76&lt;AJ76,AJ76,AK76)</f>
        <v>750</v>
      </c>
      <c r="AK77" s="468"/>
      <c r="AL77" s="219"/>
      <c r="AM77" s="467">
        <f t="shared" ref="AM77" si="170">AJ77+IF(AM75&gt;AN75,AM75,AN75)-IF(AN76&lt;AM76,AM76,AN76)</f>
        <v>750</v>
      </c>
      <c r="AN77" s="468"/>
      <c r="AO77" s="219"/>
      <c r="AP77" s="467">
        <f t="shared" ref="AP77" si="171">AM77+IF(AP75&gt;AQ75,AP75,AQ75)-IF(AQ76&lt;AP76,AP76,AQ76)</f>
        <v>750</v>
      </c>
      <c r="AQ77" s="468"/>
      <c r="AR77" s="219"/>
      <c r="AT77" s="361">
        <f t="shared" ref="AT77" si="172">AP77+BB75</f>
        <v>1500</v>
      </c>
      <c r="AU77" s="363">
        <f t="shared" ref="AU77" si="173">AP77+BB75*4</f>
        <v>3750</v>
      </c>
      <c r="AW77" s="203"/>
      <c r="AX77" s="96"/>
      <c r="AY77" s="472" t="str">
        <f>IF(E77="","",E77)</f>
        <v>Livret A - BANXO</v>
      </c>
      <c r="AZ77" s="473"/>
      <c r="BA77" s="474"/>
      <c r="BB77" s="407">
        <f>AP77</f>
        <v>750</v>
      </c>
      <c r="BC77" s="389"/>
      <c r="BD77" s="711"/>
      <c r="BE77" s="96"/>
      <c r="BF77" s="96"/>
      <c r="BG77" s="96"/>
      <c r="BH77" s="203"/>
    </row>
    <row r="78" spans="2:60" ht="16">
      <c r="B78" s="163"/>
      <c r="D78" s="345">
        <f>1+D75</f>
        <v>9</v>
      </c>
      <c r="E78" s="507" t="s">
        <v>617</v>
      </c>
      <c r="F78" s="508"/>
      <c r="G78" s="509"/>
      <c r="H78" s="389"/>
      <c r="I78" s="324"/>
      <c r="J78" s="325">
        <v>25</v>
      </c>
      <c r="K78" s="326"/>
      <c r="L78" s="324"/>
      <c r="M78" s="325">
        <v>25</v>
      </c>
      <c r="N78" s="326"/>
      <c r="O78" s="324"/>
      <c r="P78" s="325">
        <v>25</v>
      </c>
      <c r="Q78" s="326"/>
      <c r="R78" s="324"/>
      <c r="S78" s="325">
        <v>25</v>
      </c>
      <c r="T78" s="326"/>
      <c r="U78" s="324"/>
      <c r="V78" s="325"/>
      <c r="W78" s="326"/>
      <c r="X78" s="324"/>
      <c r="Y78" s="325"/>
      <c r="Z78" s="326"/>
      <c r="AA78" s="324"/>
      <c r="AB78" s="325"/>
      <c r="AC78" s="326"/>
      <c r="AD78" s="324"/>
      <c r="AE78" s="325"/>
      <c r="AF78" s="326"/>
      <c r="AG78" s="324"/>
      <c r="AH78" s="325"/>
      <c r="AI78" s="326"/>
      <c r="AJ78" s="324"/>
      <c r="AK78" s="325"/>
      <c r="AL78" s="326"/>
      <c r="AM78" s="324"/>
      <c r="AN78" s="325"/>
      <c r="AO78" s="326"/>
      <c r="AP78" s="324"/>
      <c r="AQ78" s="325"/>
      <c r="AR78" s="326"/>
      <c r="AT78" s="367" t="str">
        <f t="shared" ref="AT78" si="174">CONCATENATE("Moy. de ",INT(BB78/12)," €/mois")</f>
        <v>Moy. de 8 €/mois</v>
      </c>
      <c r="AU78" s="367" t="str">
        <f t="shared" ref="AU78" si="175">CONCATENATE("Moy. de ",INT(BB78/12)," €/mois")</f>
        <v>Moy. de 8 €/mois</v>
      </c>
      <c r="AW78" s="203"/>
      <c r="AX78" s="96"/>
      <c r="AY78" s="461" t="str">
        <f>IF(E78="","",E78)</f>
        <v>Epargne pour "Projet personnel"</v>
      </c>
      <c r="AZ78" s="462"/>
      <c r="BA78" s="463"/>
      <c r="BB78" s="404">
        <f>SUM(MAX(I78,J78),MAX(L78,M78),MAX(O78,P78),MAX(R78,S78),MAX(U78,V78),MAX(X78,Y78),MAX(AA78,AB78),MAX(AD78,AE78),MAX(AG78,AH78),MAX(AJ78,AK78),MAX(AM78,AN78),MAX(AP78,AQ78))</f>
        <v>100</v>
      </c>
      <c r="BC78" s="389"/>
      <c r="BD78" s="405">
        <f t="shared" si="65"/>
        <v>8.3333333333333339</v>
      </c>
      <c r="BE78" s="96"/>
      <c r="BF78" s="96"/>
      <c r="BG78" s="96"/>
      <c r="BH78" s="203"/>
    </row>
    <row r="79" spans="2:60" ht="14">
      <c r="B79" s="163"/>
      <c r="D79" s="365" t="s">
        <v>542</v>
      </c>
      <c r="E79" s="436">
        <f>IF(BB78=0,"",INT(SUM(IF(K78="ok",J78,0),IF(N78="ok",M78,0),IF(Q78="ok",P78,0),IF(T78="ok",S78,0),IF(W78="ok",V78,0),IF(Z78="ok",Y78,0),IF(AC78="ok",AB78,0),IF(AF78="ok",AE78,0),IF(AI78="ok",AH78,0),IF(AL78="ok",AK78,0),IF(AO78="ok",AN78,0),IF(AR78="ok",AQ78,0))*100/BB78)/100)</f>
        <v>0</v>
      </c>
      <c r="F79" s="375" t="str">
        <f>IF(BB78=0,"",CONCATENATE("de l'objectif annuel atteint ","(",INT(SUM(IF(K78="ok",J78,0),IF(N78="ok",M78,0),IF(Q78="ok",P78,0),IF(T78="ok",S78,0),IF(W78="ok",V78,0),IF(Z78="ok",Y78,0),IF(AC78="ok",AB78,0),IF(AF78="ok",AE78,0),IF(AI78="ok",AH78,0),IF(AL78="ok",AK78,0),IF(AO78="ok",AN78,0),IF(AR78="ok",AQ78,0)))," € / ",BB78,")",IF(BB78=INT(SUM(IF(K78="ok",J78,0),IF(N78="ok",M78,0),IF(Q78="ok",P78,0),IF(T78="ok",S78,0),IF(W78="ok",V78,0),IF(Z78="ok",Y78,0),IF(AC78="ok",AB78,0),IF(AF78="ok",AE78,0),IF(AI78="ok",AH78,0),IF(AL78="ok",AK78,0),IF(AO78="ok",AN78,0),IF(AR78="ok",AQ78,0))),"",CONCATENATE(" : manque ",BB78-INT(SUM(IF(K78="ok",J78,0),IF(N78="ok",M78,0),IF(Q78="ok",P78,0),IF(T78="ok",S78,0),IF(W78="ok",V78,0),IF(Z78="ok",Y78,0),IF(AC78="ok",AB78,0),IF(AF78="ok",AE78,0),IF(AI78="ok",AH78,0),IF(AL78="ok",AK78,0),IF(AO78="ok",AN78,0),IF(AR78="ok",AQ78,0)))," €"))))</f>
        <v>de l'objectif annuel atteint (0 € / 100) : manque 100 €</v>
      </c>
      <c r="G79" s="359" t="s">
        <v>536</v>
      </c>
      <c r="H79" s="389"/>
      <c r="I79" s="327"/>
      <c r="J79" s="328"/>
      <c r="K79" s="329"/>
      <c r="L79" s="327"/>
      <c r="M79" s="328"/>
      <c r="N79" s="329"/>
      <c r="O79" s="327"/>
      <c r="P79" s="328"/>
      <c r="Q79" s="329"/>
      <c r="R79" s="327"/>
      <c r="S79" s="328"/>
      <c r="T79" s="329"/>
      <c r="U79" s="327"/>
      <c r="V79" s="328"/>
      <c r="W79" s="329"/>
      <c r="X79" s="327"/>
      <c r="Y79" s="328"/>
      <c r="Z79" s="329"/>
      <c r="AA79" s="327"/>
      <c r="AB79" s="328"/>
      <c r="AC79" s="329"/>
      <c r="AD79" s="327"/>
      <c r="AE79" s="328"/>
      <c r="AF79" s="329"/>
      <c r="AG79" s="327"/>
      <c r="AH79" s="328"/>
      <c r="AI79" s="329"/>
      <c r="AJ79" s="327"/>
      <c r="AK79" s="328"/>
      <c r="AL79" s="329"/>
      <c r="AM79" s="327"/>
      <c r="AN79" s="328"/>
      <c r="AO79" s="329"/>
      <c r="AP79" s="327"/>
      <c r="AQ79" s="328"/>
      <c r="AR79" s="329"/>
      <c r="AT79" s="366"/>
      <c r="AU79" s="366"/>
      <c r="AW79" s="203"/>
      <c r="AX79" s="96"/>
      <c r="AY79" s="464" t="s">
        <v>245</v>
      </c>
      <c r="AZ79" s="465"/>
      <c r="BA79" s="465"/>
      <c r="BB79" s="406">
        <f>SUM(MAX(I79,J79),MAX(L79,M79),MAX(O79,P79),MAX(R79,S79),MAX(U79,V79),MAX(X79,Y79),MAX(AA79,AB79),MAX(AD79,AE79),MAX(AG79,AH79),MAX(AJ79,AK79),MAX(AM79,AN79),MAX(AP79,AQ79))</f>
        <v>0</v>
      </c>
      <c r="BC79" s="389"/>
      <c r="BD79" s="487" t="s">
        <v>574</v>
      </c>
      <c r="BE79" s="96"/>
      <c r="BF79" s="96"/>
      <c r="BG79" s="96"/>
      <c r="BH79" s="203"/>
    </row>
    <row r="80" spans="2:60" ht="16">
      <c r="B80" s="163"/>
      <c r="D80" s="346"/>
      <c r="E80" s="501" t="s">
        <v>598</v>
      </c>
      <c r="F80" s="502"/>
      <c r="G80" s="503"/>
      <c r="H80" s="389"/>
      <c r="I80" s="467">
        <f>D80+IF(I78&gt;J78,I78,J78)-IF(J79&lt;I79,I79,J79)</f>
        <v>25</v>
      </c>
      <c r="J80" s="468"/>
      <c r="K80" s="219"/>
      <c r="L80" s="467">
        <f t="shared" ref="L80" si="176">I80+IF(L78&gt;M78,L78,M78)-IF(M79&lt;L79,L79,M79)</f>
        <v>50</v>
      </c>
      <c r="M80" s="468"/>
      <c r="N80" s="219"/>
      <c r="O80" s="467">
        <f t="shared" ref="O80" si="177">L80+IF(O78&gt;P78,O78,P78)-IF(P79&lt;O79,O79,P79)</f>
        <v>75</v>
      </c>
      <c r="P80" s="468"/>
      <c r="Q80" s="219"/>
      <c r="R80" s="467">
        <f t="shared" ref="R80" si="178">O80+IF(R78&gt;S78,R78,S78)-IF(S79&lt;R79,R79,S79)</f>
        <v>100</v>
      </c>
      <c r="S80" s="468"/>
      <c r="T80" s="219"/>
      <c r="U80" s="467">
        <f t="shared" ref="U80" si="179">R80+IF(U78&gt;V78,U78,V78)-IF(V79&lt;U79,U79,V79)</f>
        <v>100</v>
      </c>
      <c r="V80" s="468"/>
      <c r="W80" s="219"/>
      <c r="X80" s="467">
        <f t="shared" ref="X80" si="180">U80+IF(X78&gt;Y78,X78,Y78)-IF(Y79&lt;X79,X79,Y79)</f>
        <v>100</v>
      </c>
      <c r="Y80" s="468"/>
      <c r="Z80" s="219"/>
      <c r="AA80" s="467">
        <f t="shared" ref="AA80" si="181">X80+IF(AA78&gt;AB78,AA78,AB78)-IF(AB79&lt;AA79,AA79,AB79)</f>
        <v>100</v>
      </c>
      <c r="AB80" s="468"/>
      <c r="AC80" s="219"/>
      <c r="AD80" s="467">
        <f t="shared" ref="AD80" si="182">AA80+IF(AD78&gt;AE78,AD78,AE78)-IF(AE79&lt;AD79,AD79,AE79)</f>
        <v>100</v>
      </c>
      <c r="AE80" s="468"/>
      <c r="AF80" s="219"/>
      <c r="AG80" s="467">
        <f t="shared" ref="AG80" si="183">AD80+IF(AG78&gt;AH78,AG78,AH78)-IF(AH79&lt;AG79,AG79,AH79)</f>
        <v>100</v>
      </c>
      <c r="AH80" s="468"/>
      <c r="AI80" s="219"/>
      <c r="AJ80" s="467">
        <f t="shared" ref="AJ80" si="184">AG80+IF(AJ78&gt;AK78,AJ78,AK78)-IF(AK79&lt;AJ79,AJ79,AK79)</f>
        <v>100</v>
      </c>
      <c r="AK80" s="468"/>
      <c r="AL80" s="219"/>
      <c r="AM80" s="467">
        <f t="shared" ref="AM80" si="185">AJ80+IF(AM78&gt;AN78,AM78,AN78)-IF(AN79&lt;AM79,AM79,AN79)</f>
        <v>100</v>
      </c>
      <c r="AN80" s="468"/>
      <c r="AO80" s="219"/>
      <c r="AP80" s="467">
        <f t="shared" ref="AP80" si="186">AM80+IF(AP78&gt;AQ78,AP78,AQ78)-IF(AQ79&lt;AP79,AP79,AQ79)</f>
        <v>100</v>
      </c>
      <c r="AQ80" s="468"/>
      <c r="AR80" s="219"/>
      <c r="AT80" s="361">
        <f t="shared" ref="AT80" si="187">AP80+BB78</f>
        <v>200</v>
      </c>
      <c r="AU80" s="363">
        <f t="shared" ref="AU80" si="188">AP80+BB78*4</f>
        <v>500</v>
      </c>
      <c r="AW80" s="203"/>
      <c r="AX80" s="96"/>
      <c r="AY80" s="472" t="str">
        <f>IF(E80="","",E80)</f>
        <v>Livret A - BANXO</v>
      </c>
      <c r="AZ80" s="473"/>
      <c r="BA80" s="474"/>
      <c r="BB80" s="407">
        <f>AP80</f>
        <v>100</v>
      </c>
      <c r="BC80" s="389"/>
      <c r="BD80" s="711"/>
      <c r="BE80" s="96"/>
      <c r="BF80" s="96"/>
      <c r="BG80" s="96"/>
      <c r="BH80" s="203"/>
    </row>
    <row r="81" spans="2:60" ht="16">
      <c r="B81" s="163"/>
      <c r="D81" s="345">
        <f>1+D78</f>
        <v>10</v>
      </c>
      <c r="E81" s="507" t="s">
        <v>618</v>
      </c>
      <c r="F81" s="508"/>
      <c r="G81" s="509"/>
      <c r="H81" s="389"/>
      <c r="I81" s="324"/>
      <c r="J81" s="325">
        <v>100</v>
      </c>
      <c r="K81" s="326"/>
      <c r="L81" s="324"/>
      <c r="M81" s="325">
        <v>100</v>
      </c>
      <c r="N81" s="326"/>
      <c r="O81" s="817"/>
      <c r="P81" s="325">
        <v>100</v>
      </c>
      <c r="Q81" s="818"/>
      <c r="R81" s="324"/>
      <c r="S81" s="325">
        <v>100</v>
      </c>
      <c r="T81" s="326"/>
      <c r="U81" s="324"/>
      <c r="V81" s="325"/>
      <c r="W81" s="326"/>
      <c r="X81" s="324"/>
      <c r="Y81" s="325"/>
      <c r="Z81" s="326"/>
      <c r="AA81" s="324"/>
      <c r="AB81" s="325"/>
      <c r="AC81" s="326"/>
      <c r="AD81" s="324"/>
      <c r="AE81" s="325"/>
      <c r="AF81" s="326"/>
      <c r="AG81" s="324"/>
      <c r="AH81" s="325"/>
      <c r="AI81" s="326"/>
      <c r="AJ81" s="324"/>
      <c r="AK81" s="325"/>
      <c r="AL81" s="326"/>
      <c r="AM81" s="324"/>
      <c r="AN81" s="325"/>
      <c r="AO81" s="326"/>
      <c r="AP81" s="324"/>
      <c r="AQ81" s="325"/>
      <c r="AR81" s="326"/>
      <c r="AT81" s="367" t="str">
        <f t="shared" ref="AT81" si="189">CONCATENATE("Moy. de ",INT(BB81/12)," €/mois")</f>
        <v>Moy. de 33 €/mois</v>
      </c>
      <c r="AU81" s="367" t="str">
        <f t="shared" ref="AU81" si="190">CONCATENATE("Moy. de ",INT(BB81/12)," €/mois")</f>
        <v>Moy. de 33 €/mois</v>
      </c>
      <c r="AW81" s="203"/>
      <c r="AX81" s="96"/>
      <c r="AY81" s="461" t="str">
        <f>IF(E81="","",E81)</f>
        <v>Trésorerie "Jeune prodige conférence"</v>
      </c>
      <c r="AZ81" s="462"/>
      <c r="BA81" s="463"/>
      <c r="BB81" s="404">
        <f>SUM(MAX(I81,J81),MAX(L81,M81),MAX(O81,P81),MAX(R81,S81),MAX(U81,V81),MAX(X81,Y81),MAX(AA81,AB81),MAX(AD81,AE81),MAX(AG81,AH81),MAX(AJ81,AK81),MAX(AM81,AN81),MAX(AP81,AQ81))</f>
        <v>400</v>
      </c>
      <c r="BC81" s="389"/>
      <c r="BD81" s="405">
        <f t="shared" si="65"/>
        <v>33.333333333333336</v>
      </c>
      <c r="BE81" s="96"/>
      <c r="BF81" s="96"/>
      <c r="BG81" s="96"/>
      <c r="BH81" s="203"/>
    </row>
    <row r="82" spans="2:60" ht="14">
      <c r="B82" s="163"/>
      <c r="D82" s="365" t="s">
        <v>542</v>
      </c>
      <c r="E82" s="436">
        <f>IF(BB81=0,"",INT(SUM(IF(K81="ok",J81,0),IF(N81="ok",M81,0),IF(Q81="ok",P81,0),IF(T81="ok",S81,0),IF(W81="ok",V81,0),IF(Z81="ok",Y81,0),IF(AC81="ok",AB81,0),IF(AF81="ok",AE81,0),IF(AI81="ok",AH81,0),IF(AL81="ok",AK81,0),IF(AO81="ok",AN81,0),IF(AR81="ok",AQ81,0))*100/BB81)/100)</f>
        <v>0</v>
      </c>
      <c r="F82" s="375" t="str">
        <f>IF(BB81=0,"",CONCATENATE("de l'objectif annuel atteint ","(",INT(SUM(IF(K81="ok",J81,0),IF(N81="ok",M81,0),IF(Q81="ok",P81,0),IF(T81="ok",S81,0),IF(W81="ok",V81,0),IF(Z81="ok",Y81,0),IF(AC81="ok",AB81,0),IF(AF81="ok",AE81,0),IF(AI81="ok",AH81,0),IF(AL81="ok",AK81,0),IF(AO81="ok",AN81,0),IF(AR81="ok",AQ81,0)))," € / ",BB81,")",IF(BB81=INT(SUM(IF(K81="ok",J81,0),IF(N81="ok",M81,0),IF(Q81="ok",P81,0),IF(T81="ok",S81,0),IF(W81="ok",V81,0),IF(Z81="ok",Y81,0),IF(AC81="ok",AB81,0),IF(AF81="ok",AE81,0),IF(AI81="ok",AH81,0),IF(AL81="ok",AK81,0),IF(AO81="ok",AN81,0),IF(AR81="ok",AQ81,0))),"",CONCATENATE(" : manque ",BB81-INT(SUM(IF(K81="ok",J81,0),IF(N81="ok",M81,0),IF(Q81="ok",P81,0),IF(T81="ok",S81,0),IF(W81="ok",V81,0),IF(Z81="ok",Y81,0),IF(AC81="ok",AB81,0),IF(AF81="ok",AE81,0),IF(AI81="ok",AH81,0),IF(AL81="ok",AK81,0),IF(AO81="ok",AN81,0),IF(AR81="ok",AQ81,0)))," €"))))</f>
        <v>de l'objectif annuel atteint (0 € / 400) : manque 400 €</v>
      </c>
      <c r="G82" s="359" t="s">
        <v>536</v>
      </c>
      <c r="H82" s="389"/>
      <c r="I82" s="327"/>
      <c r="J82" s="328"/>
      <c r="K82" s="329"/>
      <c r="L82" s="327"/>
      <c r="M82" s="328"/>
      <c r="N82" s="329"/>
      <c r="O82" s="327"/>
      <c r="P82" s="328"/>
      <c r="Q82" s="329"/>
      <c r="R82" s="327"/>
      <c r="S82" s="328"/>
      <c r="T82" s="329"/>
      <c r="U82" s="327"/>
      <c r="V82" s="328"/>
      <c r="W82" s="329"/>
      <c r="X82" s="327"/>
      <c r="Y82" s="328"/>
      <c r="Z82" s="329"/>
      <c r="AA82" s="327"/>
      <c r="AB82" s="328"/>
      <c r="AC82" s="329"/>
      <c r="AD82" s="327"/>
      <c r="AE82" s="328"/>
      <c r="AF82" s="329"/>
      <c r="AG82" s="327"/>
      <c r="AH82" s="328"/>
      <c r="AI82" s="329"/>
      <c r="AJ82" s="327"/>
      <c r="AK82" s="328"/>
      <c r="AL82" s="329"/>
      <c r="AM82" s="327"/>
      <c r="AN82" s="328"/>
      <c r="AO82" s="329"/>
      <c r="AP82" s="327"/>
      <c r="AQ82" s="328"/>
      <c r="AR82" s="329"/>
      <c r="AT82" s="366"/>
      <c r="AU82" s="366"/>
      <c r="AW82" s="203"/>
      <c r="AX82" s="96"/>
      <c r="AY82" s="464" t="s">
        <v>245</v>
      </c>
      <c r="AZ82" s="465"/>
      <c r="BA82" s="465"/>
      <c r="BB82" s="406">
        <f>SUM(MAX(I82,J82),MAX(L82,M82),MAX(O82,P82),MAX(R82,S82),MAX(U82,V82),MAX(X82,Y82),MAX(AA82,AB82),MAX(AD82,AE82),MAX(AG82,AH82),MAX(AJ82,AK82),MAX(AM82,AN82),MAX(AP82,AQ82))</f>
        <v>0</v>
      </c>
      <c r="BC82" s="389"/>
      <c r="BD82" s="487" t="s">
        <v>574</v>
      </c>
      <c r="BE82" s="96"/>
      <c r="BF82" s="96"/>
      <c r="BG82" s="96"/>
      <c r="BH82" s="203"/>
    </row>
    <row r="83" spans="2:60" ht="16">
      <c r="B83" s="163"/>
      <c r="D83" s="346"/>
      <c r="E83" s="501" t="s">
        <v>237</v>
      </c>
      <c r="F83" s="502"/>
      <c r="G83" s="503"/>
      <c r="H83" s="389"/>
      <c r="I83" s="467">
        <f>D83+IF(I81&gt;J81,I81,J81)-IF(J82&lt;I82,I82,J82)</f>
        <v>100</v>
      </c>
      <c r="J83" s="468"/>
      <c r="K83" s="219"/>
      <c r="L83" s="467">
        <f t="shared" ref="L83" si="191">I83+IF(L81&gt;M81,L81,M81)-IF(M82&lt;L82,L82,M82)</f>
        <v>200</v>
      </c>
      <c r="M83" s="468"/>
      <c r="N83" s="219"/>
      <c r="O83" s="467">
        <f t="shared" ref="O83" si="192">L83+IF(O81&gt;P81,O81,P81)-IF(P82&lt;O82,O82,P82)</f>
        <v>300</v>
      </c>
      <c r="P83" s="468"/>
      <c r="Q83" s="219"/>
      <c r="R83" s="467">
        <f>O83+IF(R81&gt;S81,R81,S81)-IF(S82&lt;R82,R82,S82)</f>
        <v>400</v>
      </c>
      <c r="S83" s="468"/>
      <c r="T83" s="219"/>
      <c r="U83" s="467">
        <f t="shared" ref="U83" si="193">R83+IF(U81&gt;V81,U81,V81)-IF(V82&lt;U82,U82,V82)</f>
        <v>400</v>
      </c>
      <c r="V83" s="468"/>
      <c r="W83" s="219"/>
      <c r="X83" s="467">
        <f t="shared" ref="X83" si="194">U83+IF(X81&gt;Y81,X81,Y81)-IF(Y82&lt;X82,X82,Y82)</f>
        <v>400</v>
      </c>
      <c r="Y83" s="468"/>
      <c r="Z83" s="219"/>
      <c r="AA83" s="467">
        <f>X83+IF(AA81&gt;AB81,AA81,AB81)-IF(AB82&lt;AA82,AA82,AB82)</f>
        <v>400</v>
      </c>
      <c r="AB83" s="468"/>
      <c r="AC83" s="219"/>
      <c r="AD83" s="467">
        <f>AA83+IF(AD81&gt;AE81,AD81,AE81)-IF(AE82&lt;AD82,AD82,AE82)</f>
        <v>400</v>
      </c>
      <c r="AE83" s="468"/>
      <c r="AF83" s="219"/>
      <c r="AG83" s="467">
        <f t="shared" ref="AG83" si="195">AD83+IF(AG81&gt;AH81,AG81,AH81)-IF(AH82&lt;AG82,AG82,AH82)</f>
        <v>400</v>
      </c>
      <c r="AH83" s="468"/>
      <c r="AI83" s="219"/>
      <c r="AJ83" s="467">
        <f t="shared" ref="AJ83" si="196">AG83+IF(AJ81&gt;AK81,AJ81,AK81)-IF(AK82&lt;AJ82,AJ82,AK82)</f>
        <v>400</v>
      </c>
      <c r="AK83" s="468"/>
      <c r="AL83" s="219"/>
      <c r="AM83" s="467">
        <f t="shared" ref="AM83" si="197">AJ83+IF(AM81&gt;AN81,AM81,AN81)-IF(AN82&lt;AM82,AM82,AN82)</f>
        <v>400</v>
      </c>
      <c r="AN83" s="468"/>
      <c r="AO83" s="219"/>
      <c r="AP83" s="467">
        <f t="shared" ref="AP83" si="198">AM83+IF(AP81&gt;AQ81,AP81,AQ81)-IF(AQ82&lt;AP82,AP82,AQ82)</f>
        <v>400</v>
      </c>
      <c r="AQ83" s="468"/>
      <c r="AR83" s="219"/>
      <c r="AT83" s="361">
        <f t="shared" ref="AT83" si="199">AP83+BB81</f>
        <v>800</v>
      </c>
      <c r="AU83" s="363">
        <f t="shared" ref="AU83" si="200">AP83+BB81*4</f>
        <v>2000</v>
      </c>
      <c r="AW83" s="203"/>
      <c r="AX83" s="96"/>
      <c r="AY83" s="472" t="str">
        <f>IF(E83="","",E83)</f>
        <v>- compte d'épargne à saisir -</v>
      </c>
      <c r="AZ83" s="473"/>
      <c r="BA83" s="474"/>
      <c r="BB83" s="407">
        <f>AP83</f>
        <v>400</v>
      </c>
      <c r="BC83" s="389"/>
      <c r="BD83" s="711"/>
      <c r="BE83" s="96"/>
      <c r="BF83" s="96"/>
      <c r="BG83" s="96"/>
      <c r="BH83" s="203"/>
    </row>
    <row r="84" spans="2:60" ht="16">
      <c r="B84" s="163"/>
      <c r="D84" s="345">
        <f>1+D81</f>
        <v>11</v>
      </c>
      <c r="E84" s="507" t="s">
        <v>619</v>
      </c>
      <c r="F84" s="508"/>
      <c r="G84" s="509"/>
      <c r="H84" s="389"/>
      <c r="I84" s="324"/>
      <c r="J84" s="325">
        <v>36.5</v>
      </c>
      <c r="K84" s="326"/>
      <c r="L84" s="324"/>
      <c r="M84" s="325">
        <v>36.5</v>
      </c>
      <c r="N84" s="326"/>
      <c r="O84" s="324"/>
      <c r="P84" s="325">
        <v>36.5</v>
      </c>
      <c r="Q84" s="326"/>
      <c r="R84" s="324"/>
      <c r="S84" s="325">
        <v>36.5</v>
      </c>
      <c r="T84" s="326"/>
      <c r="U84" s="324"/>
      <c r="V84" s="325"/>
      <c r="W84" s="326"/>
      <c r="X84" s="324"/>
      <c r="Y84" s="325"/>
      <c r="Z84" s="326"/>
      <c r="AA84" s="324"/>
      <c r="AB84" s="325"/>
      <c r="AC84" s="326"/>
      <c r="AD84" s="324"/>
      <c r="AE84" s="325"/>
      <c r="AF84" s="326"/>
      <c r="AG84" s="324"/>
      <c r="AH84" s="325"/>
      <c r="AI84" s="326"/>
      <c r="AJ84" s="324"/>
      <c r="AK84" s="325"/>
      <c r="AL84" s="326"/>
      <c r="AM84" s="324"/>
      <c r="AN84" s="325"/>
      <c r="AO84" s="326"/>
      <c r="AP84" s="324"/>
      <c r="AQ84" s="325"/>
      <c r="AR84" s="326"/>
      <c r="AT84" s="367" t="str">
        <f t="shared" ref="AT84" si="201">CONCATENATE("Moy. de ",INT(BB84/12)," €/mois")</f>
        <v>Moy. de 12 €/mois</v>
      </c>
      <c r="AU84" s="367" t="str">
        <f t="shared" ref="AU84" si="202">CONCATENATE("Moy. de ",INT(BB84/12)," €/mois")</f>
        <v>Moy. de 12 €/mois</v>
      </c>
      <c r="AW84" s="203"/>
      <c r="AX84" s="96"/>
      <c r="AY84" s="461" t="str">
        <f>IF(E84="","",E84)</f>
        <v>Capital "NAISSANCE" - Enfant 1</v>
      </c>
      <c r="AZ84" s="462"/>
      <c r="BA84" s="463"/>
      <c r="BB84" s="404">
        <f>SUM(MAX(I84,J84),MAX(L84,M84),MAX(O84,P84),MAX(R84,S84),MAX(U84,V84),MAX(X84,Y84),MAX(AA84,AB84),MAX(AD84,AE84),MAX(AG84,AH84),MAX(AJ84,AK84),MAX(AM84,AN84),MAX(AP84,AQ84))</f>
        <v>146</v>
      </c>
      <c r="BC84" s="389"/>
      <c r="BD84" s="405">
        <f t="shared" si="65"/>
        <v>12.166666666666666</v>
      </c>
      <c r="BE84" s="96"/>
      <c r="BF84" s="96"/>
      <c r="BG84" s="96"/>
      <c r="BH84" s="203"/>
    </row>
    <row r="85" spans="2:60" ht="14">
      <c r="B85" s="163"/>
      <c r="D85" s="365" t="s">
        <v>542</v>
      </c>
      <c r="E85" s="436">
        <f>IF(BB84=0,"",INT(SUM(IF(K84="ok",J84,0),IF(N84="ok",M84,0),IF(Q84="ok",P84,0),IF(T84="ok",S84,0),IF(W84="ok",V84,0),IF(Z84="ok",Y84,0),IF(AC84="ok",AB84,0),IF(AF84="ok",AE84,0),IF(AI84="ok",AH84,0),IF(AL84="ok",AK84,0),IF(AO84="ok",AN84,0),IF(AR84="ok",AQ84,0))*100/BB84)/100)</f>
        <v>0</v>
      </c>
      <c r="F85" s="375" t="str">
        <f>IF(BB84=0,"",CONCATENATE("de l'objectif annuel atteint ","(",INT(SUM(IF(K84="ok",J84,0),IF(N84="ok",M84,0),IF(Q84="ok",P84,0),IF(T84="ok",S84,0),IF(W84="ok",V84,0),IF(Z84="ok",Y84,0),IF(AC84="ok",AB84,0),IF(AF84="ok",AE84,0),IF(AI84="ok",AH84,0),IF(AL84="ok",AK84,0),IF(AO84="ok",AN84,0),IF(AR84="ok",AQ84,0)))," € / ",BB84,")",IF(BB84=INT(SUM(IF(K84="ok",J84,0),IF(N84="ok",M84,0),IF(Q84="ok",P84,0),IF(T84="ok",S84,0),IF(W84="ok",V84,0),IF(Z84="ok",Y84,0),IF(AC84="ok",AB84,0),IF(AF84="ok",AE84,0),IF(AI84="ok",AH84,0),IF(AL84="ok",AK84,0),IF(AO84="ok",AN84,0),IF(AR84="ok",AQ84,0))),"",CONCATENATE(" : manque ",BB84-INT(SUM(IF(K84="ok",J84,0),IF(N84="ok",M84,0),IF(Q84="ok",P84,0),IF(T84="ok",S84,0),IF(W84="ok",V84,0),IF(Z84="ok",Y84,0),IF(AC84="ok",AB84,0),IF(AF84="ok",AE84,0),IF(AI84="ok",AH84,0),IF(AL84="ok",AK84,0),IF(AO84="ok",AN84,0),IF(AR84="ok",AQ84,0)))," €"))))</f>
        <v>de l'objectif annuel atteint (0 € / 146) : manque 146 €</v>
      </c>
      <c r="G85" s="359" t="s">
        <v>536</v>
      </c>
      <c r="H85" s="389"/>
      <c r="I85" s="327"/>
      <c r="J85" s="328"/>
      <c r="K85" s="329"/>
      <c r="L85" s="327"/>
      <c r="M85" s="328"/>
      <c r="N85" s="329"/>
      <c r="O85" s="327"/>
      <c r="P85" s="328"/>
      <c r="Q85" s="329"/>
      <c r="R85" s="327"/>
      <c r="S85" s="328"/>
      <c r="T85" s="329"/>
      <c r="U85" s="327"/>
      <c r="V85" s="328"/>
      <c r="W85" s="329"/>
      <c r="X85" s="327"/>
      <c r="Y85" s="328"/>
      <c r="Z85" s="329"/>
      <c r="AA85" s="327"/>
      <c r="AB85" s="328"/>
      <c r="AC85" s="329"/>
      <c r="AD85" s="327"/>
      <c r="AE85" s="328"/>
      <c r="AF85" s="329"/>
      <c r="AG85" s="327"/>
      <c r="AH85" s="328"/>
      <c r="AI85" s="329"/>
      <c r="AJ85" s="327"/>
      <c r="AK85" s="328"/>
      <c r="AL85" s="329"/>
      <c r="AM85" s="327"/>
      <c r="AN85" s="328"/>
      <c r="AO85" s="329"/>
      <c r="AP85" s="327"/>
      <c r="AQ85" s="328"/>
      <c r="AR85" s="329"/>
      <c r="AT85" s="366"/>
      <c r="AU85" s="366"/>
      <c r="AW85" s="203"/>
      <c r="AX85" s="96"/>
      <c r="AY85" s="464" t="s">
        <v>245</v>
      </c>
      <c r="AZ85" s="465"/>
      <c r="BA85" s="465"/>
      <c r="BB85" s="406">
        <f>SUM(MAX(I85,J85),MAX(L85,M85),MAX(O85,P85),MAX(R85,S85),MAX(U85,V85),MAX(X85,Y85),MAX(AA85,AB85),MAX(AD85,AE85),MAX(AG85,AH85),MAX(AJ85,AK85),MAX(AM85,AN85),MAX(AP85,AQ85))</f>
        <v>0</v>
      </c>
      <c r="BC85" s="389"/>
      <c r="BD85" s="487" t="s">
        <v>574</v>
      </c>
      <c r="BE85" s="96"/>
      <c r="BF85" s="96"/>
      <c r="BG85" s="96"/>
      <c r="BH85" s="203"/>
    </row>
    <row r="86" spans="2:60" ht="16">
      <c r="B86" s="163"/>
      <c r="D86" s="346"/>
      <c r="E86" s="501" t="s">
        <v>237</v>
      </c>
      <c r="F86" s="502"/>
      <c r="G86" s="503"/>
      <c r="H86" s="389"/>
      <c r="I86" s="467">
        <f>D86+IF(I84&gt;J84,I84,J84)-IF(J85&lt;I85,I85,J85)</f>
        <v>36.5</v>
      </c>
      <c r="J86" s="468"/>
      <c r="K86" s="219"/>
      <c r="L86" s="467">
        <f t="shared" ref="L86" si="203">I86+IF(L84&gt;M84,L84,M84)-IF(M85&lt;L85,L85,M85)</f>
        <v>73</v>
      </c>
      <c r="M86" s="468"/>
      <c r="N86" s="219"/>
      <c r="O86" s="467">
        <f t="shared" ref="O86" si="204">L86+IF(O84&gt;P84,O84,P84)-IF(P85&lt;O85,O85,P85)</f>
        <v>109.5</v>
      </c>
      <c r="P86" s="468"/>
      <c r="Q86" s="219"/>
      <c r="R86" s="467">
        <f t="shared" ref="R86" si="205">O86+IF(R84&gt;S84,R84,S84)-IF(S85&lt;R85,R85,S85)</f>
        <v>146</v>
      </c>
      <c r="S86" s="468"/>
      <c r="T86" s="219"/>
      <c r="U86" s="467">
        <f t="shared" ref="U86" si="206">R86+IF(U84&gt;V84,U84,V84)-IF(V85&lt;U85,U85,V85)</f>
        <v>146</v>
      </c>
      <c r="V86" s="468"/>
      <c r="W86" s="219"/>
      <c r="X86" s="467">
        <f t="shared" ref="X86" si="207">U86+IF(X84&gt;Y84,X84,Y84)-IF(Y85&lt;X85,X85,Y85)</f>
        <v>146</v>
      </c>
      <c r="Y86" s="468"/>
      <c r="Z86" s="219"/>
      <c r="AA86" s="467">
        <f t="shared" ref="AA86" si="208">X86+IF(AA84&gt;AB84,AA84,AB84)-IF(AB85&lt;AA85,AA85,AB85)</f>
        <v>146</v>
      </c>
      <c r="AB86" s="468"/>
      <c r="AC86" s="219"/>
      <c r="AD86" s="467">
        <f t="shared" ref="AD86" si="209">AA86+IF(AD84&gt;AE84,AD84,AE84)-IF(AE85&lt;AD85,AD85,AE85)</f>
        <v>146</v>
      </c>
      <c r="AE86" s="468"/>
      <c r="AF86" s="219"/>
      <c r="AG86" s="467">
        <f t="shared" ref="AG86" si="210">AD86+IF(AG84&gt;AH84,AG84,AH84)-IF(AH85&lt;AG85,AG85,AH85)</f>
        <v>146</v>
      </c>
      <c r="AH86" s="468"/>
      <c r="AI86" s="219"/>
      <c r="AJ86" s="467">
        <f t="shared" ref="AJ86" si="211">AG86+IF(AJ84&gt;AK84,AJ84,AK84)-IF(AK85&lt;AJ85,AJ85,AK85)</f>
        <v>146</v>
      </c>
      <c r="AK86" s="468"/>
      <c r="AL86" s="219"/>
      <c r="AM86" s="467">
        <f t="shared" ref="AM86" si="212">AJ86+IF(AM84&gt;AN84,AM84,AN84)-IF(AN85&lt;AM85,AM85,AN85)</f>
        <v>146</v>
      </c>
      <c r="AN86" s="468"/>
      <c r="AO86" s="219"/>
      <c r="AP86" s="467">
        <f t="shared" ref="AP86" si="213">AM86+IF(AP84&gt;AQ84,AP84,AQ84)-IF(AQ85&lt;AP85,AP85,AQ85)</f>
        <v>146</v>
      </c>
      <c r="AQ86" s="468"/>
      <c r="AR86" s="219"/>
      <c r="AT86" s="361">
        <f t="shared" ref="AT86" si="214">AP86+BB84</f>
        <v>292</v>
      </c>
      <c r="AU86" s="363">
        <f t="shared" ref="AU86" si="215">AP86+BB84*4</f>
        <v>730</v>
      </c>
      <c r="AW86" s="203"/>
      <c r="AX86" s="96"/>
      <c r="AY86" s="472" t="str">
        <f>IF(E86="","",E86)</f>
        <v>- compte d'épargne à saisir -</v>
      </c>
      <c r="AZ86" s="473"/>
      <c r="BA86" s="474"/>
      <c r="BB86" s="407">
        <f>AP86</f>
        <v>146</v>
      </c>
      <c r="BC86" s="389"/>
      <c r="BD86" s="711"/>
      <c r="BE86" s="96"/>
      <c r="BF86" s="96"/>
      <c r="BG86" s="96"/>
      <c r="BH86" s="203"/>
    </row>
    <row r="87" spans="2:60" ht="16">
      <c r="B87" s="163"/>
      <c r="D87" s="345">
        <f>1+D84</f>
        <v>12</v>
      </c>
      <c r="E87" s="507" t="s">
        <v>620</v>
      </c>
      <c r="F87" s="508"/>
      <c r="G87" s="509"/>
      <c r="H87" s="389"/>
      <c r="I87" s="324"/>
      <c r="J87" s="325">
        <v>36.5</v>
      </c>
      <c r="K87" s="326"/>
      <c r="L87" s="324"/>
      <c r="M87" s="325">
        <v>36.5</v>
      </c>
      <c r="N87" s="326"/>
      <c r="O87" s="324"/>
      <c r="P87" s="325">
        <v>36.5</v>
      </c>
      <c r="Q87" s="326"/>
      <c r="R87" s="324"/>
      <c r="S87" s="325">
        <v>36.5</v>
      </c>
      <c r="T87" s="326"/>
      <c r="U87" s="324"/>
      <c r="V87" s="325"/>
      <c r="W87" s="326"/>
      <c r="X87" s="324"/>
      <c r="Y87" s="325"/>
      <c r="Z87" s="326"/>
      <c r="AA87" s="324"/>
      <c r="AB87" s="325"/>
      <c r="AC87" s="326"/>
      <c r="AD87" s="324"/>
      <c r="AE87" s="325"/>
      <c r="AF87" s="326"/>
      <c r="AG87" s="324"/>
      <c r="AH87" s="325"/>
      <c r="AI87" s="326"/>
      <c r="AJ87" s="324"/>
      <c r="AK87" s="325"/>
      <c r="AL87" s="326"/>
      <c r="AM87" s="324"/>
      <c r="AN87" s="325"/>
      <c r="AO87" s="326"/>
      <c r="AP87" s="324"/>
      <c r="AQ87" s="325"/>
      <c r="AR87" s="326"/>
      <c r="AT87" s="367" t="str">
        <f t="shared" ref="AT87" si="216">CONCATENATE("Moy. de ",INT(BB87/12)," €/mois")</f>
        <v>Moy. de 12 €/mois</v>
      </c>
      <c r="AU87" s="367" t="str">
        <f t="shared" ref="AU87" si="217">CONCATENATE("Moy. de ",INT(BB87/12)," €/mois")</f>
        <v>Moy. de 12 €/mois</v>
      </c>
      <c r="AW87" s="203"/>
      <c r="AX87" s="96"/>
      <c r="AY87" s="461" t="str">
        <f>IF(E87="","",E87)</f>
        <v>Capital "NAISSANCE" - Enfant 2</v>
      </c>
      <c r="AZ87" s="462"/>
      <c r="BA87" s="463"/>
      <c r="BB87" s="404">
        <f>SUM(MAX(I87,J87),MAX(L87,M87),MAX(O87,P87),MAX(R87,S87),MAX(U87,V87),MAX(X87,Y87),MAX(AA87,AB87),MAX(AD87,AE87),MAX(AG87,AH87),MAX(AJ87,AK87),MAX(AM87,AN87),MAX(AP87,AQ87))</f>
        <v>146</v>
      </c>
      <c r="BC87" s="389"/>
      <c r="BD87" s="405">
        <f t="shared" si="65"/>
        <v>12.166666666666666</v>
      </c>
      <c r="BE87" s="96"/>
      <c r="BF87" s="96"/>
      <c r="BG87" s="96"/>
      <c r="BH87" s="203"/>
    </row>
    <row r="88" spans="2:60" ht="14">
      <c r="B88" s="163"/>
      <c r="D88" s="365" t="s">
        <v>542</v>
      </c>
      <c r="E88" s="436">
        <f>IF(BB87=0,"",INT(SUM(IF(K87="ok",J87,0),IF(N87="ok",M87,0),IF(Q87="ok",P87,0),IF(T87="ok",S87,0),IF(W87="ok",V87,0),IF(Z87="ok",Y87,0),IF(AC87="ok",AB87,0),IF(AF87="ok",AE87,0),IF(AI87="ok",AH87,0),IF(AL87="ok",AK87,0),IF(AO87="ok",AN87,0),IF(AR87="ok",AQ87,0))*100/BB87)/100)</f>
        <v>0</v>
      </c>
      <c r="F88" s="375" t="str">
        <f>IF(BB87=0,"",CONCATENATE("de l'objectif annuel atteint ","(",INT(SUM(IF(K87="ok",J87,0),IF(N87="ok",M87,0),IF(Q87="ok",P87,0),IF(T87="ok",S87,0),IF(W87="ok",V87,0),IF(Z87="ok",Y87,0),IF(AC87="ok",AB87,0),IF(AF87="ok",AE87,0),IF(AI87="ok",AH87,0),IF(AL87="ok",AK87,0),IF(AO87="ok",AN87,0),IF(AR87="ok",AQ87,0)))," € / ",BB87,")",IF(BB87=INT(SUM(IF(K87="ok",J87,0),IF(N87="ok",M87,0),IF(Q87="ok",P87,0),IF(T87="ok",S87,0),IF(W87="ok",V87,0),IF(Z87="ok",Y87,0),IF(AC87="ok",AB87,0),IF(AF87="ok",AE87,0),IF(AI87="ok",AH87,0),IF(AL87="ok",AK87,0),IF(AO87="ok",AN87,0),IF(AR87="ok",AQ87,0))),"",CONCATENATE(" : manque ",BB87-INT(SUM(IF(K87="ok",J87,0),IF(N87="ok",M87,0),IF(Q87="ok",P87,0),IF(T87="ok",S87,0),IF(W87="ok",V87,0),IF(Z87="ok",Y87,0),IF(AC87="ok",AB87,0),IF(AF87="ok",AE87,0),IF(AI87="ok",AH87,0),IF(AL87="ok",AK87,0),IF(AO87="ok",AN87,0),IF(AR87="ok",AQ87,0)))," €"))))</f>
        <v>de l'objectif annuel atteint (0 € / 146) : manque 146 €</v>
      </c>
      <c r="G88" s="359" t="s">
        <v>536</v>
      </c>
      <c r="H88" s="389"/>
      <c r="I88" s="327"/>
      <c r="J88" s="328"/>
      <c r="K88" s="329"/>
      <c r="L88" s="327"/>
      <c r="M88" s="328"/>
      <c r="N88" s="329"/>
      <c r="O88" s="327"/>
      <c r="P88" s="328"/>
      <c r="Q88" s="329"/>
      <c r="R88" s="327"/>
      <c r="S88" s="328"/>
      <c r="T88" s="329"/>
      <c r="U88" s="327"/>
      <c r="V88" s="328"/>
      <c r="W88" s="329"/>
      <c r="X88" s="327"/>
      <c r="Y88" s="328"/>
      <c r="Z88" s="329"/>
      <c r="AA88" s="327"/>
      <c r="AB88" s="328"/>
      <c r="AC88" s="329"/>
      <c r="AD88" s="327"/>
      <c r="AE88" s="328"/>
      <c r="AF88" s="329"/>
      <c r="AG88" s="327"/>
      <c r="AH88" s="328"/>
      <c r="AI88" s="329"/>
      <c r="AJ88" s="327"/>
      <c r="AK88" s="328"/>
      <c r="AL88" s="329"/>
      <c r="AM88" s="327"/>
      <c r="AN88" s="328"/>
      <c r="AO88" s="329"/>
      <c r="AP88" s="327"/>
      <c r="AQ88" s="328"/>
      <c r="AR88" s="329"/>
      <c r="AT88" s="366"/>
      <c r="AU88" s="366"/>
      <c r="AW88" s="203"/>
      <c r="AX88" s="96"/>
      <c r="AY88" s="464" t="s">
        <v>245</v>
      </c>
      <c r="AZ88" s="465"/>
      <c r="BA88" s="465"/>
      <c r="BB88" s="406">
        <f>SUM(MAX(I88,J88),MAX(L88,M88),MAX(O88,P88),MAX(R88,S88),MAX(U88,V88),MAX(X88,Y88),MAX(AA88,AB88),MAX(AD88,AE88),MAX(AG88,AH88),MAX(AJ88,AK88),MAX(AM88,AN88),MAX(AP88,AQ88))</f>
        <v>0</v>
      </c>
      <c r="BC88" s="389"/>
      <c r="BD88" s="487" t="s">
        <v>574</v>
      </c>
      <c r="BE88" s="96"/>
      <c r="BF88" s="96"/>
      <c r="BG88" s="96"/>
      <c r="BH88" s="203"/>
    </row>
    <row r="89" spans="2:60" ht="16">
      <c r="B89" s="163"/>
      <c r="D89" s="346"/>
      <c r="E89" s="501" t="s">
        <v>237</v>
      </c>
      <c r="F89" s="502"/>
      <c r="G89" s="503"/>
      <c r="H89" s="389"/>
      <c r="I89" s="467">
        <f>D89+IF(I87&gt;J87,I87,J87)-IF(J88&lt;I88,I88,J88)</f>
        <v>36.5</v>
      </c>
      <c r="J89" s="468"/>
      <c r="K89" s="219"/>
      <c r="L89" s="467">
        <f t="shared" ref="L89" si="218">I89+IF(L87&gt;M87,L87,M87)-IF(M88&lt;L88,L88,M88)</f>
        <v>73</v>
      </c>
      <c r="M89" s="468"/>
      <c r="N89" s="219"/>
      <c r="O89" s="467">
        <f t="shared" ref="O89" si="219">L89+IF(O87&gt;P87,O87,P87)-IF(P88&lt;O88,O88,P88)</f>
        <v>109.5</v>
      </c>
      <c r="P89" s="468"/>
      <c r="Q89" s="219"/>
      <c r="R89" s="467">
        <f>O89+IF(R87&gt;S87,R87,S87)-IF(S88&lt;R88,R88,S88)</f>
        <v>146</v>
      </c>
      <c r="S89" s="468"/>
      <c r="T89" s="219"/>
      <c r="U89" s="467">
        <f t="shared" ref="U89" si="220">R89+IF(U87&gt;V87,U87,V87)-IF(V88&lt;U88,U88,V88)</f>
        <v>146</v>
      </c>
      <c r="V89" s="468"/>
      <c r="W89" s="219"/>
      <c r="X89" s="467">
        <f t="shared" ref="X89" si="221">U89+IF(X87&gt;Y87,X87,Y87)-IF(Y88&lt;X88,X88,Y88)</f>
        <v>146</v>
      </c>
      <c r="Y89" s="468"/>
      <c r="Z89" s="219"/>
      <c r="AA89" s="467">
        <f t="shared" ref="AA89" si="222">X89+IF(AA87&gt;AB87,AA87,AB87)-IF(AB88&lt;AA88,AA88,AB88)</f>
        <v>146</v>
      </c>
      <c r="AB89" s="468"/>
      <c r="AC89" s="219"/>
      <c r="AD89" s="467">
        <f t="shared" ref="AD89" si="223">AA89+IF(AD87&gt;AE87,AD87,AE87)-IF(AE88&lt;AD88,AD88,AE88)</f>
        <v>146</v>
      </c>
      <c r="AE89" s="468"/>
      <c r="AF89" s="219"/>
      <c r="AG89" s="467">
        <f t="shared" ref="AG89" si="224">AD89+IF(AG87&gt;AH87,AG87,AH87)-IF(AH88&lt;AG88,AG88,AH88)</f>
        <v>146</v>
      </c>
      <c r="AH89" s="468"/>
      <c r="AI89" s="219"/>
      <c r="AJ89" s="467">
        <f t="shared" ref="AJ89" si="225">AG89+IF(AJ87&gt;AK87,AJ87,AK87)-IF(AK88&lt;AJ88,AJ88,AK88)</f>
        <v>146</v>
      </c>
      <c r="AK89" s="468"/>
      <c r="AL89" s="219"/>
      <c r="AM89" s="467">
        <f t="shared" ref="AM89" si="226">AJ89+IF(AM87&gt;AN87,AM87,AN87)-IF(AN88&lt;AM88,AM88,AN88)</f>
        <v>146</v>
      </c>
      <c r="AN89" s="468"/>
      <c r="AO89" s="219"/>
      <c r="AP89" s="467">
        <f t="shared" ref="AP89" si="227">AM89+IF(AP87&gt;AQ87,AP87,AQ87)-IF(AQ88&lt;AP88,AP88,AQ88)</f>
        <v>146</v>
      </c>
      <c r="AQ89" s="468"/>
      <c r="AR89" s="219"/>
      <c r="AT89" s="361">
        <f t="shared" ref="AT89" si="228">AP89+BB87</f>
        <v>292</v>
      </c>
      <c r="AU89" s="363">
        <f t="shared" ref="AU89" si="229">AP89+BB87*4</f>
        <v>730</v>
      </c>
      <c r="AW89" s="203"/>
      <c r="AX89" s="96"/>
      <c r="AY89" s="472" t="str">
        <f>IF(E89="","",E89)</f>
        <v>- compte d'épargne à saisir -</v>
      </c>
      <c r="AZ89" s="473"/>
      <c r="BA89" s="474"/>
      <c r="BB89" s="407">
        <f>AP89</f>
        <v>146</v>
      </c>
      <c r="BC89" s="389"/>
      <c r="BD89" s="711"/>
      <c r="BE89" s="96"/>
      <c r="BF89" s="96"/>
      <c r="BG89" s="96"/>
      <c r="BH89" s="203"/>
    </row>
    <row r="90" spans="2:60" ht="16">
      <c r="B90" s="163"/>
      <c r="D90" s="345">
        <f>1+D87</f>
        <v>13</v>
      </c>
      <c r="E90" s="507" t="s">
        <v>569</v>
      </c>
      <c r="F90" s="508"/>
      <c r="G90" s="509"/>
      <c r="H90" s="389"/>
      <c r="I90" s="324"/>
      <c r="J90" s="325"/>
      <c r="K90" s="326"/>
      <c r="L90" s="324"/>
      <c r="M90" s="325"/>
      <c r="N90" s="326"/>
      <c r="O90" s="324"/>
      <c r="P90" s="325"/>
      <c r="Q90" s="326"/>
      <c r="R90" s="324"/>
      <c r="S90" s="325"/>
      <c r="T90" s="326"/>
      <c r="U90" s="324"/>
      <c r="V90" s="325"/>
      <c r="W90" s="326"/>
      <c r="X90" s="324"/>
      <c r="Y90" s="325"/>
      <c r="Z90" s="326"/>
      <c r="AA90" s="324"/>
      <c r="AB90" s="325"/>
      <c r="AC90" s="326"/>
      <c r="AD90" s="324"/>
      <c r="AE90" s="325"/>
      <c r="AF90" s="326"/>
      <c r="AG90" s="324"/>
      <c r="AH90" s="325"/>
      <c r="AI90" s="326"/>
      <c r="AJ90" s="324"/>
      <c r="AK90" s="325"/>
      <c r="AL90" s="326"/>
      <c r="AM90" s="324"/>
      <c r="AN90" s="325"/>
      <c r="AO90" s="326"/>
      <c r="AP90" s="324"/>
      <c r="AQ90" s="325"/>
      <c r="AR90" s="326"/>
      <c r="AT90" s="367" t="str">
        <f t="shared" ref="AT90" si="230">CONCATENATE("Moy. de ",INT(BB90/12)," €/mois")</f>
        <v>Moy. de 0 €/mois</v>
      </c>
      <c r="AU90" s="367" t="str">
        <f t="shared" ref="AU90" si="231">CONCATENATE("Moy. de ",INT(BB90/12)," €/mois")</f>
        <v>Moy. de 0 €/mois</v>
      </c>
      <c r="AW90" s="203"/>
      <c r="AX90" s="96"/>
      <c r="AY90" s="461" t="str">
        <f>IF(E90="","",E90)</f>
        <v>Indiquer le nom du projet à financer</v>
      </c>
      <c r="AZ90" s="462"/>
      <c r="BA90" s="463"/>
      <c r="BB90" s="404">
        <f>SUM(MAX(I90,J90),MAX(L90,M90),MAX(O90,P90),MAX(R90,S90),MAX(U90,V90),MAX(X90,Y90),MAX(AA90,AB90),MAX(AD90,AE90),MAX(AG90,AH90),MAX(AJ90,AK90),MAX(AM90,AN90),MAX(AP90,AQ90))</f>
        <v>0</v>
      </c>
      <c r="BC90" s="389"/>
      <c r="BD90" s="405">
        <f t="shared" si="65"/>
        <v>0</v>
      </c>
      <c r="BE90" s="96"/>
      <c r="BF90" s="96"/>
      <c r="BG90" s="96"/>
      <c r="BH90" s="203"/>
    </row>
    <row r="91" spans="2:60" ht="14">
      <c r="B91" s="163"/>
      <c r="D91" s="365" t="s">
        <v>542</v>
      </c>
      <c r="E91" s="436" t="str">
        <f>IF(BB90=0,"",INT(SUM(IF(K90="ok",J90,0),IF(N90="ok",M90,0),IF(Q90="ok",P90,0),IF(T90="ok",S90,0),IF(W90="ok",V90,0),IF(Z90="ok",Y90,0),IF(AC90="ok",AB90,0),IF(AF90="ok",AE90,0),IF(AI90="ok",AH90,0),IF(AL90="ok",AK90,0),IF(AO90="ok",AN90,0),IF(AR90="ok",AQ90,0))*100/BB90)/100)</f>
        <v/>
      </c>
      <c r="F91" s="375" t="str">
        <f>IF(BB90=0,"",CONCATENATE("de l'objectif annuel atteint ","(",INT(SUM(IF(K90="ok",J90,0),IF(N90="ok",M90,0),IF(Q90="ok",P90,0),IF(T90="ok",S90,0),IF(W90="ok",V90,0),IF(Z90="ok",Y90,0),IF(AC90="ok",AB90,0),IF(AF90="ok",AE90,0),IF(AI90="ok",AH90,0),IF(AL90="ok",AK90,0),IF(AO90="ok",AN90,0),IF(AR90="ok",AQ90,0)))," € / ",BB90,")",IF(BB90=INT(SUM(IF(K90="ok",J90,0),IF(N90="ok",M90,0),IF(Q90="ok",P90,0),IF(T90="ok",S90,0),IF(W90="ok",V90,0),IF(Z90="ok",Y90,0),IF(AC90="ok",AB90,0),IF(AF90="ok",AE90,0),IF(AI90="ok",AH90,0),IF(AL90="ok",AK90,0),IF(AO90="ok",AN90,0),IF(AR90="ok",AQ90,0))),"",CONCATENATE(" : manque ",BB90-INT(SUM(IF(K90="ok",J90,0),IF(N90="ok",M90,0),IF(Q90="ok",P90,0),IF(T90="ok",S90,0),IF(W90="ok",V90,0),IF(Z90="ok",Y90,0),IF(AC90="ok",AB90,0),IF(AF90="ok",AE90,0),IF(AI90="ok",AH90,0),IF(AL90="ok",AK90,0),IF(AO90="ok",AN90,0),IF(AR90="ok",AQ90,0)))," €"))))</f>
        <v/>
      </c>
      <c r="G91" s="359" t="s">
        <v>536</v>
      </c>
      <c r="H91" s="389"/>
      <c r="I91" s="327"/>
      <c r="J91" s="328"/>
      <c r="K91" s="329"/>
      <c r="L91" s="327"/>
      <c r="M91" s="328"/>
      <c r="N91" s="329"/>
      <c r="O91" s="327"/>
      <c r="P91" s="328"/>
      <c r="Q91" s="329"/>
      <c r="R91" s="327"/>
      <c r="S91" s="328"/>
      <c r="T91" s="329"/>
      <c r="U91" s="327"/>
      <c r="V91" s="328"/>
      <c r="W91" s="329"/>
      <c r="X91" s="327"/>
      <c r="Y91" s="328"/>
      <c r="Z91" s="329"/>
      <c r="AA91" s="327"/>
      <c r="AB91" s="328"/>
      <c r="AC91" s="329"/>
      <c r="AD91" s="327"/>
      <c r="AE91" s="328"/>
      <c r="AF91" s="329"/>
      <c r="AG91" s="327"/>
      <c r="AH91" s="328"/>
      <c r="AI91" s="329"/>
      <c r="AJ91" s="327"/>
      <c r="AK91" s="328"/>
      <c r="AL91" s="329"/>
      <c r="AM91" s="327"/>
      <c r="AN91" s="328"/>
      <c r="AO91" s="329"/>
      <c r="AP91" s="327"/>
      <c r="AQ91" s="328"/>
      <c r="AR91" s="329"/>
      <c r="AT91" s="366"/>
      <c r="AU91" s="366"/>
      <c r="AW91" s="203"/>
      <c r="AX91" s="96"/>
      <c r="AY91" s="464" t="s">
        <v>245</v>
      </c>
      <c r="AZ91" s="465"/>
      <c r="BA91" s="465"/>
      <c r="BB91" s="406">
        <f>SUM(MAX(I91,J91),MAX(L91,M91),MAX(O91,P91),MAX(R91,S91),MAX(U91,V91),MAX(X91,Y91),MAX(AA91,AB91),MAX(AD91,AE91),MAX(AG91,AH91),MAX(AJ91,AK91),MAX(AM91,AN91),MAX(AP91,AQ91))</f>
        <v>0</v>
      </c>
      <c r="BC91" s="389"/>
      <c r="BD91" s="487" t="s">
        <v>574</v>
      </c>
      <c r="BE91" s="96"/>
      <c r="BF91" s="96"/>
      <c r="BG91" s="96"/>
      <c r="BH91" s="203"/>
    </row>
    <row r="92" spans="2:60" ht="16">
      <c r="B92" s="163"/>
      <c r="D92" s="346"/>
      <c r="E92" s="501" t="s">
        <v>237</v>
      </c>
      <c r="F92" s="502"/>
      <c r="G92" s="503"/>
      <c r="H92" s="389"/>
      <c r="I92" s="467">
        <f>D92+IF(I90&gt;J90,I90,J90)-IF(J91&lt;I91,I91,J91)</f>
        <v>0</v>
      </c>
      <c r="J92" s="468"/>
      <c r="K92" s="219"/>
      <c r="L92" s="467">
        <f t="shared" ref="L92" si="232">I92+IF(L90&gt;M90,L90,M90)-IF(M91&lt;L91,L91,M91)</f>
        <v>0</v>
      </c>
      <c r="M92" s="468"/>
      <c r="N92" s="219"/>
      <c r="O92" s="467">
        <f t="shared" ref="O92" si="233">L92+IF(O90&gt;P90,O90,P90)-IF(P91&lt;O91,O91,P91)</f>
        <v>0</v>
      </c>
      <c r="P92" s="468"/>
      <c r="Q92" s="219"/>
      <c r="R92" s="467">
        <f t="shared" ref="R92" si="234">O92+IF(R90&gt;S90,R90,S90)-IF(S91&lt;R91,R91,S91)</f>
        <v>0</v>
      </c>
      <c r="S92" s="468"/>
      <c r="T92" s="219"/>
      <c r="U92" s="467">
        <f t="shared" ref="U92" si="235">R92+IF(U90&gt;V90,U90,V90)-IF(V91&lt;U91,U91,V91)</f>
        <v>0</v>
      </c>
      <c r="V92" s="468"/>
      <c r="W92" s="219"/>
      <c r="X92" s="467">
        <f t="shared" ref="X92" si="236">U92+IF(X90&gt;Y90,X90,Y90)-IF(Y91&lt;X91,X91,Y91)</f>
        <v>0</v>
      </c>
      <c r="Y92" s="468"/>
      <c r="Z92" s="219"/>
      <c r="AA92" s="467">
        <f t="shared" ref="AA92" si="237">X92+IF(AA90&gt;AB90,AA90,AB90)-IF(AB91&lt;AA91,AA91,AB91)</f>
        <v>0</v>
      </c>
      <c r="AB92" s="468"/>
      <c r="AC92" s="219"/>
      <c r="AD92" s="467">
        <f t="shared" ref="AD92" si="238">AA92+IF(AD90&gt;AE90,AD90,AE90)-IF(AE91&lt;AD91,AD91,AE91)</f>
        <v>0</v>
      </c>
      <c r="AE92" s="468"/>
      <c r="AF92" s="219"/>
      <c r="AG92" s="467">
        <f t="shared" ref="AG92" si="239">AD92+IF(AG90&gt;AH90,AG90,AH90)-IF(AH91&lt;AG91,AG91,AH91)</f>
        <v>0</v>
      </c>
      <c r="AH92" s="468"/>
      <c r="AI92" s="219"/>
      <c r="AJ92" s="467">
        <f t="shared" ref="AJ92" si="240">AG92+IF(AJ90&gt;AK90,AJ90,AK90)-IF(AK91&lt;AJ91,AJ91,AK91)</f>
        <v>0</v>
      </c>
      <c r="AK92" s="468"/>
      <c r="AL92" s="219"/>
      <c r="AM92" s="467">
        <f t="shared" ref="AM92" si="241">AJ92+IF(AM90&gt;AN90,AM90,AN90)-IF(AN91&lt;AM91,AM91,AN91)</f>
        <v>0</v>
      </c>
      <c r="AN92" s="468"/>
      <c r="AO92" s="219"/>
      <c r="AP92" s="467">
        <f t="shared" ref="AP92" si="242">AM92+IF(AP90&gt;AQ90,AP90,AQ90)-IF(AQ91&lt;AP91,AP91,AQ91)</f>
        <v>0</v>
      </c>
      <c r="AQ92" s="468"/>
      <c r="AR92" s="219"/>
      <c r="AT92" s="361">
        <f t="shared" ref="AT92" si="243">AP92+BB90</f>
        <v>0</v>
      </c>
      <c r="AU92" s="363">
        <f t="shared" ref="AU92" si="244">AP92+BB90*4</f>
        <v>0</v>
      </c>
      <c r="AW92" s="203"/>
      <c r="AX92" s="96"/>
      <c r="AY92" s="472" t="str">
        <f>IF(E92="","",E92)</f>
        <v>- compte d'épargne à saisir -</v>
      </c>
      <c r="AZ92" s="473"/>
      <c r="BA92" s="474"/>
      <c r="BB92" s="407">
        <f>AP92</f>
        <v>0</v>
      </c>
      <c r="BC92" s="389"/>
      <c r="BD92" s="711"/>
      <c r="BE92" s="96"/>
      <c r="BF92" s="96"/>
      <c r="BG92" s="96"/>
      <c r="BH92" s="203"/>
    </row>
    <row r="93" spans="2:60" ht="16">
      <c r="B93" s="163"/>
      <c r="D93" s="345">
        <f>1+D90</f>
        <v>14</v>
      </c>
      <c r="E93" s="507" t="s">
        <v>569</v>
      </c>
      <c r="F93" s="508"/>
      <c r="G93" s="509"/>
      <c r="H93" s="389"/>
      <c r="I93" s="324"/>
      <c r="J93" s="325"/>
      <c r="K93" s="326"/>
      <c r="L93" s="324"/>
      <c r="M93" s="325"/>
      <c r="N93" s="326"/>
      <c r="O93" s="324"/>
      <c r="P93" s="325"/>
      <c r="Q93" s="326"/>
      <c r="R93" s="324"/>
      <c r="S93" s="325"/>
      <c r="T93" s="326"/>
      <c r="U93" s="324"/>
      <c r="V93" s="325"/>
      <c r="W93" s="326"/>
      <c r="X93" s="324"/>
      <c r="Y93" s="325"/>
      <c r="Z93" s="326"/>
      <c r="AA93" s="324"/>
      <c r="AB93" s="325"/>
      <c r="AC93" s="326"/>
      <c r="AD93" s="324"/>
      <c r="AE93" s="325"/>
      <c r="AF93" s="326"/>
      <c r="AG93" s="324"/>
      <c r="AH93" s="325"/>
      <c r="AI93" s="326"/>
      <c r="AJ93" s="324"/>
      <c r="AK93" s="325"/>
      <c r="AL93" s="326"/>
      <c r="AM93" s="324"/>
      <c r="AN93" s="325"/>
      <c r="AO93" s="326"/>
      <c r="AP93" s="324"/>
      <c r="AQ93" s="325"/>
      <c r="AR93" s="326"/>
      <c r="AT93" s="367" t="str">
        <f>CONCATENATE("Moy. de ",INT(BB93/12)," €/mois")</f>
        <v>Moy. de 0 €/mois</v>
      </c>
      <c r="AU93" s="367" t="str">
        <f t="shared" ref="AU93" si="245">CONCATENATE("Moy. de ",INT(BB93/12)," €/mois")</f>
        <v>Moy. de 0 €/mois</v>
      </c>
      <c r="AW93" s="203"/>
      <c r="AX93" s="96"/>
      <c r="AY93" s="461" t="str">
        <f>IF(E93="","",E93)</f>
        <v>Indiquer le nom du projet à financer</v>
      </c>
      <c r="AZ93" s="462"/>
      <c r="BA93" s="463"/>
      <c r="BB93" s="404">
        <f>SUM(MAX(I93,J93),MAX(L93,M93),MAX(O93,P93),MAX(R93,S93),MAX(U93,V93),MAX(X93,Y93),MAX(AA93,AB93),MAX(AD93,AE93),MAX(AG93,AH93),MAX(AJ93,AK93),MAX(AM93,AN93),MAX(AP93,AQ93))</f>
        <v>0</v>
      </c>
      <c r="BC93" s="389"/>
      <c r="BD93" s="405">
        <f t="shared" si="65"/>
        <v>0</v>
      </c>
      <c r="BE93" s="96"/>
      <c r="BF93" s="96"/>
      <c r="BG93" s="96"/>
      <c r="BH93" s="203"/>
    </row>
    <row r="94" spans="2:60" ht="14">
      <c r="B94" s="163"/>
      <c r="D94" s="365" t="s">
        <v>542</v>
      </c>
      <c r="E94" s="436" t="str">
        <f>IF(BB93=0,"",INT(SUM(IF(K93="ok",J93,0),IF(N93="ok",M93,0),IF(Q93="ok",P93,0),IF(T93="ok",S93,0),IF(W93="ok",V93,0),IF(Z93="ok",Y93,0),IF(AC93="ok",AB93,0),IF(AF93="ok",AE93,0),IF(AI93="ok",AH93,0),IF(AL93="ok",AK93,0),IF(AO93="ok",AN93,0),IF(AR93="ok",AQ93,0))*100/BB93)/100)</f>
        <v/>
      </c>
      <c r="F94" s="375" t="str">
        <f>IF(BB93=0,"",CONCATENATE("de l'objectif annuel atteint ","(",INT(SUM(IF(K93="ok",J93,0),IF(N93="ok",M93,0),IF(Q93="ok",P93,0),IF(T93="ok",S93,0),IF(W93="ok",V93,0),IF(Z93="ok",Y93,0),IF(AC93="ok",AB93,0),IF(AF93="ok",AE93,0),IF(AI93="ok",AH93,0),IF(AL93="ok",AK93,0),IF(AO93="ok",AN93,0),IF(AR93="ok",AQ93,0)))," € / ",BB93,")",IF(BB93=INT(SUM(IF(K93="ok",J93,0),IF(N93="ok",M93,0),IF(Q93="ok",P93,0),IF(T93="ok",S93,0),IF(W93="ok",V93,0),IF(Z93="ok",Y93,0),IF(AC93="ok",AB93,0),IF(AF93="ok",AE93,0),IF(AI93="ok",AH93,0),IF(AL93="ok",AK93,0),IF(AO93="ok",AN93,0),IF(AR93="ok",AQ93,0))),"",CONCATENATE(" : manque ",BB93-INT(SUM(IF(K93="ok",J93,0),IF(N93="ok",M93,0),IF(Q93="ok",P93,0),IF(T93="ok",S93,0),IF(W93="ok",V93,0),IF(Z93="ok",Y93,0),IF(AC93="ok",AB93,0),IF(AF93="ok",AE93,0),IF(AI93="ok",AH93,0),IF(AL93="ok",AK93,0),IF(AO93="ok",AN93,0),IF(AR93="ok",AQ93,0)))," €"))))</f>
        <v/>
      </c>
      <c r="G94" s="359" t="s">
        <v>536</v>
      </c>
      <c r="H94" s="389"/>
      <c r="I94" s="327"/>
      <c r="J94" s="328"/>
      <c r="K94" s="329"/>
      <c r="L94" s="327"/>
      <c r="M94" s="328"/>
      <c r="N94" s="329"/>
      <c r="O94" s="327"/>
      <c r="P94" s="328"/>
      <c r="Q94" s="329"/>
      <c r="R94" s="327"/>
      <c r="S94" s="328"/>
      <c r="T94" s="329"/>
      <c r="U94" s="327"/>
      <c r="V94" s="328"/>
      <c r="W94" s="329"/>
      <c r="X94" s="327"/>
      <c r="Y94" s="328"/>
      <c r="Z94" s="329"/>
      <c r="AA94" s="327"/>
      <c r="AB94" s="328"/>
      <c r="AC94" s="329"/>
      <c r="AD94" s="327"/>
      <c r="AE94" s="328"/>
      <c r="AF94" s="329"/>
      <c r="AG94" s="327"/>
      <c r="AH94" s="328"/>
      <c r="AI94" s="329"/>
      <c r="AJ94" s="327"/>
      <c r="AK94" s="328"/>
      <c r="AL94" s="329"/>
      <c r="AM94" s="327"/>
      <c r="AN94" s="328"/>
      <c r="AO94" s="329"/>
      <c r="AP94" s="327"/>
      <c r="AQ94" s="328"/>
      <c r="AR94" s="329"/>
      <c r="AT94" s="366"/>
      <c r="AU94" s="366"/>
      <c r="AW94" s="203"/>
      <c r="AX94" s="96"/>
      <c r="AY94" s="464" t="s">
        <v>245</v>
      </c>
      <c r="AZ94" s="465"/>
      <c r="BA94" s="465"/>
      <c r="BB94" s="406">
        <f>SUM(MAX(I94,J94),MAX(L94,M94),MAX(O94,P94),MAX(R94,S94),MAX(U94,V94),MAX(X94,Y94),MAX(AA94,AB94),MAX(AD94,AE94),MAX(AG94,AH94),MAX(AJ94,AK94),MAX(AM94,AN94),MAX(AP94,AQ94))</f>
        <v>0</v>
      </c>
      <c r="BC94" s="389"/>
      <c r="BD94" s="487" t="s">
        <v>574</v>
      </c>
      <c r="BE94" s="96"/>
      <c r="BF94" s="96"/>
      <c r="BG94" s="96"/>
      <c r="BH94" s="203"/>
    </row>
    <row r="95" spans="2:60" ht="16">
      <c r="B95" s="163"/>
      <c r="D95" s="346"/>
      <c r="E95" s="501" t="s">
        <v>237</v>
      </c>
      <c r="F95" s="502"/>
      <c r="G95" s="503"/>
      <c r="H95" s="389"/>
      <c r="I95" s="467">
        <f>D95+IF(I93&gt;J93,I93,J93)-IF(J94&lt;I94,I94,J94)</f>
        <v>0</v>
      </c>
      <c r="J95" s="468"/>
      <c r="K95" s="219"/>
      <c r="L95" s="467">
        <f t="shared" ref="L95" si="246">I95+IF(L93&gt;M93,L93,M93)-IF(M94&lt;L94,L94,M94)</f>
        <v>0</v>
      </c>
      <c r="M95" s="468"/>
      <c r="N95" s="219"/>
      <c r="O95" s="467">
        <f t="shared" ref="O95" si="247">L95+IF(O93&gt;P93,O93,P93)-IF(P94&lt;O94,O94,P94)</f>
        <v>0</v>
      </c>
      <c r="P95" s="468"/>
      <c r="Q95" s="219"/>
      <c r="R95" s="467">
        <f t="shared" ref="R95" si="248">O95+IF(R93&gt;S93,R93,S93)-IF(S94&lt;R94,R94,S94)</f>
        <v>0</v>
      </c>
      <c r="S95" s="468"/>
      <c r="T95" s="219"/>
      <c r="U95" s="467">
        <f t="shared" ref="U95" si="249">R95+IF(U93&gt;V93,U93,V93)-IF(V94&lt;U94,U94,V94)</f>
        <v>0</v>
      </c>
      <c r="V95" s="468"/>
      <c r="W95" s="219"/>
      <c r="X95" s="467">
        <f t="shared" ref="X95" si="250">U95+IF(X93&gt;Y93,X93,Y93)-IF(Y94&lt;X94,X94,Y94)</f>
        <v>0</v>
      </c>
      <c r="Y95" s="468"/>
      <c r="Z95" s="219"/>
      <c r="AA95" s="467">
        <f t="shared" ref="AA95" si="251">X95+IF(AA93&gt;AB93,AA93,AB93)-IF(AB94&lt;AA94,AA94,AB94)</f>
        <v>0</v>
      </c>
      <c r="AB95" s="468"/>
      <c r="AC95" s="219"/>
      <c r="AD95" s="467">
        <f t="shared" ref="AD95" si="252">AA95+IF(AD93&gt;AE93,AD93,AE93)-IF(AE94&lt;AD94,AD94,AE94)</f>
        <v>0</v>
      </c>
      <c r="AE95" s="468"/>
      <c r="AF95" s="219"/>
      <c r="AG95" s="467">
        <f t="shared" ref="AG95" si="253">AD95+IF(AG93&gt;AH93,AG93,AH93)-IF(AH94&lt;AG94,AG94,AH94)</f>
        <v>0</v>
      </c>
      <c r="AH95" s="468"/>
      <c r="AI95" s="219"/>
      <c r="AJ95" s="467">
        <f t="shared" ref="AJ95" si="254">AG95+IF(AJ93&gt;AK93,AJ93,AK93)-IF(AK94&lt;AJ94,AJ94,AK94)</f>
        <v>0</v>
      </c>
      <c r="AK95" s="468"/>
      <c r="AL95" s="219"/>
      <c r="AM95" s="467">
        <f t="shared" ref="AM95" si="255">AJ95+IF(AM93&gt;AN93,AM93,AN93)-IF(AN94&lt;AM94,AM94,AN94)</f>
        <v>0</v>
      </c>
      <c r="AN95" s="468"/>
      <c r="AO95" s="219"/>
      <c r="AP95" s="467">
        <f t="shared" ref="AP95" si="256">AM95+IF(AP93&gt;AQ93,AP93,AQ93)-IF(AQ94&lt;AP94,AP94,AQ94)</f>
        <v>0</v>
      </c>
      <c r="AQ95" s="468"/>
      <c r="AR95" s="219"/>
      <c r="AT95" s="361">
        <f t="shared" ref="AT95" si="257">AP95+BB93</f>
        <v>0</v>
      </c>
      <c r="AU95" s="363">
        <f t="shared" ref="AU95" si="258">AP95+BB93*4</f>
        <v>0</v>
      </c>
      <c r="AW95" s="203"/>
      <c r="AX95" s="96"/>
      <c r="AY95" s="472" t="str">
        <f>IF(E95="","",E95)</f>
        <v>- compte d'épargne à saisir -</v>
      </c>
      <c r="AZ95" s="473"/>
      <c r="BA95" s="474"/>
      <c r="BB95" s="407">
        <f>AP95</f>
        <v>0</v>
      </c>
      <c r="BC95" s="389"/>
      <c r="BD95" s="711"/>
      <c r="BE95" s="96"/>
      <c r="BF95" s="96"/>
      <c r="BG95" s="96"/>
      <c r="BH95" s="203"/>
    </row>
    <row r="96" spans="2:60" ht="16">
      <c r="B96" s="163"/>
      <c r="D96" s="345">
        <f>1+D93</f>
        <v>15</v>
      </c>
      <c r="E96" s="507" t="s">
        <v>569</v>
      </c>
      <c r="F96" s="508"/>
      <c r="G96" s="509"/>
      <c r="H96" s="389"/>
      <c r="I96" s="324"/>
      <c r="J96" s="325"/>
      <c r="K96" s="326"/>
      <c r="L96" s="324"/>
      <c r="M96" s="325"/>
      <c r="N96" s="326"/>
      <c r="O96" s="324"/>
      <c r="P96" s="325"/>
      <c r="Q96" s="326"/>
      <c r="R96" s="324"/>
      <c r="S96" s="325"/>
      <c r="T96" s="326"/>
      <c r="U96" s="324"/>
      <c r="V96" s="325"/>
      <c r="W96" s="326"/>
      <c r="X96" s="324"/>
      <c r="Y96" s="325"/>
      <c r="Z96" s="326"/>
      <c r="AA96" s="324"/>
      <c r="AB96" s="325"/>
      <c r="AC96" s="326"/>
      <c r="AD96" s="324"/>
      <c r="AE96" s="325"/>
      <c r="AF96" s="326"/>
      <c r="AG96" s="324"/>
      <c r="AH96" s="325"/>
      <c r="AI96" s="326"/>
      <c r="AJ96" s="324"/>
      <c r="AK96" s="325"/>
      <c r="AL96" s="326"/>
      <c r="AM96" s="324"/>
      <c r="AN96" s="325"/>
      <c r="AO96" s="326"/>
      <c r="AP96" s="324"/>
      <c r="AQ96" s="325"/>
      <c r="AR96" s="326"/>
      <c r="AT96" s="367" t="str">
        <f>CONCATENATE("Moy. de ",INT(BB96/12)," €/mois")</f>
        <v>Moy. de 0 €/mois</v>
      </c>
      <c r="AU96" s="367" t="str">
        <f t="shared" ref="AU96" si="259">CONCATENATE("Moy. de ",INT(BB96/12)," €/mois")</f>
        <v>Moy. de 0 €/mois</v>
      </c>
      <c r="AW96" s="203"/>
      <c r="AX96" s="96"/>
      <c r="AY96" s="461" t="str">
        <f>IF(E96="","",E96)</f>
        <v>Indiquer le nom du projet à financer</v>
      </c>
      <c r="AZ96" s="462"/>
      <c r="BA96" s="463"/>
      <c r="BB96" s="404">
        <f>SUM(MAX(I96,J96),MAX(L96,M96),MAX(O96,P96),MAX(R96,S96),MAX(U96,V96),MAX(X96,Y96),MAX(AA96,AB96),MAX(AD96,AE96),MAX(AG96,AH96),MAX(AJ96,AK96),MAX(AM96,AN96),MAX(AP96,AQ96))</f>
        <v>0</v>
      </c>
      <c r="BC96" s="389"/>
      <c r="BD96" s="405">
        <f t="shared" si="65"/>
        <v>0</v>
      </c>
      <c r="BE96" s="96"/>
      <c r="BF96" s="96"/>
      <c r="BG96" s="96"/>
      <c r="BH96" s="203"/>
    </row>
    <row r="97" spans="2:60" ht="14">
      <c r="B97" s="163"/>
      <c r="D97" s="365" t="s">
        <v>542</v>
      </c>
      <c r="E97" s="436" t="str">
        <f>IF(BB96=0,"",INT(SUM(IF(K96="ok",J96,0),IF(N96="ok",M96,0),IF(Q96="ok",P96,0),IF(T96="ok",S96,0),IF(W96="ok",V96,0),IF(Z96="ok",Y96,0),IF(AC96="ok",AB96,0),IF(AF96="ok",AE96,0),IF(AI96="ok",AH96,0),IF(AL96="ok",AK96,0),IF(AO96="ok",AN96,0),IF(AR96="ok",AQ96,0))*100/BB96)/100)</f>
        <v/>
      </c>
      <c r="F97" s="375" t="str">
        <f>IF(BB96=0,"",CONCATENATE("de l'objectif annuel atteint ","(",INT(SUM(IF(K96="ok",J96,0),IF(N96="ok",M96,0),IF(Q96="ok",P96,0),IF(T96="ok",S96,0),IF(W96="ok",V96,0),IF(Z96="ok",Y96,0),IF(AC96="ok",AB96,0),IF(AF96="ok",AE96,0),IF(AI96="ok",AH96,0),IF(AL96="ok",AK96,0),IF(AO96="ok",AN96,0),IF(AR96="ok",AQ96,0)))," € / ",BB96,")",IF(BB96=INT(SUM(IF(K96="ok",J96,0),IF(N96="ok",M96,0),IF(Q96="ok",P96,0),IF(T96="ok",S96,0),IF(W96="ok",V96,0),IF(Z96="ok",Y96,0),IF(AC96="ok",AB96,0),IF(AF96="ok",AE96,0),IF(AI96="ok",AH96,0),IF(AL96="ok",AK96,0),IF(AO96="ok",AN96,0),IF(AR96="ok",AQ96,0))),"",CONCATENATE(" : manque ",BB96-INT(SUM(IF(K96="ok",J96,0),IF(N96="ok",M96,0),IF(Q96="ok",P96,0),IF(T96="ok",S96,0),IF(W96="ok",V96,0),IF(Z96="ok",Y96,0),IF(AC96="ok",AB96,0),IF(AF96="ok",AE96,0),IF(AI96="ok",AH96,0),IF(AL96="ok",AK96,0),IF(AO96="ok",AN96,0),IF(AR96="ok",AQ96,0)))," €"))))</f>
        <v/>
      </c>
      <c r="G97" s="359" t="s">
        <v>536</v>
      </c>
      <c r="H97" s="389"/>
      <c r="I97" s="327"/>
      <c r="J97" s="328"/>
      <c r="K97" s="329"/>
      <c r="L97" s="327"/>
      <c r="M97" s="328"/>
      <c r="N97" s="329"/>
      <c r="O97" s="327"/>
      <c r="P97" s="328"/>
      <c r="Q97" s="329"/>
      <c r="R97" s="327"/>
      <c r="S97" s="328"/>
      <c r="T97" s="329"/>
      <c r="U97" s="327"/>
      <c r="V97" s="328"/>
      <c r="W97" s="329"/>
      <c r="X97" s="327"/>
      <c r="Y97" s="328"/>
      <c r="Z97" s="329"/>
      <c r="AA97" s="327"/>
      <c r="AB97" s="328"/>
      <c r="AC97" s="329"/>
      <c r="AD97" s="327"/>
      <c r="AE97" s="328"/>
      <c r="AF97" s="329"/>
      <c r="AG97" s="327"/>
      <c r="AH97" s="328"/>
      <c r="AI97" s="329"/>
      <c r="AJ97" s="327"/>
      <c r="AK97" s="328"/>
      <c r="AL97" s="329"/>
      <c r="AM97" s="327"/>
      <c r="AN97" s="328"/>
      <c r="AO97" s="329"/>
      <c r="AP97" s="327"/>
      <c r="AQ97" s="328"/>
      <c r="AR97" s="329"/>
      <c r="AT97" s="366"/>
      <c r="AU97" s="366"/>
      <c r="AW97" s="203"/>
      <c r="AX97" s="96"/>
      <c r="AY97" s="464" t="s">
        <v>245</v>
      </c>
      <c r="AZ97" s="465"/>
      <c r="BA97" s="465"/>
      <c r="BB97" s="406">
        <f>SUM(MAX(I97,J97),MAX(L97,M97),MAX(O97,P97),MAX(R97,S97),MAX(U97,V97),MAX(X97,Y97),MAX(AA97,AB97),MAX(AD97,AE97),MAX(AG97,AH97),MAX(AJ97,AK97),MAX(AM97,AN97),MAX(AP97,AQ97))</f>
        <v>0</v>
      </c>
      <c r="BC97" s="389"/>
      <c r="BD97" s="487" t="s">
        <v>574</v>
      </c>
      <c r="BE97" s="96"/>
      <c r="BF97" s="96"/>
      <c r="BG97" s="96"/>
      <c r="BH97" s="203"/>
    </row>
    <row r="98" spans="2:60" ht="16">
      <c r="B98" s="163"/>
      <c r="D98" s="346"/>
      <c r="E98" s="501" t="s">
        <v>237</v>
      </c>
      <c r="F98" s="502"/>
      <c r="G98" s="503"/>
      <c r="H98" s="389"/>
      <c r="I98" s="467">
        <f>D98+IF(I96&gt;J96,I96,J96)-IF(J97&lt;I97,I97,J97)</f>
        <v>0</v>
      </c>
      <c r="J98" s="468"/>
      <c r="K98" s="219"/>
      <c r="L98" s="467">
        <f t="shared" ref="L98" si="260">I98+IF(L96&gt;M96,L96,M96)-IF(M97&lt;L97,L97,M97)</f>
        <v>0</v>
      </c>
      <c r="M98" s="468"/>
      <c r="N98" s="219"/>
      <c r="O98" s="467">
        <f t="shared" ref="O98" si="261">L98+IF(O96&gt;P96,O96,P96)-IF(P97&lt;O97,O97,P97)</f>
        <v>0</v>
      </c>
      <c r="P98" s="468"/>
      <c r="Q98" s="219"/>
      <c r="R98" s="467">
        <f t="shared" ref="R98" si="262">O98+IF(R96&gt;S96,R96,S96)-IF(S97&lt;R97,R97,S97)</f>
        <v>0</v>
      </c>
      <c r="S98" s="468"/>
      <c r="T98" s="219"/>
      <c r="U98" s="467">
        <f t="shared" ref="U98" si="263">R98+IF(U96&gt;V96,U96,V96)-IF(V97&lt;U97,U97,V97)</f>
        <v>0</v>
      </c>
      <c r="V98" s="468"/>
      <c r="W98" s="219"/>
      <c r="X98" s="467">
        <f t="shared" ref="X98" si="264">U98+IF(X96&gt;Y96,X96,Y96)-IF(Y97&lt;X97,X97,Y97)</f>
        <v>0</v>
      </c>
      <c r="Y98" s="468"/>
      <c r="Z98" s="219"/>
      <c r="AA98" s="467">
        <f t="shared" ref="AA98" si="265">X98+IF(AA96&gt;AB96,AA96,AB96)-IF(AB97&lt;AA97,AA97,AB97)</f>
        <v>0</v>
      </c>
      <c r="AB98" s="468"/>
      <c r="AC98" s="219"/>
      <c r="AD98" s="467">
        <f t="shared" ref="AD98" si="266">AA98+IF(AD96&gt;AE96,AD96,AE96)-IF(AE97&lt;AD97,AD97,AE97)</f>
        <v>0</v>
      </c>
      <c r="AE98" s="468"/>
      <c r="AF98" s="219"/>
      <c r="AG98" s="467">
        <f t="shared" ref="AG98" si="267">AD98+IF(AG96&gt;AH96,AG96,AH96)-IF(AH97&lt;AG97,AG97,AH97)</f>
        <v>0</v>
      </c>
      <c r="AH98" s="468"/>
      <c r="AI98" s="219"/>
      <c r="AJ98" s="467">
        <f t="shared" ref="AJ98" si="268">AG98+IF(AJ96&gt;AK96,AJ96,AK96)-IF(AK97&lt;AJ97,AJ97,AK97)</f>
        <v>0</v>
      </c>
      <c r="AK98" s="468"/>
      <c r="AL98" s="219"/>
      <c r="AM98" s="467">
        <f t="shared" ref="AM98" si="269">AJ98+IF(AM96&gt;AN96,AM96,AN96)-IF(AN97&lt;AM97,AM97,AN97)</f>
        <v>0</v>
      </c>
      <c r="AN98" s="468"/>
      <c r="AO98" s="219"/>
      <c r="AP98" s="467">
        <f t="shared" ref="AP98" si="270">AM98+IF(AP96&gt;AQ96,AP96,AQ96)-IF(AQ97&lt;AP97,AP97,AQ97)</f>
        <v>0</v>
      </c>
      <c r="AQ98" s="468"/>
      <c r="AR98" s="219"/>
      <c r="AT98" s="361">
        <f t="shared" ref="AT98" si="271">AP98+BB96</f>
        <v>0</v>
      </c>
      <c r="AU98" s="363">
        <f t="shared" ref="AU98" si="272">AP98+BB96*4</f>
        <v>0</v>
      </c>
      <c r="AW98" s="203"/>
      <c r="AX98" s="96"/>
      <c r="AY98" s="472" t="str">
        <f>IF(E98="","",E98)</f>
        <v>- compte d'épargne à saisir -</v>
      </c>
      <c r="AZ98" s="473"/>
      <c r="BA98" s="474"/>
      <c r="BB98" s="407">
        <f>AP98</f>
        <v>0</v>
      </c>
      <c r="BC98" s="389"/>
      <c r="BD98" s="711"/>
      <c r="BE98" s="96"/>
      <c r="BF98" s="96"/>
      <c r="BG98" s="96"/>
      <c r="BH98" s="203"/>
    </row>
    <row r="99" spans="2:60" ht="16">
      <c r="B99" s="163"/>
      <c r="D99" s="345">
        <f>1+D96</f>
        <v>16</v>
      </c>
      <c r="E99" s="507" t="s">
        <v>569</v>
      </c>
      <c r="F99" s="508"/>
      <c r="G99" s="509"/>
      <c r="H99" s="389"/>
      <c r="I99" s="324"/>
      <c r="J99" s="325"/>
      <c r="K99" s="326"/>
      <c r="L99" s="324"/>
      <c r="M99" s="325"/>
      <c r="N99" s="326"/>
      <c r="O99" s="324"/>
      <c r="P99" s="325"/>
      <c r="Q99" s="326"/>
      <c r="R99" s="324"/>
      <c r="S99" s="325"/>
      <c r="T99" s="326"/>
      <c r="U99" s="324"/>
      <c r="V99" s="325"/>
      <c r="W99" s="326"/>
      <c r="X99" s="324"/>
      <c r="Y99" s="325"/>
      <c r="Z99" s="326"/>
      <c r="AA99" s="324"/>
      <c r="AB99" s="325"/>
      <c r="AC99" s="326"/>
      <c r="AD99" s="324"/>
      <c r="AE99" s="325"/>
      <c r="AF99" s="326"/>
      <c r="AG99" s="324"/>
      <c r="AH99" s="325"/>
      <c r="AI99" s="326"/>
      <c r="AJ99" s="324"/>
      <c r="AK99" s="325"/>
      <c r="AL99" s="326"/>
      <c r="AM99" s="324"/>
      <c r="AN99" s="325"/>
      <c r="AO99" s="326"/>
      <c r="AP99" s="324"/>
      <c r="AQ99" s="325"/>
      <c r="AR99" s="326"/>
      <c r="AT99" s="367" t="str">
        <f>CONCATENATE("Moy. de ",INT(BB99/12)," €/mois")</f>
        <v>Moy. de 0 €/mois</v>
      </c>
      <c r="AU99" s="367" t="str">
        <f t="shared" ref="AU99" si="273">CONCATENATE("Moy. de ",INT(BB99/12)," €/mois")</f>
        <v>Moy. de 0 €/mois</v>
      </c>
      <c r="AW99" s="203"/>
      <c r="AX99" s="96"/>
      <c r="AY99" s="461" t="str">
        <f>IF(E99="","",E99)</f>
        <v>Indiquer le nom du projet à financer</v>
      </c>
      <c r="AZ99" s="462"/>
      <c r="BA99" s="463"/>
      <c r="BB99" s="404">
        <f>SUM(MAX(I99,J99),MAX(L99,M99),MAX(O99,P99),MAX(R99,S99),MAX(U99,V99),MAX(X99,Y99),MAX(AA99,AB99),MAX(AD99,AE99),MAX(AG99,AH99),MAX(AJ99,AK99),MAX(AM99,AN99),MAX(AP99,AQ99))</f>
        <v>0</v>
      </c>
      <c r="BC99" s="389"/>
      <c r="BD99" s="405">
        <f t="shared" ref="BD99" si="274">BB99/12</f>
        <v>0</v>
      </c>
      <c r="BE99" s="96"/>
      <c r="BF99" s="96"/>
      <c r="BG99" s="96"/>
      <c r="BH99" s="203"/>
    </row>
    <row r="100" spans="2:60" ht="14">
      <c r="B100" s="163"/>
      <c r="D100" s="365" t="s">
        <v>542</v>
      </c>
      <c r="E100" s="436" t="str">
        <f>IF(BB99=0,"",INT(SUM(IF(K99="ok",J99,0),IF(N99="ok",M99,0),IF(Q99="ok",P99,0),IF(T99="ok",S99,0),IF(W99="ok",V99,0),IF(Z99="ok",Y99,0),IF(AC99="ok",AB99,0),IF(AF99="ok",AE99,0),IF(AI99="ok",AH99,0),IF(AL99="ok",AK99,0),IF(AO99="ok",AN99,0),IF(AR99="ok",AQ99,0))*100/BB99)/100)</f>
        <v/>
      </c>
      <c r="F100" s="375" t="str">
        <f>IF(BB99=0,"",CONCATENATE("de l'objectif annuel atteint ","(",INT(SUM(IF(K99="ok",J99,0),IF(N99="ok",M99,0),IF(Q99="ok",P99,0),IF(T99="ok",S99,0),IF(W99="ok",V99,0),IF(Z99="ok",Y99,0),IF(AC99="ok",AB99,0),IF(AF99="ok",AE99,0),IF(AI99="ok",AH99,0),IF(AL99="ok",AK99,0),IF(AO99="ok",AN99,0),IF(AR99="ok",AQ99,0)))," € / ",BB99,")",IF(BB99=INT(SUM(IF(K99="ok",J99,0),IF(N99="ok",M99,0),IF(Q99="ok",P99,0),IF(T99="ok",S99,0),IF(W99="ok",V99,0),IF(Z99="ok",Y99,0),IF(AC99="ok",AB99,0),IF(AF99="ok",AE99,0),IF(AI99="ok",AH99,0),IF(AL99="ok",AK99,0),IF(AO99="ok",AN99,0),IF(AR99="ok",AQ99,0))),"",CONCATENATE(" : manque ",BB99-INT(SUM(IF(K99="ok",J99,0),IF(N99="ok",M99,0),IF(Q99="ok",P99,0),IF(T99="ok",S99,0),IF(W99="ok",V99,0),IF(Z99="ok",Y99,0),IF(AC99="ok",AB99,0),IF(AF99="ok",AE99,0),IF(AI99="ok",AH99,0),IF(AL99="ok",AK99,0),IF(AO99="ok",AN99,0),IF(AR99="ok",AQ99,0)))," €"))))</f>
        <v/>
      </c>
      <c r="G100" s="359" t="s">
        <v>536</v>
      </c>
      <c r="H100" s="389"/>
      <c r="I100" s="327"/>
      <c r="J100" s="328"/>
      <c r="K100" s="329"/>
      <c r="L100" s="327"/>
      <c r="M100" s="328"/>
      <c r="N100" s="329"/>
      <c r="O100" s="327"/>
      <c r="P100" s="328"/>
      <c r="Q100" s="329"/>
      <c r="R100" s="327"/>
      <c r="S100" s="328"/>
      <c r="T100" s="329"/>
      <c r="U100" s="327"/>
      <c r="V100" s="328"/>
      <c r="W100" s="329"/>
      <c r="X100" s="327"/>
      <c r="Y100" s="328"/>
      <c r="Z100" s="329"/>
      <c r="AA100" s="327"/>
      <c r="AB100" s="328"/>
      <c r="AC100" s="329"/>
      <c r="AD100" s="327"/>
      <c r="AE100" s="328"/>
      <c r="AF100" s="329"/>
      <c r="AG100" s="327"/>
      <c r="AH100" s="328"/>
      <c r="AI100" s="329"/>
      <c r="AJ100" s="327"/>
      <c r="AK100" s="328"/>
      <c r="AL100" s="329"/>
      <c r="AM100" s="327"/>
      <c r="AN100" s="328"/>
      <c r="AO100" s="329"/>
      <c r="AP100" s="327"/>
      <c r="AQ100" s="328"/>
      <c r="AR100" s="329"/>
      <c r="AT100" s="366"/>
      <c r="AU100" s="366"/>
      <c r="AW100" s="203"/>
      <c r="AX100" s="96"/>
      <c r="AY100" s="464" t="s">
        <v>245</v>
      </c>
      <c r="AZ100" s="465"/>
      <c r="BA100" s="465"/>
      <c r="BB100" s="406">
        <f>SUM(MAX(I100,J100),MAX(L100,M100),MAX(O100,P100),MAX(R100,S100),MAX(U100,V100),MAX(X100,Y100),MAX(AA100,AB100),MAX(AD100,AE100),MAX(AG100,AH100),MAX(AJ100,AK100),MAX(AM100,AN100),MAX(AP100,AQ100))</f>
        <v>0</v>
      </c>
      <c r="BC100" s="389"/>
      <c r="BD100" s="487" t="s">
        <v>574</v>
      </c>
      <c r="BE100" s="96"/>
      <c r="BF100" s="96"/>
      <c r="BG100" s="96"/>
      <c r="BH100" s="203"/>
    </row>
    <row r="101" spans="2:60" ht="16">
      <c r="B101" s="163"/>
      <c r="D101" s="346"/>
      <c r="E101" s="501" t="s">
        <v>237</v>
      </c>
      <c r="F101" s="502"/>
      <c r="G101" s="503"/>
      <c r="H101" s="390"/>
      <c r="I101" s="467">
        <f>D101+IF(I99&gt;J99,I99,J99)-IF(J100&lt;I100,I100,J100)</f>
        <v>0</v>
      </c>
      <c r="J101" s="468"/>
      <c r="K101" s="219"/>
      <c r="L101" s="467">
        <f t="shared" ref="L101" si="275">I101+IF(L99&gt;M99,L99,M99)-IF(M100&lt;L100,L100,M100)</f>
        <v>0</v>
      </c>
      <c r="M101" s="468"/>
      <c r="N101" s="219"/>
      <c r="O101" s="467">
        <f t="shared" ref="O101" si="276">L101+IF(O99&gt;P99,O99,P99)-IF(P100&lt;O100,O100,P100)</f>
        <v>0</v>
      </c>
      <c r="P101" s="468"/>
      <c r="Q101" s="219"/>
      <c r="R101" s="467">
        <f t="shared" ref="R101" si="277">O101+IF(R99&gt;S99,R99,S99)-IF(S100&lt;R100,R100,S100)</f>
        <v>0</v>
      </c>
      <c r="S101" s="468"/>
      <c r="T101" s="219"/>
      <c r="U101" s="467">
        <f t="shared" ref="U101" si="278">R101+IF(U99&gt;V99,U99,V99)-IF(V100&lt;U100,U100,V100)</f>
        <v>0</v>
      </c>
      <c r="V101" s="468"/>
      <c r="W101" s="219"/>
      <c r="X101" s="467">
        <f t="shared" ref="X101" si="279">U101+IF(X99&gt;Y99,X99,Y99)-IF(Y100&lt;X100,X100,Y100)</f>
        <v>0</v>
      </c>
      <c r="Y101" s="468"/>
      <c r="Z101" s="219"/>
      <c r="AA101" s="467">
        <f t="shared" ref="AA101" si="280">X101+IF(AA99&gt;AB99,AA99,AB99)-IF(AB100&lt;AA100,AA100,AB100)</f>
        <v>0</v>
      </c>
      <c r="AB101" s="468"/>
      <c r="AC101" s="219"/>
      <c r="AD101" s="467">
        <f t="shared" ref="AD101" si="281">AA101+IF(AD99&gt;AE99,AD99,AE99)-IF(AE100&lt;AD100,AD100,AE100)</f>
        <v>0</v>
      </c>
      <c r="AE101" s="468"/>
      <c r="AF101" s="219"/>
      <c r="AG101" s="467">
        <f t="shared" ref="AG101" si="282">AD101+IF(AG99&gt;AH99,AG99,AH99)-IF(AH100&lt;AG100,AG100,AH100)</f>
        <v>0</v>
      </c>
      <c r="AH101" s="468"/>
      <c r="AI101" s="219"/>
      <c r="AJ101" s="467">
        <f t="shared" ref="AJ101" si="283">AG101+IF(AJ99&gt;AK99,AJ99,AK99)-IF(AK100&lt;AJ100,AJ100,AK100)</f>
        <v>0</v>
      </c>
      <c r="AK101" s="468"/>
      <c r="AL101" s="219"/>
      <c r="AM101" s="467">
        <f t="shared" ref="AM101" si="284">AJ101+IF(AM99&gt;AN99,AM99,AN99)-IF(AN100&lt;AM100,AM100,AN100)</f>
        <v>0</v>
      </c>
      <c r="AN101" s="468"/>
      <c r="AO101" s="219"/>
      <c r="AP101" s="467">
        <f t="shared" ref="AP101" si="285">AM101+IF(AP99&gt;AQ99,AP99,AQ99)-IF(AQ100&lt;AP100,AP100,AQ100)</f>
        <v>0</v>
      </c>
      <c r="AQ101" s="468"/>
      <c r="AR101" s="219"/>
      <c r="AT101" s="361">
        <f t="shared" ref="AT101" si="286">AP101+BB99</f>
        <v>0</v>
      </c>
      <c r="AU101" s="363">
        <f t="shared" ref="AU101" si="287">AP101+BB99*4</f>
        <v>0</v>
      </c>
      <c r="AW101" s="203"/>
      <c r="AX101" s="96"/>
      <c r="AY101" s="472" t="str">
        <f>IF(E101="","",E101)</f>
        <v>- compte d'épargne à saisir -</v>
      </c>
      <c r="AZ101" s="473"/>
      <c r="BA101" s="474"/>
      <c r="BB101" s="407">
        <f>AP101</f>
        <v>0</v>
      </c>
      <c r="BC101" s="389"/>
      <c r="BD101" s="711"/>
      <c r="BE101" s="96"/>
      <c r="BF101" s="96"/>
      <c r="BG101" s="96"/>
      <c r="BH101" s="203"/>
    </row>
    <row r="102" spans="2:60" ht="16">
      <c r="B102" s="163"/>
      <c r="D102" s="345">
        <f>1+D99</f>
        <v>17</v>
      </c>
      <c r="E102" s="507" t="s">
        <v>569</v>
      </c>
      <c r="F102" s="508"/>
      <c r="G102" s="509"/>
      <c r="H102" s="389"/>
      <c r="I102" s="324"/>
      <c r="J102" s="325"/>
      <c r="K102" s="326"/>
      <c r="L102" s="324"/>
      <c r="M102" s="325"/>
      <c r="N102" s="326"/>
      <c r="O102" s="324"/>
      <c r="P102" s="325"/>
      <c r="Q102" s="326"/>
      <c r="R102" s="324"/>
      <c r="S102" s="325"/>
      <c r="T102" s="326"/>
      <c r="U102" s="324"/>
      <c r="V102" s="325"/>
      <c r="W102" s="326"/>
      <c r="X102" s="324"/>
      <c r="Y102" s="325"/>
      <c r="Z102" s="326"/>
      <c r="AA102" s="324"/>
      <c r="AB102" s="325"/>
      <c r="AC102" s="326"/>
      <c r="AD102" s="324"/>
      <c r="AE102" s="325"/>
      <c r="AF102" s="326"/>
      <c r="AG102" s="324"/>
      <c r="AH102" s="325"/>
      <c r="AI102" s="326"/>
      <c r="AJ102" s="324"/>
      <c r="AK102" s="325"/>
      <c r="AL102" s="326"/>
      <c r="AM102" s="324"/>
      <c r="AN102" s="325"/>
      <c r="AO102" s="326"/>
      <c r="AP102" s="324"/>
      <c r="AQ102" s="325"/>
      <c r="AR102" s="326"/>
      <c r="AT102" s="367" t="str">
        <f t="shared" ref="AT102" si="288">CONCATENATE("Moy. de ",INT(BB102/12)," €/mois")</f>
        <v>Moy. de 0 €/mois</v>
      </c>
      <c r="AU102" s="367" t="str">
        <f t="shared" ref="AU102" si="289">CONCATENATE("Moy. de ",INT(BB102/12)," €/mois")</f>
        <v>Moy. de 0 €/mois</v>
      </c>
      <c r="AW102" s="203"/>
      <c r="AX102" s="96"/>
      <c r="AY102" s="461" t="str">
        <f>IF(E102="","",E102)</f>
        <v>Indiquer le nom du projet à financer</v>
      </c>
      <c r="AZ102" s="462"/>
      <c r="BA102" s="463"/>
      <c r="BB102" s="217">
        <f>SUM(MAX(I102,J102),MAX(L102,M102),MAX(O102,P102),MAX(R102,S102),MAX(U102,V102),MAX(X102,Y102),MAX(AA102,AB102),MAX(AD102,AE102),MAX(AG102,AH102),MAX(AJ102,AK102),MAX(AM102,AN102),MAX(AP102,AQ102))</f>
        <v>0</v>
      </c>
      <c r="BC102" s="389"/>
      <c r="BD102" s="405">
        <f t="shared" ref="BD102" si="290">BB102/12</f>
        <v>0</v>
      </c>
      <c r="BE102" s="96"/>
      <c r="BF102" s="96"/>
      <c r="BG102" s="96"/>
      <c r="BH102" s="203"/>
    </row>
    <row r="103" spans="2:60" ht="14">
      <c r="B103" s="163"/>
      <c r="D103" s="365" t="s">
        <v>542</v>
      </c>
      <c r="E103" s="436" t="str">
        <f>IF(BB102=0,"",INT(SUM(IF(K102="ok",J102,0),IF(N102="ok",M102,0),IF(Q102="ok",P102,0),IF(T102="ok",S102,0),IF(W102="ok",V102,0),IF(Z102="ok",Y102,0),IF(AC102="ok",AB102,0),IF(AF102="ok",AE102,0),IF(AI102="ok",AH102,0),IF(AL102="ok",AK102,0),IF(AO102="ok",AN102,0),IF(AR102="ok",AQ102,0))*100/BB102)/100)</f>
        <v/>
      </c>
      <c r="F103" s="375" t="str">
        <f>IF(BB102=0,"",CONCATENATE("de l'objectif annuel atteint ","(",INT(SUM(IF(K102="ok",J102,0),IF(N102="ok",M102,0),IF(Q102="ok",P102,0),IF(T102="ok",S102,0),IF(W102="ok",V102,0),IF(Z102="ok",Y102,0),IF(AC102="ok",AB102,0),IF(AF102="ok",AE102,0),IF(AI102="ok",AH102,0),IF(AL102="ok",AK102,0),IF(AO102="ok",AN102,0),IF(AR102="ok",AQ102,0)))," € / ",BB102,")",IF(BB102=INT(SUM(IF(K102="ok",J102,0),IF(N102="ok",M102,0),IF(Q102="ok",P102,0),IF(T102="ok",S102,0),IF(W102="ok",V102,0),IF(Z102="ok",Y102,0),IF(AC102="ok",AB102,0),IF(AF102="ok",AE102,0),IF(AI102="ok",AH102,0),IF(AL102="ok",AK102,0),IF(AO102="ok",AN102,0),IF(AR102="ok",AQ102,0))),"",CONCATENATE(" : manque ",BB102-INT(SUM(IF(K102="ok",J102,0),IF(N102="ok",M102,0),IF(Q102="ok",P102,0),IF(T102="ok",S102,0),IF(W102="ok",V102,0),IF(Z102="ok",Y102,0),IF(AC102="ok",AB102,0),IF(AF102="ok",AE102,0),IF(AI102="ok",AH102,0),IF(AL102="ok",AK102,0),IF(AO102="ok",AN102,0),IF(AR102="ok",AQ102,0)))," €"))))</f>
        <v/>
      </c>
      <c r="G103" s="359" t="s">
        <v>536</v>
      </c>
      <c r="H103" s="389"/>
      <c r="I103" s="327"/>
      <c r="J103" s="328"/>
      <c r="K103" s="329"/>
      <c r="L103" s="327"/>
      <c r="M103" s="328"/>
      <c r="N103" s="329"/>
      <c r="O103" s="327"/>
      <c r="P103" s="328"/>
      <c r="Q103" s="329"/>
      <c r="R103" s="327"/>
      <c r="S103" s="328"/>
      <c r="T103" s="329"/>
      <c r="U103" s="327"/>
      <c r="V103" s="328"/>
      <c r="W103" s="329"/>
      <c r="X103" s="327"/>
      <c r="Y103" s="328"/>
      <c r="Z103" s="329"/>
      <c r="AA103" s="327"/>
      <c r="AB103" s="328"/>
      <c r="AC103" s="329"/>
      <c r="AD103" s="327"/>
      <c r="AE103" s="328"/>
      <c r="AF103" s="329"/>
      <c r="AG103" s="327"/>
      <c r="AH103" s="328"/>
      <c r="AI103" s="329"/>
      <c r="AJ103" s="327"/>
      <c r="AK103" s="328"/>
      <c r="AL103" s="329"/>
      <c r="AM103" s="327"/>
      <c r="AN103" s="328"/>
      <c r="AO103" s="329"/>
      <c r="AP103" s="327"/>
      <c r="AQ103" s="328"/>
      <c r="AR103" s="329"/>
      <c r="AT103" s="366"/>
      <c r="AU103" s="366"/>
      <c r="AW103" s="203"/>
      <c r="AX103" s="96"/>
      <c r="AY103" s="464" t="s">
        <v>245</v>
      </c>
      <c r="AZ103" s="465"/>
      <c r="BA103" s="465"/>
      <c r="BB103" s="218">
        <f>SUM(MAX(I103,J103),MAX(L103,M103),MAX(O103,P103),MAX(R103,S103),MAX(U103,V103),MAX(X103,Y103),MAX(AA103,AB103),MAX(AD103,AE103),MAX(AG103,AH103),MAX(AJ103,AK103),MAX(AM103,AN103),MAX(AP103,AQ103))</f>
        <v>0</v>
      </c>
      <c r="BC103" s="389"/>
      <c r="BD103" s="487" t="s">
        <v>574</v>
      </c>
      <c r="BE103" s="96"/>
      <c r="BF103" s="96"/>
      <c r="BG103" s="96"/>
      <c r="BH103" s="203"/>
    </row>
    <row r="104" spans="2:60" ht="16">
      <c r="B104" s="163"/>
      <c r="D104" s="346"/>
      <c r="E104" s="501" t="s">
        <v>237</v>
      </c>
      <c r="F104" s="502"/>
      <c r="G104" s="503"/>
      <c r="H104" s="389"/>
      <c r="I104" s="467">
        <f>D104+IF(I102&gt;J102,I102,J102)-IF(J103&lt;I103,I103,J103)</f>
        <v>0</v>
      </c>
      <c r="J104" s="468"/>
      <c r="K104" s="219"/>
      <c r="L104" s="467">
        <f t="shared" ref="L104" si="291">I104+IF(L102&gt;M102,L102,M102)-IF(M103&lt;L103,L103,M103)</f>
        <v>0</v>
      </c>
      <c r="M104" s="468"/>
      <c r="N104" s="219"/>
      <c r="O104" s="467">
        <f t="shared" ref="O104" si="292">L104+IF(O102&gt;P102,O102,P102)-IF(P103&lt;O103,O103,P103)</f>
        <v>0</v>
      </c>
      <c r="P104" s="468"/>
      <c r="Q104" s="219"/>
      <c r="R104" s="467">
        <f t="shared" ref="R104" si="293">O104+IF(R102&gt;S102,R102,S102)-IF(S103&lt;R103,R103,S103)</f>
        <v>0</v>
      </c>
      <c r="S104" s="468"/>
      <c r="T104" s="219"/>
      <c r="U104" s="467">
        <f t="shared" ref="U104" si="294">R104+IF(U102&gt;V102,U102,V102)-IF(V103&lt;U103,U103,V103)</f>
        <v>0</v>
      </c>
      <c r="V104" s="468"/>
      <c r="W104" s="219"/>
      <c r="X104" s="467">
        <f t="shared" ref="X104" si="295">U104+IF(X102&gt;Y102,X102,Y102)-IF(Y103&lt;X103,X103,Y103)</f>
        <v>0</v>
      </c>
      <c r="Y104" s="468"/>
      <c r="Z104" s="219"/>
      <c r="AA104" s="467">
        <f t="shared" ref="AA104" si="296">X104+IF(AA102&gt;AB102,AA102,AB102)-IF(AB103&lt;AA103,AA103,AB103)</f>
        <v>0</v>
      </c>
      <c r="AB104" s="468"/>
      <c r="AC104" s="219"/>
      <c r="AD104" s="467">
        <f t="shared" ref="AD104" si="297">AA104+IF(AD102&gt;AE102,AD102,AE102)-IF(AE103&lt;AD103,AD103,AE103)</f>
        <v>0</v>
      </c>
      <c r="AE104" s="468"/>
      <c r="AF104" s="219"/>
      <c r="AG104" s="467">
        <f t="shared" ref="AG104" si="298">AD104+IF(AG102&gt;AH102,AG102,AH102)-IF(AH103&lt;AG103,AG103,AH103)</f>
        <v>0</v>
      </c>
      <c r="AH104" s="468"/>
      <c r="AI104" s="219"/>
      <c r="AJ104" s="467">
        <f t="shared" ref="AJ104" si="299">AG104+IF(AJ102&gt;AK102,AJ102,AK102)-IF(AK103&lt;AJ103,AJ103,AK103)</f>
        <v>0</v>
      </c>
      <c r="AK104" s="468"/>
      <c r="AL104" s="219"/>
      <c r="AM104" s="467">
        <f t="shared" ref="AM104" si="300">AJ104+IF(AM102&gt;AN102,AM102,AN102)-IF(AN103&lt;AM103,AM103,AN103)</f>
        <v>0</v>
      </c>
      <c r="AN104" s="468"/>
      <c r="AO104" s="219"/>
      <c r="AP104" s="467">
        <f t="shared" ref="AP104" si="301">AM104+IF(AP102&gt;AQ102,AP102,AQ102)-IF(AQ103&lt;AP103,AP103,AQ103)</f>
        <v>0</v>
      </c>
      <c r="AQ104" s="468"/>
      <c r="AR104" s="219"/>
      <c r="AT104" s="361">
        <f t="shared" ref="AT104" si="302">AP104+BB102</f>
        <v>0</v>
      </c>
      <c r="AU104" s="363">
        <f t="shared" ref="AU104" si="303">AP104+BB102*4</f>
        <v>0</v>
      </c>
      <c r="AW104" s="203"/>
      <c r="AX104" s="96"/>
      <c r="AY104" s="472" t="str">
        <f>IF(E104="","",E104)</f>
        <v>- compte d'épargne à saisir -</v>
      </c>
      <c r="AZ104" s="473"/>
      <c r="BA104" s="474"/>
      <c r="BB104" s="220">
        <f>AP104</f>
        <v>0</v>
      </c>
      <c r="BC104" s="389"/>
      <c r="BD104" s="711"/>
      <c r="BE104" s="96"/>
      <c r="BF104" s="96"/>
      <c r="BG104" s="96"/>
      <c r="BH104" s="203"/>
    </row>
    <row r="105" spans="2:60" ht="16">
      <c r="B105" s="163"/>
      <c r="D105" s="345">
        <f>1+D102</f>
        <v>18</v>
      </c>
      <c r="E105" s="507" t="s">
        <v>569</v>
      </c>
      <c r="F105" s="508"/>
      <c r="G105" s="509"/>
      <c r="H105" s="389"/>
      <c r="I105" s="324"/>
      <c r="J105" s="325"/>
      <c r="K105" s="326"/>
      <c r="L105" s="324"/>
      <c r="M105" s="325"/>
      <c r="N105" s="326"/>
      <c r="O105" s="324"/>
      <c r="P105" s="325"/>
      <c r="Q105" s="326"/>
      <c r="R105" s="324"/>
      <c r="S105" s="325"/>
      <c r="T105" s="326"/>
      <c r="U105" s="324"/>
      <c r="V105" s="325"/>
      <c r="W105" s="326"/>
      <c r="X105" s="324"/>
      <c r="Y105" s="325"/>
      <c r="Z105" s="326"/>
      <c r="AA105" s="324"/>
      <c r="AB105" s="325"/>
      <c r="AC105" s="326"/>
      <c r="AD105" s="324"/>
      <c r="AE105" s="325"/>
      <c r="AF105" s="326"/>
      <c r="AG105" s="324"/>
      <c r="AH105" s="325"/>
      <c r="AI105" s="326"/>
      <c r="AJ105" s="324"/>
      <c r="AK105" s="325"/>
      <c r="AL105" s="326"/>
      <c r="AM105" s="324"/>
      <c r="AN105" s="325"/>
      <c r="AO105" s="326"/>
      <c r="AP105" s="324"/>
      <c r="AQ105" s="325"/>
      <c r="AR105" s="326"/>
      <c r="AT105" s="367" t="str">
        <f>CONCATENATE("Moy. de ",INT(BB105/12)," €/mois")</f>
        <v>Moy. de 0 €/mois</v>
      </c>
      <c r="AU105" s="367" t="str">
        <f t="shared" ref="AU105" si="304">CONCATENATE("Moy. de ",INT(BB105/12)," €/mois")</f>
        <v>Moy. de 0 €/mois</v>
      </c>
      <c r="AW105" s="203"/>
      <c r="AX105" s="96"/>
      <c r="AY105" s="461" t="str">
        <f>IF(E105="","",E105)</f>
        <v>Indiquer le nom du projet à financer</v>
      </c>
      <c r="AZ105" s="462"/>
      <c r="BA105" s="463"/>
      <c r="BB105" s="217">
        <f>SUM(MAX(I105,J105),MAX(L105,M105),MAX(O105,P105),MAX(R105,S105),MAX(U105,V105),MAX(X105,Y105),MAX(AA105,AB105),MAX(AD105,AE105),MAX(AG105,AH105),MAX(AJ105,AK105),MAX(AM105,AN105),MAX(AP105,AQ105))</f>
        <v>0</v>
      </c>
      <c r="BC105" s="389"/>
      <c r="BD105" s="405">
        <f t="shared" ref="BD105" si="305">BB105/12</f>
        <v>0</v>
      </c>
      <c r="BE105" s="96"/>
      <c r="BF105" s="96"/>
      <c r="BG105" s="96"/>
      <c r="BH105" s="203"/>
    </row>
    <row r="106" spans="2:60" ht="14">
      <c r="B106" s="163"/>
      <c r="D106" s="365" t="s">
        <v>542</v>
      </c>
      <c r="E106" s="436" t="str">
        <f>IF(BB105=0,"",INT(SUM(IF(K105="ok",J105,0),IF(N105="ok",M105,0),IF(Q105="ok",P105,0),IF(T105="ok",S105,0),IF(W105="ok",V105,0),IF(Z105="ok",Y105,0),IF(AC105="ok",AB105,0),IF(AF105="ok",AE105,0),IF(AI105="ok",AH105,0),IF(AL105="ok",AK105,0),IF(AO105="ok",AN105,0),IF(AR105="ok",AQ105,0))*100/BB105)/100)</f>
        <v/>
      </c>
      <c r="F106" s="375" t="str">
        <f>IF(BB105=0,"",CONCATENATE("de l'objectif annuel atteint ","(",INT(SUM(IF(K105="ok",J105,0),IF(N105="ok",M105,0),IF(Q105="ok",P105,0),IF(T105="ok",S105,0),IF(W105="ok",V105,0),IF(Z105="ok",Y105,0),IF(AC105="ok",AB105,0),IF(AF105="ok",AE105,0),IF(AI105="ok",AH105,0),IF(AL105="ok",AK105,0),IF(AO105="ok",AN105,0),IF(AR105="ok",AQ105,0)))," € / ",BB105,")",IF(BB105=INT(SUM(IF(K105="ok",J105,0),IF(N105="ok",M105,0),IF(Q105="ok",P105,0),IF(T105="ok",S105,0),IF(W105="ok",V105,0),IF(Z105="ok",Y105,0),IF(AC105="ok",AB105,0),IF(AF105="ok",AE105,0),IF(AI105="ok",AH105,0),IF(AL105="ok",AK105,0),IF(AO105="ok",AN105,0),IF(AR105="ok",AQ105,0))),"",CONCATENATE(" : manque ",BB105-INT(SUM(IF(K105="ok",J105,0),IF(N105="ok",M105,0),IF(Q105="ok",P105,0),IF(T105="ok",S105,0),IF(W105="ok",V105,0),IF(Z105="ok",Y105,0),IF(AC105="ok",AB105,0),IF(AF105="ok",AE105,0),IF(AI105="ok",AH105,0),IF(AL105="ok",AK105,0),IF(AO105="ok",AN105,0),IF(AR105="ok",AQ105,0)))," €"))))</f>
        <v/>
      </c>
      <c r="G106" s="359" t="s">
        <v>536</v>
      </c>
      <c r="H106" s="389"/>
      <c r="I106" s="327"/>
      <c r="J106" s="328"/>
      <c r="K106" s="329"/>
      <c r="L106" s="327"/>
      <c r="M106" s="328"/>
      <c r="N106" s="329"/>
      <c r="O106" s="327"/>
      <c r="P106" s="328"/>
      <c r="Q106" s="329"/>
      <c r="R106" s="327"/>
      <c r="S106" s="328"/>
      <c r="T106" s="329"/>
      <c r="U106" s="327"/>
      <c r="V106" s="328"/>
      <c r="W106" s="329"/>
      <c r="X106" s="327"/>
      <c r="Y106" s="328"/>
      <c r="Z106" s="329"/>
      <c r="AA106" s="327"/>
      <c r="AB106" s="328"/>
      <c r="AC106" s="329"/>
      <c r="AD106" s="327"/>
      <c r="AE106" s="328"/>
      <c r="AF106" s="329"/>
      <c r="AG106" s="327"/>
      <c r="AH106" s="328"/>
      <c r="AI106" s="329"/>
      <c r="AJ106" s="327"/>
      <c r="AK106" s="328"/>
      <c r="AL106" s="329"/>
      <c r="AM106" s="327"/>
      <c r="AN106" s="328"/>
      <c r="AO106" s="329"/>
      <c r="AP106" s="327"/>
      <c r="AQ106" s="328"/>
      <c r="AR106" s="329"/>
      <c r="AT106" s="366"/>
      <c r="AU106" s="366"/>
      <c r="AW106" s="203"/>
      <c r="AX106" s="96"/>
      <c r="AY106" s="464" t="s">
        <v>245</v>
      </c>
      <c r="AZ106" s="465"/>
      <c r="BA106" s="465"/>
      <c r="BB106" s="218">
        <f>SUM(MAX(I106,J106),MAX(L106,M106),MAX(O106,P106),MAX(R106,S106),MAX(U106,V106),MAX(X106,Y106),MAX(AA106,AB106),MAX(AD106,AE106),MAX(AG106,AH106),MAX(AJ106,AK106),MAX(AM106,AN106),MAX(AP106,AQ106))</f>
        <v>0</v>
      </c>
      <c r="BC106" s="389"/>
      <c r="BD106" s="487" t="s">
        <v>574</v>
      </c>
      <c r="BE106" s="96"/>
      <c r="BF106" s="96"/>
      <c r="BG106" s="96"/>
      <c r="BH106" s="203"/>
    </row>
    <row r="107" spans="2:60" ht="16">
      <c r="B107" s="163"/>
      <c r="D107" s="346"/>
      <c r="E107" s="501" t="s">
        <v>237</v>
      </c>
      <c r="F107" s="502"/>
      <c r="G107" s="503"/>
      <c r="H107" s="389"/>
      <c r="I107" s="467">
        <f>D107+IF(I105&gt;J105,I105,J105)-IF(J106&lt;I106,I106,J106)</f>
        <v>0</v>
      </c>
      <c r="J107" s="468"/>
      <c r="K107" s="219"/>
      <c r="L107" s="467">
        <f t="shared" ref="L107" si="306">I107+IF(L105&gt;M105,L105,M105)-IF(M106&lt;L106,L106,M106)</f>
        <v>0</v>
      </c>
      <c r="M107" s="468"/>
      <c r="N107" s="219"/>
      <c r="O107" s="467">
        <f t="shared" ref="O107" si="307">L107+IF(O105&gt;P105,O105,P105)-IF(P106&lt;O106,O106,P106)</f>
        <v>0</v>
      </c>
      <c r="P107" s="468"/>
      <c r="Q107" s="219"/>
      <c r="R107" s="467">
        <f t="shared" ref="R107" si="308">O107+IF(R105&gt;S105,R105,S105)-IF(S106&lt;R106,R106,S106)</f>
        <v>0</v>
      </c>
      <c r="S107" s="468"/>
      <c r="T107" s="219"/>
      <c r="U107" s="467">
        <f t="shared" ref="U107" si="309">R107+IF(U105&gt;V105,U105,V105)-IF(V106&lt;U106,U106,V106)</f>
        <v>0</v>
      </c>
      <c r="V107" s="468"/>
      <c r="W107" s="219"/>
      <c r="X107" s="467">
        <f t="shared" ref="X107" si="310">U107+IF(X105&gt;Y105,X105,Y105)-IF(Y106&lt;X106,X106,Y106)</f>
        <v>0</v>
      </c>
      <c r="Y107" s="468"/>
      <c r="Z107" s="219"/>
      <c r="AA107" s="467">
        <f t="shared" ref="AA107" si="311">X107+IF(AA105&gt;AB105,AA105,AB105)-IF(AB106&lt;AA106,AA106,AB106)</f>
        <v>0</v>
      </c>
      <c r="AB107" s="468"/>
      <c r="AC107" s="219"/>
      <c r="AD107" s="467">
        <f t="shared" ref="AD107" si="312">AA107+IF(AD105&gt;AE105,AD105,AE105)-IF(AE106&lt;AD106,AD106,AE106)</f>
        <v>0</v>
      </c>
      <c r="AE107" s="468"/>
      <c r="AF107" s="219"/>
      <c r="AG107" s="467">
        <f t="shared" ref="AG107" si="313">AD107+IF(AG105&gt;AH105,AG105,AH105)-IF(AH106&lt;AG106,AG106,AH106)</f>
        <v>0</v>
      </c>
      <c r="AH107" s="468"/>
      <c r="AI107" s="219"/>
      <c r="AJ107" s="467">
        <f t="shared" ref="AJ107" si="314">AG107+IF(AJ105&gt;AK105,AJ105,AK105)-IF(AK106&lt;AJ106,AJ106,AK106)</f>
        <v>0</v>
      </c>
      <c r="AK107" s="468"/>
      <c r="AL107" s="219"/>
      <c r="AM107" s="467">
        <f t="shared" ref="AM107" si="315">AJ107+IF(AM105&gt;AN105,AM105,AN105)-IF(AN106&lt;AM106,AM106,AN106)</f>
        <v>0</v>
      </c>
      <c r="AN107" s="468"/>
      <c r="AO107" s="219"/>
      <c r="AP107" s="467">
        <f t="shared" ref="AP107" si="316">AM107+IF(AP105&gt;AQ105,AP105,AQ105)-IF(AQ106&lt;AP106,AP106,AQ106)</f>
        <v>0</v>
      </c>
      <c r="AQ107" s="468"/>
      <c r="AR107" s="219"/>
      <c r="AT107" s="361">
        <f t="shared" ref="AT107" si="317">AP107+BB105</f>
        <v>0</v>
      </c>
      <c r="AU107" s="363">
        <f t="shared" ref="AU107" si="318">AP107+BB105*4</f>
        <v>0</v>
      </c>
      <c r="AW107" s="203"/>
      <c r="AX107" s="96"/>
      <c r="AY107" s="472" t="str">
        <f>IF(E107="","",E107)</f>
        <v>- compte d'épargne à saisir -</v>
      </c>
      <c r="AZ107" s="473"/>
      <c r="BA107" s="474"/>
      <c r="BB107" s="220">
        <f>AP107</f>
        <v>0</v>
      </c>
      <c r="BC107" s="389"/>
      <c r="BD107" s="711"/>
      <c r="BE107" s="96"/>
      <c r="BF107" s="96"/>
      <c r="BG107" s="96"/>
      <c r="BH107" s="203"/>
    </row>
    <row r="108" spans="2:60" ht="16">
      <c r="B108" s="163"/>
      <c r="D108" s="345">
        <f>1+D105</f>
        <v>19</v>
      </c>
      <c r="E108" s="507" t="s">
        <v>569</v>
      </c>
      <c r="F108" s="508"/>
      <c r="G108" s="509"/>
      <c r="H108" s="389"/>
      <c r="I108" s="324"/>
      <c r="J108" s="325"/>
      <c r="K108" s="326"/>
      <c r="L108" s="324"/>
      <c r="M108" s="325"/>
      <c r="N108" s="326"/>
      <c r="O108" s="324"/>
      <c r="P108" s="325"/>
      <c r="Q108" s="326"/>
      <c r="R108" s="324"/>
      <c r="S108" s="325"/>
      <c r="T108" s="326"/>
      <c r="U108" s="324"/>
      <c r="V108" s="325"/>
      <c r="W108" s="326"/>
      <c r="X108" s="324"/>
      <c r="Y108" s="325"/>
      <c r="Z108" s="326"/>
      <c r="AA108" s="324"/>
      <c r="AB108" s="325"/>
      <c r="AC108" s="326"/>
      <c r="AD108" s="324"/>
      <c r="AE108" s="325"/>
      <c r="AF108" s="326"/>
      <c r="AG108" s="324"/>
      <c r="AH108" s="325"/>
      <c r="AI108" s="326"/>
      <c r="AJ108" s="324"/>
      <c r="AK108" s="325"/>
      <c r="AL108" s="326"/>
      <c r="AM108" s="324"/>
      <c r="AN108" s="325"/>
      <c r="AO108" s="326"/>
      <c r="AP108" s="324"/>
      <c r="AQ108" s="325"/>
      <c r="AR108" s="326"/>
      <c r="AT108" s="367" t="str">
        <f>CONCATENATE("Moy. de ",INT(BB108/12)," €/mois")</f>
        <v>Moy. de 0 €/mois</v>
      </c>
      <c r="AU108" s="367" t="str">
        <f t="shared" ref="AU108" si="319">CONCATENATE("Moy. de ",INT(BB108/12)," €/mois")</f>
        <v>Moy. de 0 €/mois</v>
      </c>
      <c r="AW108" s="203"/>
      <c r="AX108" s="96"/>
      <c r="AY108" s="461" t="str">
        <f>IF(E108="","",E108)</f>
        <v>Indiquer le nom du projet à financer</v>
      </c>
      <c r="AZ108" s="462"/>
      <c r="BA108" s="463"/>
      <c r="BB108" s="217">
        <f>SUM(MAX(I108,J108),MAX(L108,M108),MAX(O108,P108),MAX(R108,S108),MAX(U108,V108),MAX(X108,Y108),MAX(AA108,AB108),MAX(AD108,AE108),MAX(AG108,AH108),MAX(AJ108,AK108),MAX(AM108,AN108),MAX(AP108,AQ108))</f>
        <v>0</v>
      </c>
      <c r="BC108" s="389"/>
      <c r="BD108" s="405">
        <f t="shared" ref="BD108" si="320">BB108/12</f>
        <v>0</v>
      </c>
      <c r="BE108" s="96"/>
      <c r="BF108" s="96"/>
      <c r="BG108" s="96"/>
      <c r="BH108" s="203"/>
    </row>
    <row r="109" spans="2:60" ht="14">
      <c r="B109" s="163"/>
      <c r="D109" s="365" t="s">
        <v>542</v>
      </c>
      <c r="E109" s="436" t="str">
        <f>IF(BB108=0,"",INT(SUM(IF(K108="ok",J108,0),IF(N108="ok",M108,0),IF(Q108="ok",P108,0),IF(T108="ok",S108,0),IF(W108="ok",V108,0),IF(Z108="ok",Y108,0),IF(AC108="ok",AB108,0),IF(AF108="ok",AE108,0),IF(AI108="ok",AH108,0),IF(AL108="ok",AK108,0),IF(AO108="ok",AN108,0),IF(AR108="ok",AQ108,0))*100/BB108)/100)</f>
        <v/>
      </c>
      <c r="F109" s="375" t="str">
        <f>IF(BB108=0,"",CONCATENATE("de l'objectif annuel atteint ","(",INT(SUM(IF(K108="ok",J108,0),IF(N108="ok",M108,0),IF(Q108="ok",P108,0),IF(T108="ok",S108,0),IF(W108="ok",V108,0),IF(Z108="ok",Y108,0),IF(AC108="ok",AB108,0),IF(AF108="ok",AE108,0),IF(AI108="ok",AH108,0),IF(AL108="ok",AK108,0),IF(AO108="ok",AN108,0),IF(AR108="ok",AQ108,0)))," € / ",BB108,")",IF(BB108=INT(SUM(IF(K108="ok",J108,0),IF(N108="ok",M108,0),IF(Q108="ok",P108,0),IF(T108="ok",S108,0),IF(W108="ok",V108,0),IF(Z108="ok",Y108,0),IF(AC108="ok",AB108,0),IF(AF108="ok",AE108,0),IF(AI108="ok",AH108,0),IF(AL108="ok",AK108,0),IF(AO108="ok",AN108,0),IF(AR108="ok",AQ108,0))),"",CONCATENATE(" : manque ",BB108-INT(SUM(IF(K108="ok",J108,0),IF(N108="ok",M108,0),IF(Q108="ok",P108,0),IF(T108="ok",S108,0),IF(W108="ok",V108,0),IF(Z108="ok",Y108,0),IF(AC108="ok",AB108,0),IF(AF108="ok",AE108,0),IF(AI108="ok",AH108,0),IF(AL108="ok",AK108,0),IF(AO108="ok",AN108,0),IF(AR108="ok",AQ108,0)))," €"))))</f>
        <v/>
      </c>
      <c r="G109" s="359" t="s">
        <v>536</v>
      </c>
      <c r="H109" s="389"/>
      <c r="I109" s="327"/>
      <c r="J109" s="328"/>
      <c r="K109" s="329"/>
      <c r="L109" s="327"/>
      <c r="M109" s="328"/>
      <c r="N109" s="329"/>
      <c r="O109" s="327"/>
      <c r="P109" s="328"/>
      <c r="Q109" s="329"/>
      <c r="R109" s="327"/>
      <c r="S109" s="328"/>
      <c r="T109" s="329"/>
      <c r="U109" s="327"/>
      <c r="V109" s="328"/>
      <c r="W109" s="329"/>
      <c r="X109" s="327"/>
      <c r="Y109" s="328"/>
      <c r="Z109" s="329"/>
      <c r="AA109" s="327"/>
      <c r="AB109" s="328"/>
      <c r="AC109" s="329"/>
      <c r="AD109" s="327"/>
      <c r="AE109" s="328"/>
      <c r="AF109" s="329"/>
      <c r="AG109" s="327"/>
      <c r="AH109" s="328"/>
      <c r="AI109" s="329"/>
      <c r="AJ109" s="327"/>
      <c r="AK109" s="328"/>
      <c r="AL109" s="329"/>
      <c r="AM109" s="327"/>
      <c r="AN109" s="328"/>
      <c r="AO109" s="329"/>
      <c r="AP109" s="327"/>
      <c r="AQ109" s="328"/>
      <c r="AR109" s="329"/>
      <c r="AT109" s="366"/>
      <c r="AU109" s="366"/>
      <c r="AW109" s="203"/>
      <c r="AX109" s="96"/>
      <c r="AY109" s="464" t="s">
        <v>245</v>
      </c>
      <c r="AZ109" s="465"/>
      <c r="BA109" s="465"/>
      <c r="BB109" s="218">
        <f>SUM(MAX(I109,J109),MAX(L109,M109),MAX(O109,P109),MAX(R109,S109),MAX(U109,V109),MAX(X109,Y109),MAX(AA109,AB109),MAX(AD109,AE109),MAX(AG109,AH109),MAX(AJ109,AK109),MAX(AM109,AN109),MAX(AP109,AQ109))</f>
        <v>0</v>
      </c>
      <c r="BC109" s="389"/>
      <c r="BD109" s="487" t="s">
        <v>574</v>
      </c>
      <c r="BE109" s="96"/>
      <c r="BF109" s="96"/>
      <c r="BG109" s="96"/>
      <c r="BH109" s="203"/>
    </row>
    <row r="110" spans="2:60" ht="16">
      <c r="B110" s="163"/>
      <c r="D110" s="346"/>
      <c r="E110" s="501" t="s">
        <v>237</v>
      </c>
      <c r="F110" s="502"/>
      <c r="G110" s="503"/>
      <c r="H110" s="389"/>
      <c r="I110" s="467">
        <f>D110+IF(I108&gt;J108,I108,J108)-IF(J109&lt;I109,I109,J109)</f>
        <v>0</v>
      </c>
      <c r="J110" s="468"/>
      <c r="K110" s="219"/>
      <c r="L110" s="467">
        <f t="shared" ref="L110" si="321">I110+IF(L108&gt;M108,L108,M108)-IF(M109&lt;L109,L109,M109)</f>
        <v>0</v>
      </c>
      <c r="M110" s="468"/>
      <c r="N110" s="219"/>
      <c r="O110" s="467">
        <f t="shared" ref="O110" si="322">L110+IF(O108&gt;P108,O108,P108)-IF(P109&lt;O109,O109,P109)</f>
        <v>0</v>
      </c>
      <c r="P110" s="468"/>
      <c r="Q110" s="219"/>
      <c r="R110" s="467">
        <f t="shared" ref="R110" si="323">O110+IF(R108&gt;S108,R108,S108)-IF(S109&lt;R109,R109,S109)</f>
        <v>0</v>
      </c>
      <c r="S110" s="468"/>
      <c r="T110" s="219"/>
      <c r="U110" s="467">
        <f t="shared" ref="U110" si="324">R110+IF(U108&gt;V108,U108,V108)-IF(V109&lt;U109,U109,V109)</f>
        <v>0</v>
      </c>
      <c r="V110" s="468"/>
      <c r="W110" s="219"/>
      <c r="X110" s="467">
        <f>U110+IF(X108&gt;Y108,X108,Y108)-IF(Y109&lt;X109,X109,Y109)</f>
        <v>0</v>
      </c>
      <c r="Y110" s="468"/>
      <c r="Z110" s="219"/>
      <c r="AA110" s="467">
        <f t="shared" ref="AA110" si="325">X110+IF(AA108&gt;AB108,AA108,AB108)-IF(AB109&lt;AA109,AA109,AB109)</f>
        <v>0</v>
      </c>
      <c r="AB110" s="468"/>
      <c r="AC110" s="219"/>
      <c r="AD110" s="467">
        <f t="shared" ref="AD110" si="326">AA110+IF(AD108&gt;AE108,AD108,AE108)-IF(AE109&lt;AD109,AD109,AE109)</f>
        <v>0</v>
      </c>
      <c r="AE110" s="468"/>
      <c r="AF110" s="219"/>
      <c r="AG110" s="467">
        <f t="shared" ref="AG110" si="327">AD110+IF(AG108&gt;AH108,AG108,AH108)-IF(AH109&lt;AG109,AG109,AH109)</f>
        <v>0</v>
      </c>
      <c r="AH110" s="468"/>
      <c r="AI110" s="219"/>
      <c r="AJ110" s="467">
        <f t="shared" ref="AJ110" si="328">AG110+IF(AJ108&gt;AK108,AJ108,AK108)-IF(AK109&lt;AJ109,AJ109,AK109)</f>
        <v>0</v>
      </c>
      <c r="AK110" s="468"/>
      <c r="AL110" s="219"/>
      <c r="AM110" s="467">
        <f t="shared" ref="AM110" si="329">AJ110+IF(AM108&gt;AN108,AM108,AN108)-IF(AN109&lt;AM109,AM109,AN109)</f>
        <v>0</v>
      </c>
      <c r="AN110" s="468"/>
      <c r="AO110" s="219"/>
      <c r="AP110" s="467">
        <f t="shared" ref="AP110" si="330">AM110+IF(AP108&gt;AQ108,AP108,AQ108)-IF(AQ109&lt;AP109,AP109,AQ109)</f>
        <v>0</v>
      </c>
      <c r="AQ110" s="468"/>
      <c r="AR110" s="219"/>
      <c r="AT110" s="361">
        <f t="shared" ref="AT110" si="331">AP110+BB108</f>
        <v>0</v>
      </c>
      <c r="AU110" s="363">
        <f t="shared" ref="AU110" si="332">AP110+BB108*4</f>
        <v>0</v>
      </c>
      <c r="AW110" s="203"/>
      <c r="AX110" s="96"/>
      <c r="AY110" s="472" t="str">
        <f>IF(E110="","",E110)</f>
        <v>- compte d'épargne à saisir -</v>
      </c>
      <c r="AZ110" s="473"/>
      <c r="BA110" s="474"/>
      <c r="BB110" s="220">
        <f>AP110</f>
        <v>0</v>
      </c>
      <c r="BC110" s="389"/>
      <c r="BD110" s="711"/>
      <c r="BE110" s="96"/>
      <c r="BF110" s="96"/>
      <c r="BG110" s="96"/>
      <c r="BH110" s="203"/>
    </row>
    <row r="111" spans="2:60" ht="16">
      <c r="B111" s="163"/>
      <c r="D111" s="345">
        <f>1+D108</f>
        <v>20</v>
      </c>
      <c r="E111" s="507" t="s">
        <v>569</v>
      </c>
      <c r="F111" s="508"/>
      <c r="G111" s="509"/>
      <c r="H111" s="389"/>
      <c r="I111" s="324"/>
      <c r="J111" s="325"/>
      <c r="K111" s="326"/>
      <c r="L111" s="324"/>
      <c r="M111" s="325"/>
      <c r="N111" s="326"/>
      <c r="O111" s="324"/>
      <c r="P111" s="325"/>
      <c r="Q111" s="326"/>
      <c r="R111" s="324"/>
      <c r="S111" s="325"/>
      <c r="T111" s="326"/>
      <c r="U111" s="324"/>
      <c r="V111" s="325"/>
      <c r="W111" s="326"/>
      <c r="X111" s="324"/>
      <c r="Y111" s="325"/>
      <c r="Z111" s="326"/>
      <c r="AA111" s="324"/>
      <c r="AB111" s="325"/>
      <c r="AC111" s="326"/>
      <c r="AD111" s="324"/>
      <c r="AE111" s="325"/>
      <c r="AF111" s="326"/>
      <c r="AG111" s="324"/>
      <c r="AH111" s="325"/>
      <c r="AI111" s="326"/>
      <c r="AJ111" s="324"/>
      <c r="AK111" s="325"/>
      <c r="AL111" s="326"/>
      <c r="AM111" s="324"/>
      <c r="AN111" s="325"/>
      <c r="AO111" s="326"/>
      <c r="AP111" s="324"/>
      <c r="AQ111" s="325"/>
      <c r="AR111" s="326"/>
      <c r="AT111" s="367" t="str">
        <f>CONCATENATE("Moy. de ",INT(BB111/12)," €/mois")</f>
        <v>Moy. de 0 €/mois</v>
      </c>
      <c r="AU111" s="367" t="str">
        <f t="shared" ref="AU111" si="333">CONCATENATE("Moy. de ",INT(BB111/12)," €/mois")</f>
        <v>Moy. de 0 €/mois</v>
      </c>
      <c r="AW111" s="203"/>
      <c r="AX111" s="96"/>
      <c r="AY111" s="461" t="str">
        <f>IF(E111="","",E111)</f>
        <v>Indiquer le nom du projet à financer</v>
      </c>
      <c r="AZ111" s="462"/>
      <c r="BA111" s="463"/>
      <c r="BB111" s="217">
        <f>SUM(MAX(I111,J111),MAX(L111,M111),MAX(O111,P111),MAX(R111,S111),MAX(U111,V111),MAX(X111,Y111),MAX(AA111,AB111),MAX(AD111,AE111),MAX(AG111,AH111),MAX(AJ111,AK111),MAX(AM111,AN111),MAX(AP111,AQ111))</f>
        <v>0</v>
      </c>
      <c r="BC111" s="389"/>
      <c r="BD111" s="405">
        <f t="shared" ref="BD111" si="334">BB111/12</f>
        <v>0</v>
      </c>
      <c r="BE111" s="96"/>
      <c r="BF111" s="96"/>
      <c r="BG111" s="96"/>
      <c r="BH111" s="203"/>
    </row>
    <row r="112" spans="2:60" ht="14">
      <c r="B112" s="163"/>
      <c r="D112" s="365" t="s">
        <v>542</v>
      </c>
      <c r="E112" s="436" t="str">
        <f>IF(BB111=0,"",INT(SUM(IF(K111="ok",J111,0),IF(N111="ok",M111,0),IF(Q111="ok",P111,0),IF(T111="ok",S111,0),IF(W111="ok",V111,0),IF(Z111="ok",Y111,0),IF(AC111="ok",AB111,0),IF(AF111="ok",AE111,0),IF(AI111="ok",AH111,0),IF(AL111="ok",AK111,0),IF(AO111="ok",AN111,0),IF(AR111="ok",AQ111,0))*100/BB111)/100)</f>
        <v/>
      </c>
      <c r="F112" s="375" t="str">
        <f>IF(BB111=0,"",CONCATENATE("de l'objectif annuel atteint ","(",INT(SUM(IF(K111="ok",J111,0),IF(N111="ok",M111,0),IF(Q111="ok",P111,0),IF(T111="ok",S111,0),IF(W111="ok",V111,0),IF(Z111="ok",Y111,0),IF(AC111="ok",AB111,0),IF(AF111="ok",AE111,0),IF(AI111="ok",AH111,0),IF(AL111="ok",AK111,0),IF(AO111="ok",AN111,0),IF(AR111="ok",AQ111,0)))," € / ",BB111,")",IF(BB111=INT(SUM(IF(K111="ok",J111,0),IF(N111="ok",M111,0),IF(Q111="ok",P111,0),IF(T111="ok",S111,0),IF(W111="ok",V111,0),IF(Z111="ok",Y111,0),IF(AC111="ok",AB111,0),IF(AF111="ok",AE111,0),IF(AI111="ok",AH111,0),IF(AL111="ok",AK111,0),IF(AO111="ok",AN111,0),IF(AR111="ok",AQ111,0))),"",CONCATENATE(" : manque ",BB111-INT(SUM(IF(K111="ok",J111,0),IF(N111="ok",M111,0),IF(Q111="ok",P111,0),IF(T111="ok",S111,0),IF(W111="ok",V111,0),IF(Z111="ok",Y111,0),IF(AC111="ok",AB111,0),IF(AF111="ok",AE111,0),IF(AI111="ok",AH111,0),IF(AL111="ok",AK111,0),IF(AO111="ok",AN111,0),IF(AR111="ok",AQ111,0)))," €"))))</f>
        <v/>
      </c>
      <c r="G112" s="359" t="s">
        <v>536</v>
      </c>
      <c r="H112" s="389"/>
      <c r="I112" s="327"/>
      <c r="J112" s="328"/>
      <c r="K112" s="329"/>
      <c r="L112" s="327"/>
      <c r="M112" s="328"/>
      <c r="N112" s="329"/>
      <c r="O112" s="327"/>
      <c r="P112" s="328"/>
      <c r="Q112" s="329"/>
      <c r="R112" s="327"/>
      <c r="S112" s="328"/>
      <c r="T112" s="329"/>
      <c r="U112" s="327"/>
      <c r="V112" s="328"/>
      <c r="W112" s="329"/>
      <c r="X112" s="327"/>
      <c r="Y112" s="328"/>
      <c r="Z112" s="329"/>
      <c r="AA112" s="327"/>
      <c r="AB112" s="328"/>
      <c r="AC112" s="329"/>
      <c r="AD112" s="327"/>
      <c r="AE112" s="328"/>
      <c r="AF112" s="329"/>
      <c r="AG112" s="327"/>
      <c r="AH112" s="328"/>
      <c r="AI112" s="329"/>
      <c r="AJ112" s="327"/>
      <c r="AK112" s="328"/>
      <c r="AL112" s="329"/>
      <c r="AM112" s="327"/>
      <c r="AN112" s="328"/>
      <c r="AO112" s="329"/>
      <c r="AP112" s="327"/>
      <c r="AQ112" s="328"/>
      <c r="AR112" s="329"/>
      <c r="AT112" s="366"/>
      <c r="AU112" s="366"/>
      <c r="AW112" s="203"/>
      <c r="AX112" s="96"/>
      <c r="AY112" s="464" t="s">
        <v>245</v>
      </c>
      <c r="AZ112" s="465"/>
      <c r="BA112" s="465"/>
      <c r="BB112" s="218">
        <f>SUM(MAX(I112,J112),MAX(L112,M112),MAX(O112,P112),MAX(R112,S112),MAX(U112,V112),MAX(X112,Y112),MAX(AA112,AB112),MAX(AD112,AE112),MAX(AG112,AH112),MAX(AJ112,AK112),MAX(AM112,AN112),MAX(AP112,AQ112))</f>
        <v>0</v>
      </c>
      <c r="BC112" s="389"/>
      <c r="BD112" s="487" t="s">
        <v>574</v>
      </c>
      <c r="BE112" s="96"/>
      <c r="BF112" s="96"/>
      <c r="BG112" s="96"/>
      <c r="BH112" s="203"/>
    </row>
    <row r="113" spans="2:60" ht="16">
      <c r="B113" s="163"/>
      <c r="D113" s="346"/>
      <c r="E113" s="501" t="s">
        <v>237</v>
      </c>
      <c r="F113" s="502"/>
      <c r="G113" s="503"/>
      <c r="H113" s="390"/>
      <c r="I113" s="467">
        <f>D113+IF(I111&gt;J111,I111,J111)-IF(J112&lt;I112,I112,J112)</f>
        <v>0</v>
      </c>
      <c r="J113" s="468"/>
      <c r="K113" s="219"/>
      <c r="L113" s="467">
        <f t="shared" ref="L113" si="335">I113+IF(L111&gt;M111,L111,M111)-IF(M112&lt;L112,L112,M112)</f>
        <v>0</v>
      </c>
      <c r="M113" s="468"/>
      <c r="N113" s="219"/>
      <c r="O113" s="467">
        <f t="shared" ref="O113" si="336">L113+IF(O111&gt;P111,O111,P111)-IF(P112&lt;O112,O112,P112)</f>
        <v>0</v>
      </c>
      <c r="P113" s="468"/>
      <c r="Q113" s="219"/>
      <c r="R113" s="467">
        <f t="shared" ref="R113" si="337">O113+IF(R111&gt;S111,R111,S111)-IF(S112&lt;R112,R112,S112)</f>
        <v>0</v>
      </c>
      <c r="S113" s="468"/>
      <c r="T113" s="219"/>
      <c r="U113" s="467">
        <f t="shared" ref="U113" si="338">R113+IF(U111&gt;V111,U111,V111)-IF(V112&lt;U112,U112,V112)</f>
        <v>0</v>
      </c>
      <c r="V113" s="468"/>
      <c r="W113" s="219"/>
      <c r="X113" s="467">
        <f t="shared" ref="X113" si="339">U113+IF(X111&gt;Y111,X111,Y111)-IF(Y112&lt;X112,X112,Y112)</f>
        <v>0</v>
      </c>
      <c r="Y113" s="468"/>
      <c r="Z113" s="219"/>
      <c r="AA113" s="467">
        <f t="shared" ref="AA113" si="340">X113+IF(AA111&gt;AB111,AA111,AB111)-IF(AB112&lt;AA112,AA112,AB112)</f>
        <v>0</v>
      </c>
      <c r="AB113" s="468"/>
      <c r="AC113" s="219"/>
      <c r="AD113" s="467">
        <f t="shared" ref="AD113" si="341">AA113+IF(AD111&gt;AE111,AD111,AE111)-IF(AE112&lt;AD112,AD112,AE112)</f>
        <v>0</v>
      </c>
      <c r="AE113" s="468"/>
      <c r="AF113" s="219"/>
      <c r="AG113" s="467">
        <f t="shared" ref="AG113" si="342">AD113+IF(AG111&gt;AH111,AG111,AH111)-IF(AH112&lt;AG112,AG112,AH112)</f>
        <v>0</v>
      </c>
      <c r="AH113" s="468"/>
      <c r="AI113" s="219"/>
      <c r="AJ113" s="467">
        <f t="shared" ref="AJ113" si="343">AG113+IF(AJ111&gt;AK111,AJ111,AK111)-IF(AK112&lt;AJ112,AJ112,AK112)</f>
        <v>0</v>
      </c>
      <c r="AK113" s="468"/>
      <c r="AL113" s="219"/>
      <c r="AM113" s="467">
        <f t="shared" ref="AM113" si="344">AJ113+IF(AM111&gt;AN111,AM111,AN111)-IF(AN112&lt;AM112,AM112,AN112)</f>
        <v>0</v>
      </c>
      <c r="AN113" s="468"/>
      <c r="AO113" s="219"/>
      <c r="AP113" s="467">
        <f t="shared" ref="AP113" si="345">AM113+IF(AP111&gt;AQ111,AP111,AQ111)-IF(AQ112&lt;AP112,AP112,AQ112)</f>
        <v>0</v>
      </c>
      <c r="AQ113" s="468"/>
      <c r="AR113" s="219"/>
      <c r="AT113" s="361">
        <f t="shared" ref="AT113" si="346">AP113+BB111</f>
        <v>0</v>
      </c>
      <c r="AU113" s="363">
        <f t="shared" ref="AU113" si="347">AP113+BB111*4</f>
        <v>0</v>
      </c>
      <c r="AW113" s="203"/>
      <c r="AX113" s="96"/>
      <c r="AY113" s="472" t="str">
        <f>IF(E113="","",E113)</f>
        <v>- compte d'épargne à saisir -</v>
      </c>
      <c r="AZ113" s="473"/>
      <c r="BA113" s="474"/>
      <c r="BB113" s="414">
        <f>AP113</f>
        <v>0</v>
      </c>
      <c r="BC113" s="389"/>
      <c r="BD113" s="487"/>
      <c r="BE113" s="96"/>
      <c r="BF113" s="96"/>
      <c r="BG113" s="96"/>
      <c r="BH113" s="203"/>
    </row>
    <row r="114" spans="2:60" ht="16">
      <c r="B114" s="163"/>
      <c r="D114" s="345">
        <f>1+D111</f>
        <v>21</v>
      </c>
      <c r="E114" s="458" t="s">
        <v>587</v>
      </c>
      <c r="F114" s="459"/>
      <c r="G114" s="460"/>
      <c r="H114" s="389"/>
      <c r="I114" s="324"/>
      <c r="J114" s="325"/>
      <c r="K114" s="326"/>
      <c r="L114" s="324"/>
      <c r="M114" s="325"/>
      <c r="N114" s="326"/>
      <c r="O114" s="324"/>
      <c r="P114" s="325"/>
      <c r="Q114" s="326"/>
      <c r="R114" s="324"/>
      <c r="S114" s="325"/>
      <c r="T114" s="326"/>
      <c r="U114" s="324"/>
      <c r="V114" s="325"/>
      <c r="W114" s="326"/>
      <c r="X114" s="324"/>
      <c r="Y114" s="325"/>
      <c r="Z114" s="326"/>
      <c r="AA114" s="324"/>
      <c r="AB114" s="325"/>
      <c r="AC114" s="326"/>
      <c r="AD114" s="324"/>
      <c r="AE114" s="325"/>
      <c r="AF114" s="326"/>
      <c r="AG114" s="324"/>
      <c r="AH114" s="325"/>
      <c r="AI114" s="326"/>
      <c r="AJ114" s="324"/>
      <c r="AK114" s="325"/>
      <c r="AL114" s="326"/>
      <c r="AM114" s="324"/>
      <c r="AN114" s="325"/>
      <c r="AO114" s="326"/>
      <c r="AP114" s="324"/>
      <c r="AQ114" s="325"/>
      <c r="AR114" s="326"/>
      <c r="AT114" s="367" t="str">
        <f>CONCATENATE("Moy. de ",INT(BB114/12)," €/mois")</f>
        <v>Moy. de 0 €/mois</v>
      </c>
      <c r="AU114" s="367" t="str">
        <f t="shared" ref="AU114" si="348">CONCATENATE("Moy. de ",INT(BB114/12)," €/mois")</f>
        <v>Moy. de 0 €/mois</v>
      </c>
      <c r="AW114" s="203"/>
      <c r="AX114" s="96"/>
      <c r="AY114" s="461" t="str">
        <f>IF(E114="","",E114)</f>
        <v>PATRIMOINE A - FONCIER et IMMOBILIER (Valeur nette)</v>
      </c>
      <c r="AZ114" s="462"/>
      <c r="BA114" s="463"/>
      <c r="BB114" s="217">
        <f>SUM(MAX(I114,J114),MAX(L114,M114),MAX(O114,P114),MAX(R114,S114),MAX(U114,V114),MAX(X114,Y114),MAX(AA114,AB114),MAX(AD114,AE114),MAX(AG114,AH114),MAX(AJ114,AK114),MAX(AM114,AN114),MAX(AP114,AQ114))</f>
        <v>0</v>
      </c>
      <c r="BC114" s="389"/>
      <c r="BD114" s="405">
        <f t="shared" ref="BD114" si="349">BB114/12</f>
        <v>0</v>
      </c>
      <c r="BE114" s="96"/>
      <c r="BF114" s="96"/>
      <c r="BG114" s="96"/>
      <c r="BH114" s="203"/>
    </row>
    <row r="115" spans="2:60" ht="14">
      <c r="B115" s="163"/>
      <c r="D115" s="365" t="s">
        <v>542</v>
      </c>
      <c r="E115" s="436" t="str">
        <f>IF(BB114=0,"",INT(SUM(IF(K114="ok",J114,0),IF(N114="ok",M114,0),IF(Q114="ok",P114,0),IF(T114="ok",S114,0),IF(W114="ok",V114,0),IF(Z114="ok",Y114,0),IF(AC114="ok",AB114,0),IF(AF114="ok",AE114,0),IF(AI114="ok",AH114,0),IF(AL114="ok",AK114,0),IF(AO114="ok",AN114,0),IF(AR114="ok",AQ114,0))*100/BB114)/100)</f>
        <v/>
      </c>
      <c r="F115" s="375" t="str">
        <f>IF(BB114=0,"",CONCATENATE("de l'objectif annuel atteint ","(",INT(SUM(IF(K114="ok",J114,0),IF(N114="ok",M114,0),IF(Q114="ok",P114,0),IF(T114="ok",S114,0),IF(W114="ok",V114,0),IF(Z114="ok",Y114,0),IF(AC114="ok",AB114,0),IF(AF114="ok",AE114,0),IF(AI114="ok",AH114,0),IF(AL114="ok",AK114,0),IF(AO114="ok",AN114,0),IF(AR114="ok",AQ114,0)))," € / ",BB114,")",IF(BB114=INT(SUM(IF(K114="ok",J114,0),IF(N114="ok",M114,0),IF(Q114="ok",P114,0),IF(T114="ok",S114,0),IF(W114="ok",V114,0),IF(Z114="ok",Y114,0),IF(AC114="ok",AB114,0),IF(AF114="ok",AE114,0),IF(AI114="ok",AH114,0),IF(AL114="ok",AK114,0),IF(AO114="ok",AN114,0),IF(AR114="ok",AQ114,0))),"",CONCATENATE(" : manque ",BB114-INT(SUM(IF(K114="ok",J114,0),IF(N114="ok",M114,0),IF(Q114="ok",P114,0),IF(T114="ok",S114,0),IF(W114="ok",V114,0),IF(Z114="ok",Y114,0),IF(AC114="ok",AB114,0),IF(AF114="ok",AE114,0),IF(AI114="ok",AH114,0),IF(AL114="ok",AK114,0),IF(AO114="ok",AN114,0),IF(AR114="ok",AQ114,0)))," €"))))</f>
        <v/>
      </c>
      <c r="G115" s="359" t="s">
        <v>536</v>
      </c>
      <c r="H115" s="389"/>
      <c r="I115" s="327"/>
      <c r="J115" s="328"/>
      <c r="K115" s="329"/>
      <c r="L115" s="327"/>
      <c r="M115" s="328"/>
      <c r="N115" s="329"/>
      <c r="O115" s="327"/>
      <c r="P115" s="328"/>
      <c r="Q115" s="329"/>
      <c r="R115" s="327"/>
      <c r="S115" s="328"/>
      <c r="T115" s="329"/>
      <c r="U115" s="327"/>
      <c r="V115" s="328"/>
      <c r="W115" s="329"/>
      <c r="X115" s="327"/>
      <c r="Y115" s="328"/>
      <c r="Z115" s="329"/>
      <c r="AA115" s="327"/>
      <c r="AB115" s="328"/>
      <c r="AC115" s="329"/>
      <c r="AD115" s="327"/>
      <c r="AE115" s="328"/>
      <c r="AF115" s="329"/>
      <c r="AG115" s="327"/>
      <c r="AH115" s="328"/>
      <c r="AI115" s="329"/>
      <c r="AJ115" s="327"/>
      <c r="AK115" s="328"/>
      <c r="AL115" s="329"/>
      <c r="AM115" s="327"/>
      <c r="AN115" s="328"/>
      <c r="AO115" s="329"/>
      <c r="AP115" s="327"/>
      <c r="AQ115" s="328"/>
      <c r="AR115" s="329"/>
      <c r="AT115" s="366"/>
      <c r="AU115" s="366"/>
      <c r="AW115" s="203"/>
      <c r="AX115" s="96"/>
      <c r="AY115" s="464" t="s">
        <v>245</v>
      </c>
      <c r="AZ115" s="465"/>
      <c r="BA115" s="465"/>
      <c r="BB115" s="218">
        <f>SUM(MAX(I115,J115),MAX(L115,M115),MAX(O115,P115),MAX(R115,S115),MAX(U115,V115),MAX(X115,Y115),MAX(AA115,AB115),MAX(AD115,AE115),MAX(AG115,AH115),MAX(AJ115,AK115),MAX(AM115,AN115),MAX(AP115,AQ115))</f>
        <v>0</v>
      </c>
      <c r="BC115" s="389"/>
      <c r="BD115" s="487" t="s">
        <v>574</v>
      </c>
      <c r="BE115" s="96"/>
      <c r="BF115" s="96"/>
      <c r="BG115" s="96"/>
      <c r="BH115" s="203"/>
    </row>
    <row r="116" spans="2:60" ht="16">
      <c r="B116" s="163"/>
      <c r="D116" s="346"/>
      <c r="E116" s="475" t="s">
        <v>588</v>
      </c>
      <c r="F116" s="476"/>
      <c r="G116" s="477"/>
      <c r="H116" s="390"/>
      <c r="I116" s="467">
        <f>D116+IF(I114&gt;J114,I114,J114)-IF(J115&lt;I115,I115,J115)</f>
        <v>0</v>
      </c>
      <c r="J116" s="468"/>
      <c r="K116" s="219"/>
      <c r="L116" s="467">
        <f t="shared" ref="L116" si="350">I116+IF(L114&gt;M114,L114,M114)-IF(M115&lt;L115,L115,M115)</f>
        <v>0</v>
      </c>
      <c r="M116" s="468"/>
      <c r="N116" s="219"/>
      <c r="O116" s="467">
        <f t="shared" ref="O116" si="351">L116+IF(O114&gt;P114,O114,P114)-IF(P115&lt;O115,O115,P115)</f>
        <v>0</v>
      </c>
      <c r="P116" s="468"/>
      <c r="Q116" s="219"/>
      <c r="R116" s="467">
        <f t="shared" ref="R116" si="352">O116+IF(R114&gt;S114,R114,S114)-IF(S115&lt;R115,R115,S115)</f>
        <v>0</v>
      </c>
      <c r="S116" s="468"/>
      <c r="T116" s="219"/>
      <c r="U116" s="467">
        <f t="shared" ref="U116" si="353">R116+IF(U114&gt;V114,U114,V114)-IF(V115&lt;U115,U115,V115)</f>
        <v>0</v>
      </c>
      <c r="V116" s="468"/>
      <c r="W116" s="219"/>
      <c r="X116" s="467">
        <f t="shared" ref="X116" si="354">U116+IF(X114&gt;Y114,X114,Y114)-IF(Y115&lt;X115,X115,Y115)</f>
        <v>0</v>
      </c>
      <c r="Y116" s="468"/>
      <c r="Z116" s="219"/>
      <c r="AA116" s="467">
        <f t="shared" ref="AA116" si="355">X116+IF(AA114&gt;AB114,AA114,AB114)-IF(AB115&lt;AA115,AA115,AB115)</f>
        <v>0</v>
      </c>
      <c r="AB116" s="468"/>
      <c r="AC116" s="219"/>
      <c r="AD116" s="467">
        <f t="shared" ref="AD116" si="356">AA116+IF(AD114&gt;AE114,AD114,AE114)-IF(AE115&lt;AD115,AD115,AE115)</f>
        <v>0</v>
      </c>
      <c r="AE116" s="468"/>
      <c r="AF116" s="219"/>
      <c r="AG116" s="467">
        <f t="shared" ref="AG116" si="357">AD116+IF(AG114&gt;AH114,AG114,AH114)-IF(AH115&lt;AG115,AG115,AH115)</f>
        <v>0</v>
      </c>
      <c r="AH116" s="468"/>
      <c r="AI116" s="219"/>
      <c r="AJ116" s="467">
        <f t="shared" ref="AJ116" si="358">AG116+IF(AJ114&gt;AK114,AJ114,AK114)-IF(AK115&lt;AJ115,AJ115,AK115)</f>
        <v>0</v>
      </c>
      <c r="AK116" s="468"/>
      <c r="AL116" s="219"/>
      <c r="AM116" s="467">
        <f t="shared" ref="AM116" si="359">AJ116+IF(AM114&gt;AN114,AM114,AN114)-IF(AN115&lt;AM115,AM115,AN115)</f>
        <v>0</v>
      </c>
      <c r="AN116" s="468"/>
      <c r="AO116" s="219"/>
      <c r="AP116" s="467">
        <f t="shared" ref="AP116" si="360">AM116+IF(AP114&gt;AQ114,AP114,AQ114)-IF(AQ115&lt;AP115,AP115,AQ115)</f>
        <v>0</v>
      </c>
      <c r="AQ116" s="468"/>
      <c r="AR116" s="219"/>
      <c r="AT116" s="361">
        <f t="shared" ref="AT116" si="361">AP116+BB114</f>
        <v>0</v>
      </c>
      <c r="AU116" s="363">
        <f t="shared" ref="AU116" si="362">AP116+BB114*4</f>
        <v>0</v>
      </c>
      <c r="AW116" s="203"/>
      <c r="AX116" s="96"/>
      <c r="AY116" s="472" t="str">
        <f>IF(E116="","",E116)</f>
        <v>PATRIMOINE</v>
      </c>
      <c r="AZ116" s="473"/>
      <c r="BA116" s="474"/>
      <c r="BB116" s="414">
        <f>AP116</f>
        <v>0</v>
      </c>
      <c r="BC116" s="389"/>
      <c r="BD116" s="487"/>
      <c r="BE116" s="96"/>
      <c r="BF116" s="96"/>
      <c r="BG116" s="96"/>
      <c r="BH116" s="203"/>
    </row>
    <row r="117" spans="2:60" ht="16">
      <c r="B117" s="163"/>
      <c r="D117" s="345">
        <f>1+D114</f>
        <v>22</v>
      </c>
      <c r="E117" s="458" t="s">
        <v>590</v>
      </c>
      <c r="F117" s="459"/>
      <c r="G117" s="460"/>
      <c r="H117" s="389"/>
      <c r="I117" s="324"/>
      <c r="J117" s="325"/>
      <c r="K117" s="326"/>
      <c r="L117" s="324"/>
      <c r="M117" s="325"/>
      <c r="N117" s="326"/>
      <c r="O117" s="324"/>
      <c r="P117" s="325"/>
      <c r="Q117" s="326"/>
      <c r="R117" s="324"/>
      <c r="S117" s="325"/>
      <c r="T117" s="326"/>
      <c r="U117" s="324"/>
      <c r="V117" s="325"/>
      <c r="W117" s="326"/>
      <c r="X117" s="324"/>
      <c r="Y117" s="325"/>
      <c r="Z117" s="326"/>
      <c r="AA117" s="324"/>
      <c r="AB117" s="325"/>
      <c r="AC117" s="326"/>
      <c r="AD117" s="324"/>
      <c r="AE117" s="325"/>
      <c r="AF117" s="326"/>
      <c r="AG117" s="324"/>
      <c r="AH117" s="325"/>
      <c r="AI117" s="326"/>
      <c r="AJ117" s="324"/>
      <c r="AK117" s="325"/>
      <c r="AL117" s="326"/>
      <c r="AM117" s="324"/>
      <c r="AN117" s="325"/>
      <c r="AO117" s="326"/>
      <c r="AP117" s="324"/>
      <c r="AQ117" s="325"/>
      <c r="AR117" s="326"/>
      <c r="AT117" s="367" t="str">
        <f>CONCATENATE("Moy. de ",INT(BB117/12)," €/mois")</f>
        <v>Moy. de 0 €/mois</v>
      </c>
      <c r="AU117" s="367" t="str">
        <f t="shared" ref="AU117" si="363">CONCATENATE("Moy. de ",INT(BB117/12)," €/mois")</f>
        <v>Moy. de 0 €/mois</v>
      </c>
      <c r="AW117" s="203"/>
      <c r="AX117" s="96"/>
      <c r="AY117" s="461" t="str">
        <f>IF(E117="","",E117)</f>
        <v>PATRIMOINE B - OBJETS et METAUX PRECIEUX</v>
      </c>
      <c r="AZ117" s="462"/>
      <c r="BA117" s="463"/>
      <c r="BB117" s="217">
        <f>SUM(MAX(I117,J117),MAX(L117,M117),MAX(O117,P117),MAX(R117,S117),MAX(U117,V117),MAX(X117,Y117),MAX(AA117,AB117),MAX(AD117,AE117),MAX(AG117,AH117),MAX(AJ117,AK117),MAX(AM117,AN117),MAX(AP117,AQ117))</f>
        <v>0</v>
      </c>
      <c r="BC117" s="389"/>
      <c r="BD117" s="405">
        <f t="shared" ref="BD117" si="364">BB117/12</f>
        <v>0</v>
      </c>
      <c r="BE117" s="96"/>
      <c r="BF117" s="96"/>
      <c r="BG117" s="96"/>
      <c r="BH117" s="203"/>
    </row>
    <row r="118" spans="2:60" ht="14">
      <c r="B118" s="163"/>
      <c r="D118" s="365" t="s">
        <v>542</v>
      </c>
      <c r="E118" s="436" t="str">
        <f>IF(BB117=0,"",INT(SUM(IF(K117="ok",J117,0),IF(N117="ok",M117,0),IF(Q117="ok",P117,0),IF(T117="ok",S117,0),IF(W117="ok",V117,0),IF(Z117="ok",Y117,0),IF(AC117="ok",AB117,0),IF(AF117="ok",AE117,0),IF(AI117="ok",AH117,0),IF(AL117="ok",AK117,0),IF(AO117="ok",AN117,0),IF(AR117="ok",AQ117,0))*100/BB117)/100)</f>
        <v/>
      </c>
      <c r="F118" s="375" t="str">
        <f>IF(BB117=0,"",CONCATENATE("de l'objectif annuel atteint ","(",INT(SUM(IF(K117="ok",J117,0),IF(N117="ok",M117,0),IF(Q117="ok",P117,0),IF(T117="ok",S117,0),IF(W117="ok",V117,0),IF(Z117="ok",Y117,0),IF(AC117="ok",AB117,0),IF(AF117="ok",AE117,0),IF(AI117="ok",AH117,0),IF(AL117="ok",AK117,0),IF(AO117="ok",AN117,0),IF(AR117="ok",AQ117,0)))," € / ",BB117,")",IF(BB117=INT(SUM(IF(K117="ok",J117,0),IF(N117="ok",M117,0),IF(Q117="ok",P117,0),IF(T117="ok",S117,0),IF(W117="ok",V117,0),IF(Z117="ok",Y117,0),IF(AC117="ok",AB117,0),IF(AF117="ok",AE117,0),IF(AI117="ok",AH117,0),IF(AL117="ok",AK117,0),IF(AO117="ok",AN117,0),IF(AR117="ok",AQ117,0))),"",CONCATENATE(" : manque ",BB117-INT(SUM(IF(K117="ok",J117,0),IF(N117="ok",M117,0),IF(Q117="ok",P117,0),IF(T117="ok",S117,0),IF(W117="ok",V117,0),IF(Z117="ok",Y117,0),IF(AC117="ok",AB117,0),IF(AF117="ok",AE117,0),IF(AI117="ok",AH117,0),IF(AL117="ok",AK117,0),IF(AO117="ok",AN117,0),IF(AR117="ok",AQ117,0)))," €"))))</f>
        <v/>
      </c>
      <c r="G118" s="359" t="s">
        <v>536</v>
      </c>
      <c r="H118" s="389"/>
      <c r="I118" s="327"/>
      <c r="J118" s="328"/>
      <c r="K118" s="329"/>
      <c r="L118" s="327"/>
      <c r="M118" s="328"/>
      <c r="N118" s="329"/>
      <c r="O118" s="327"/>
      <c r="P118" s="328"/>
      <c r="Q118" s="329"/>
      <c r="R118" s="327"/>
      <c r="S118" s="328"/>
      <c r="T118" s="329"/>
      <c r="U118" s="327"/>
      <c r="V118" s="328"/>
      <c r="W118" s="329"/>
      <c r="X118" s="327"/>
      <c r="Y118" s="328"/>
      <c r="Z118" s="329"/>
      <c r="AA118" s="327"/>
      <c r="AB118" s="328"/>
      <c r="AC118" s="329"/>
      <c r="AD118" s="327"/>
      <c r="AE118" s="328"/>
      <c r="AF118" s="329"/>
      <c r="AG118" s="327"/>
      <c r="AH118" s="328"/>
      <c r="AI118" s="329"/>
      <c r="AJ118" s="327"/>
      <c r="AK118" s="328"/>
      <c r="AL118" s="329"/>
      <c r="AM118" s="327"/>
      <c r="AN118" s="328"/>
      <c r="AO118" s="329"/>
      <c r="AP118" s="327"/>
      <c r="AQ118" s="328"/>
      <c r="AR118" s="329"/>
      <c r="AT118" s="366"/>
      <c r="AU118" s="366"/>
      <c r="AW118" s="203"/>
      <c r="AX118" s="96"/>
      <c r="AY118" s="464" t="s">
        <v>245</v>
      </c>
      <c r="AZ118" s="465"/>
      <c r="BA118" s="465"/>
      <c r="BB118" s="218">
        <f>SUM(MAX(I118,J118),MAX(L118,M118),MAX(O118,P118),MAX(R118,S118),MAX(U118,V118),MAX(X118,Y118),MAX(AA118,AB118),MAX(AD118,AE118),MAX(AG118,AH118),MAX(AJ118,AK118),MAX(AM118,AN118),MAX(AP118,AQ118))</f>
        <v>0</v>
      </c>
      <c r="BC118" s="389"/>
      <c r="BD118" s="487" t="s">
        <v>574</v>
      </c>
      <c r="BE118" s="96"/>
      <c r="BF118" s="96"/>
      <c r="BG118" s="96"/>
      <c r="BH118" s="203"/>
    </row>
    <row r="119" spans="2:60" ht="16">
      <c r="B119" s="163"/>
      <c r="D119" s="346"/>
      <c r="E119" s="475" t="s">
        <v>588</v>
      </c>
      <c r="F119" s="476"/>
      <c r="G119" s="477"/>
      <c r="H119" s="390"/>
      <c r="I119" s="467">
        <f>D119+IF(I117&gt;J117,I117,J117)-IF(J118&lt;I118,I118,J118)</f>
        <v>0</v>
      </c>
      <c r="J119" s="468"/>
      <c r="K119" s="219"/>
      <c r="L119" s="467">
        <f t="shared" ref="L119" si="365">I119+IF(L117&gt;M117,L117,M117)-IF(M118&lt;L118,L118,M118)</f>
        <v>0</v>
      </c>
      <c r="M119" s="468"/>
      <c r="N119" s="219"/>
      <c r="O119" s="467">
        <f t="shared" ref="O119" si="366">L119+IF(O117&gt;P117,O117,P117)-IF(P118&lt;O118,O118,P118)</f>
        <v>0</v>
      </c>
      <c r="P119" s="468"/>
      <c r="Q119" s="219"/>
      <c r="R119" s="467">
        <f t="shared" ref="R119" si="367">O119+IF(R117&gt;S117,R117,S117)-IF(S118&lt;R118,R118,S118)</f>
        <v>0</v>
      </c>
      <c r="S119" s="468"/>
      <c r="T119" s="219"/>
      <c r="U119" s="467">
        <f t="shared" ref="U119" si="368">R119+IF(U117&gt;V117,U117,V117)-IF(V118&lt;U118,U118,V118)</f>
        <v>0</v>
      </c>
      <c r="V119" s="468"/>
      <c r="W119" s="219"/>
      <c r="X119" s="467">
        <f t="shared" ref="X119" si="369">U119+IF(X117&gt;Y117,X117,Y117)-IF(Y118&lt;X118,X118,Y118)</f>
        <v>0</v>
      </c>
      <c r="Y119" s="468"/>
      <c r="Z119" s="219"/>
      <c r="AA119" s="467">
        <f t="shared" ref="AA119" si="370">X119+IF(AA117&gt;AB117,AA117,AB117)-IF(AB118&lt;AA118,AA118,AB118)</f>
        <v>0</v>
      </c>
      <c r="AB119" s="468"/>
      <c r="AC119" s="219"/>
      <c r="AD119" s="467">
        <f t="shared" ref="AD119" si="371">AA119+IF(AD117&gt;AE117,AD117,AE117)-IF(AE118&lt;AD118,AD118,AE118)</f>
        <v>0</v>
      </c>
      <c r="AE119" s="468"/>
      <c r="AF119" s="219"/>
      <c r="AG119" s="467">
        <f t="shared" ref="AG119" si="372">AD119+IF(AG117&gt;AH117,AG117,AH117)-IF(AH118&lt;AG118,AG118,AH118)</f>
        <v>0</v>
      </c>
      <c r="AH119" s="468"/>
      <c r="AI119" s="219"/>
      <c r="AJ119" s="467">
        <f t="shared" ref="AJ119" si="373">AG119+IF(AJ117&gt;AK117,AJ117,AK117)-IF(AK118&lt;AJ118,AJ118,AK118)</f>
        <v>0</v>
      </c>
      <c r="AK119" s="468"/>
      <c r="AL119" s="219"/>
      <c r="AM119" s="467">
        <f t="shared" ref="AM119" si="374">AJ119+IF(AM117&gt;AN117,AM117,AN117)-IF(AN118&lt;AM118,AM118,AN118)</f>
        <v>0</v>
      </c>
      <c r="AN119" s="468"/>
      <c r="AO119" s="219"/>
      <c r="AP119" s="467">
        <f t="shared" ref="AP119" si="375">AM119+IF(AP117&gt;AQ117,AP117,AQ117)-IF(AQ118&lt;AP118,AP118,AQ118)</f>
        <v>0</v>
      </c>
      <c r="AQ119" s="468"/>
      <c r="AR119" s="219"/>
      <c r="AT119" s="361">
        <f t="shared" ref="AT119" si="376">AP119+BB117</f>
        <v>0</v>
      </c>
      <c r="AU119" s="363">
        <f t="shared" ref="AU119" si="377">AP119+BB117*4</f>
        <v>0</v>
      </c>
      <c r="AW119" s="203"/>
      <c r="AX119" s="96"/>
      <c r="AY119" s="472" t="str">
        <f>IF(E119="","",E119)</f>
        <v>PATRIMOINE</v>
      </c>
      <c r="AZ119" s="473"/>
      <c r="BA119" s="474"/>
      <c r="BB119" s="414">
        <f>AP119</f>
        <v>0</v>
      </c>
      <c r="BC119" s="389"/>
      <c r="BD119" s="487"/>
      <c r="BE119" s="96"/>
      <c r="BF119" s="96"/>
      <c r="BG119" s="96"/>
      <c r="BH119" s="203"/>
    </row>
    <row r="120" spans="2:60" ht="16">
      <c r="B120" s="163"/>
      <c r="D120" s="345">
        <f>1+D117</f>
        <v>23</v>
      </c>
      <c r="E120" s="458" t="s">
        <v>589</v>
      </c>
      <c r="F120" s="459"/>
      <c r="G120" s="460"/>
      <c r="H120" s="389"/>
      <c r="I120" s="324"/>
      <c r="J120" s="325"/>
      <c r="K120" s="326"/>
      <c r="L120" s="324"/>
      <c r="M120" s="325"/>
      <c r="N120" s="326"/>
      <c r="O120" s="324"/>
      <c r="P120" s="325"/>
      <c r="Q120" s="326"/>
      <c r="R120" s="324"/>
      <c r="S120" s="325"/>
      <c r="T120" s="326"/>
      <c r="U120" s="324"/>
      <c r="V120" s="325"/>
      <c r="W120" s="326"/>
      <c r="X120" s="324"/>
      <c r="Y120" s="325"/>
      <c r="Z120" s="326"/>
      <c r="AA120" s="324"/>
      <c r="AB120" s="325"/>
      <c r="AC120" s="326"/>
      <c r="AD120" s="324"/>
      <c r="AE120" s="325"/>
      <c r="AF120" s="326"/>
      <c r="AG120" s="324"/>
      <c r="AH120" s="325"/>
      <c r="AI120" s="326"/>
      <c r="AJ120" s="324"/>
      <c r="AK120" s="325"/>
      <c r="AL120" s="326"/>
      <c r="AM120" s="324"/>
      <c r="AN120" s="325"/>
      <c r="AO120" s="326"/>
      <c r="AP120" s="324"/>
      <c r="AQ120" s="325"/>
      <c r="AR120" s="326"/>
      <c r="AT120" s="367" t="str">
        <f>CONCATENATE("Moy. de ",INT(BB120/12)," €/mois")</f>
        <v>Moy. de 0 €/mois</v>
      </c>
      <c r="AU120" s="367" t="str">
        <f t="shared" ref="AU120" si="378">CONCATENATE("Moy. de ",INT(BB120/12)," €/mois")</f>
        <v>Moy. de 0 €/mois</v>
      </c>
      <c r="AW120" s="203"/>
      <c r="AX120" s="96"/>
      <c r="AY120" s="461" t="str">
        <f>IF(E120="","",E120)</f>
        <v>PATRIMOINE C - EQUIPEMENTS DE VALEUR, VEHICULES (Valeur nette)</v>
      </c>
      <c r="AZ120" s="462"/>
      <c r="BA120" s="463"/>
      <c r="BB120" s="217">
        <f>SUM(MAX(I120,J120),MAX(L120,M120),MAX(O120,P120),MAX(R120,S120),MAX(U120,V120),MAX(X120,Y120),MAX(AA120,AB120),MAX(AD120,AE120),MAX(AG120,AH120),MAX(AJ120,AK120),MAX(AM120,AN120),MAX(AP120,AQ120))</f>
        <v>0</v>
      </c>
      <c r="BC120" s="389"/>
      <c r="BD120" s="405">
        <f t="shared" ref="BD120" si="379">BB120/12</f>
        <v>0</v>
      </c>
      <c r="BE120" s="96"/>
      <c r="BF120" s="96"/>
      <c r="BG120" s="96"/>
      <c r="BH120" s="203"/>
    </row>
    <row r="121" spans="2:60" ht="14">
      <c r="B121" s="163"/>
      <c r="D121" s="365" t="s">
        <v>542</v>
      </c>
      <c r="E121" s="436" t="str">
        <f>IF(BB120=0,"",INT(SUM(IF(K120="ok",J120,0),IF(N120="ok",M120,0),IF(Q120="ok",P120,0),IF(T120="ok",S120,0),IF(W120="ok",V120,0),IF(Z120="ok",Y120,0),IF(AC120="ok",AB120,0),IF(AF120="ok",AE120,0),IF(AI120="ok",AH120,0),IF(AL120="ok",AK120,0),IF(AO120="ok",AN120,0),IF(AR120="ok",AQ120,0))*100/BB120)/100)</f>
        <v/>
      </c>
      <c r="F121" s="375" t="str">
        <f>IF(BB120=0,"",CONCATENATE("de l'objectif annuel atteint ","(",INT(SUM(IF(K120="ok",J120,0),IF(N120="ok",M120,0),IF(Q120="ok",P120,0),IF(T120="ok",S120,0),IF(W120="ok",V120,0),IF(Z120="ok",Y120,0),IF(AC120="ok",AB120,0),IF(AF120="ok",AE120,0),IF(AI120="ok",AH120,0),IF(AL120="ok",AK120,0),IF(AO120="ok",AN120,0),IF(AR120="ok",AQ120,0)))," € / ",BB120,")",IF(BB120=INT(SUM(IF(K120="ok",J120,0),IF(N120="ok",M120,0),IF(Q120="ok",P120,0),IF(T120="ok",S120,0),IF(W120="ok",V120,0),IF(Z120="ok",Y120,0),IF(AC120="ok",AB120,0),IF(AF120="ok",AE120,0),IF(AI120="ok",AH120,0),IF(AL120="ok",AK120,0),IF(AO120="ok",AN120,0),IF(AR120="ok",AQ120,0))),"",CONCATENATE(" : manque ",BB120-INT(SUM(IF(K120="ok",J120,0),IF(N120="ok",M120,0),IF(Q120="ok",P120,0),IF(T120="ok",S120,0),IF(W120="ok",V120,0),IF(Z120="ok",Y120,0),IF(AC120="ok",AB120,0),IF(AF120="ok",AE120,0),IF(AI120="ok",AH120,0),IF(AL120="ok",AK120,0),IF(AO120="ok",AN120,0),IF(AR120="ok",AQ120,0)))," €"))))</f>
        <v/>
      </c>
      <c r="G121" s="359" t="s">
        <v>536</v>
      </c>
      <c r="H121" s="389"/>
      <c r="I121" s="327"/>
      <c r="J121" s="328"/>
      <c r="K121" s="329"/>
      <c r="L121" s="327"/>
      <c r="M121" s="328"/>
      <c r="N121" s="329"/>
      <c r="O121" s="327"/>
      <c r="P121" s="328"/>
      <c r="Q121" s="329"/>
      <c r="R121" s="327"/>
      <c r="S121" s="328"/>
      <c r="T121" s="329"/>
      <c r="U121" s="327"/>
      <c r="V121" s="328"/>
      <c r="W121" s="329"/>
      <c r="X121" s="327"/>
      <c r="Y121" s="328"/>
      <c r="Z121" s="329"/>
      <c r="AA121" s="327"/>
      <c r="AB121" s="328"/>
      <c r="AC121" s="329"/>
      <c r="AD121" s="327"/>
      <c r="AE121" s="328"/>
      <c r="AF121" s="329"/>
      <c r="AG121" s="327"/>
      <c r="AH121" s="328"/>
      <c r="AI121" s="329"/>
      <c r="AJ121" s="327"/>
      <c r="AK121" s="328"/>
      <c r="AL121" s="329"/>
      <c r="AM121" s="327"/>
      <c r="AN121" s="328"/>
      <c r="AO121" s="329"/>
      <c r="AP121" s="327"/>
      <c r="AQ121" s="328"/>
      <c r="AR121" s="329"/>
      <c r="AT121" s="366"/>
      <c r="AU121" s="366"/>
      <c r="AW121" s="203"/>
      <c r="AX121" s="96"/>
      <c r="AY121" s="464" t="s">
        <v>245</v>
      </c>
      <c r="AZ121" s="465"/>
      <c r="BA121" s="465"/>
      <c r="BB121" s="218">
        <f>SUM(MAX(I121,J121),MAX(L121,M121),MAX(O121,P121),MAX(R121,S121),MAX(U121,V121),MAX(X121,Y121),MAX(AA121,AB121),MAX(AD121,AE121),MAX(AG121,AH121),MAX(AJ121,AK121),MAX(AM121,AN121),MAX(AP121,AQ121))</f>
        <v>0</v>
      </c>
      <c r="BC121" s="389"/>
      <c r="BD121" s="487" t="s">
        <v>574</v>
      </c>
      <c r="BE121" s="96"/>
      <c r="BF121" s="96"/>
      <c r="BG121" s="96"/>
      <c r="BH121" s="203"/>
    </row>
    <row r="122" spans="2:60" ht="16">
      <c r="B122" s="163"/>
      <c r="D122" s="346"/>
      <c r="E122" s="475" t="s">
        <v>588</v>
      </c>
      <c r="F122" s="476"/>
      <c r="G122" s="477"/>
      <c r="H122" s="390"/>
      <c r="I122" s="467">
        <f>D122+IF(I120&gt;J120,I120,J120)-IF(J121&lt;I121,I121,J121)</f>
        <v>0</v>
      </c>
      <c r="J122" s="468"/>
      <c r="K122" s="219"/>
      <c r="L122" s="467">
        <f t="shared" ref="L122" si="380">I122+IF(L120&gt;M120,L120,M120)-IF(M121&lt;L121,L121,M121)</f>
        <v>0</v>
      </c>
      <c r="M122" s="468"/>
      <c r="N122" s="219"/>
      <c r="O122" s="467">
        <f t="shared" ref="O122" si="381">L122+IF(O120&gt;P120,O120,P120)-IF(P121&lt;O121,O121,P121)</f>
        <v>0</v>
      </c>
      <c r="P122" s="468"/>
      <c r="Q122" s="219"/>
      <c r="R122" s="467">
        <f t="shared" ref="R122" si="382">O122+IF(R120&gt;S120,R120,S120)-IF(S121&lt;R121,R121,S121)</f>
        <v>0</v>
      </c>
      <c r="S122" s="468"/>
      <c r="T122" s="219"/>
      <c r="U122" s="467">
        <f t="shared" ref="U122" si="383">R122+IF(U120&gt;V120,U120,V120)-IF(V121&lt;U121,U121,V121)</f>
        <v>0</v>
      </c>
      <c r="V122" s="468"/>
      <c r="W122" s="219"/>
      <c r="X122" s="467">
        <f t="shared" ref="X122" si="384">U122+IF(X120&gt;Y120,X120,Y120)-IF(Y121&lt;X121,X121,Y121)</f>
        <v>0</v>
      </c>
      <c r="Y122" s="468"/>
      <c r="Z122" s="219"/>
      <c r="AA122" s="467">
        <f t="shared" ref="AA122" si="385">X122+IF(AA120&gt;AB120,AA120,AB120)-IF(AB121&lt;AA121,AA121,AB121)</f>
        <v>0</v>
      </c>
      <c r="AB122" s="468"/>
      <c r="AC122" s="219"/>
      <c r="AD122" s="467">
        <f t="shared" ref="AD122" si="386">AA122+IF(AD120&gt;AE120,AD120,AE120)-IF(AE121&lt;AD121,AD121,AE121)</f>
        <v>0</v>
      </c>
      <c r="AE122" s="468"/>
      <c r="AF122" s="219"/>
      <c r="AG122" s="467">
        <f t="shared" ref="AG122" si="387">AD122+IF(AG120&gt;AH120,AG120,AH120)-IF(AH121&lt;AG121,AG121,AH121)</f>
        <v>0</v>
      </c>
      <c r="AH122" s="468"/>
      <c r="AI122" s="219"/>
      <c r="AJ122" s="467">
        <f t="shared" ref="AJ122" si="388">AG122+IF(AJ120&gt;AK120,AJ120,AK120)-IF(AK121&lt;AJ121,AJ121,AK121)</f>
        <v>0</v>
      </c>
      <c r="AK122" s="468"/>
      <c r="AL122" s="219"/>
      <c r="AM122" s="467">
        <f t="shared" ref="AM122" si="389">AJ122+IF(AM120&gt;AN120,AM120,AN120)-IF(AN121&lt;AM121,AM121,AN121)</f>
        <v>0</v>
      </c>
      <c r="AN122" s="468"/>
      <c r="AO122" s="219"/>
      <c r="AP122" s="467">
        <f t="shared" ref="AP122" si="390">AM122+IF(AP120&gt;AQ120,AP120,AQ120)-IF(AQ121&lt;AP121,AP121,AQ121)</f>
        <v>0</v>
      </c>
      <c r="AQ122" s="468"/>
      <c r="AR122" s="219"/>
      <c r="AT122" s="361">
        <f t="shared" ref="AT122" si="391">AP122+BB120</f>
        <v>0</v>
      </c>
      <c r="AU122" s="363">
        <f t="shared" ref="AU122" si="392">AP122+BB120*4</f>
        <v>0</v>
      </c>
      <c r="AW122" s="203"/>
      <c r="AX122" s="96"/>
      <c r="AY122" s="472" t="str">
        <f>IF(E122="","",E122)</f>
        <v>PATRIMOINE</v>
      </c>
      <c r="AZ122" s="473"/>
      <c r="BA122" s="474"/>
      <c r="BB122" s="414">
        <f>AP122</f>
        <v>0</v>
      </c>
      <c r="BC122" s="389"/>
      <c r="BD122" s="487"/>
      <c r="BE122" s="96"/>
      <c r="BF122" s="96"/>
      <c r="BG122" s="96"/>
      <c r="BH122" s="203"/>
    </row>
    <row r="123" spans="2:60" ht="16">
      <c r="B123" s="163"/>
      <c r="D123" s="345">
        <f>1+D120</f>
        <v>24</v>
      </c>
      <c r="E123" s="458" t="s">
        <v>591</v>
      </c>
      <c r="F123" s="459"/>
      <c r="G123" s="460"/>
      <c r="H123" s="389"/>
      <c r="I123" s="324"/>
      <c r="J123" s="325"/>
      <c r="K123" s="326"/>
      <c r="L123" s="324"/>
      <c r="M123" s="325"/>
      <c r="N123" s="326"/>
      <c r="O123" s="324"/>
      <c r="P123" s="325"/>
      <c r="Q123" s="326"/>
      <c r="R123" s="324"/>
      <c r="S123" s="325"/>
      <c r="T123" s="326"/>
      <c r="U123" s="324"/>
      <c r="V123" s="325"/>
      <c r="W123" s="326"/>
      <c r="X123" s="324"/>
      <c r="Y123" s="325"/>
      <c r="Z123" s="326"/>
      <c r="AA123" s="324"/>
      <c r="AB123" s="325"/>
      <c r="AC123" s="326"/>
      <c r="AD123" s="324"/>
      <c r="AE123" s="325"/>
      <c r="AF123" s="326"/>
      <c r="AG123" s="324"/>
      <c r="AH123" s="325"/>
      <c r="AI123" s="326"/>
      <c r="AJ123" s="324"/>
      <c r="AK123" s="325"/>
      <c r="AL123" s="326"/>
      <c r="AM123" s="324"/>
      <c r="AN123" s="325"/>
      <c r="AO123" s="326"/>
      <c r="AP123" s="324"/>
      <c r="AQ123" s="325"/>
      <c r="AR123" s="326"/>
      <c r="AT123" s="367" t="str">
        <f>CONCATENATE("Moy. de ",INT(BB123/12)," €/mois")</f>
        <v>Moy. de 0 €/mois</v>
      </c>
      <c r="AU123" s="367" t="str">
        <f t="shared" ref="AU123" si="393">CONCATENATE("Moy. de ",INT(BB123/12)," €/mois")</f>
        <v>Moy. de 0 €/mois</v>
      </c>
      <c r="AW123" s="203"/>
      <c r="AX123" s="96"/>
      <c r="AY123" s="461" t="str">
        <f>IF(E123="","",E123)</f>
        <v>PATRIMOINE D - AUTRES (Parts de sociétés, cryptomonnaie, créances, etc.)</v>
      </c>
      <c r="AZ123" s="462"/>
      <c r="BA123" s="463"/>
      <c r="BB123" s="217">
        <f>SUM(MAX(I123,J123),MAX(L123,M123),MAX(O123,P123),MAX(R123,S123),MAX(U123,V123),MAX(X123,Y123),MAX(AA123,AB123),MAX(AD123,AE123),MAX(AG123,AH123),MAX(AJ123,AK123),MAX(AM123,AN123),MAX(AP123,AQ123))</f>
        <v>0</v>
      </c>
      <c r="BC123" s="389"/>
      <c r="BD123" s="405">
        <f t="shared" ref="BD123" si="394">BB123/12</f>
        <v>0</v>
      </c>
      <c r="BE123" s="96"/>
      <c r="BF123" s="96"/>
      <c r="BG123" s="96"/>
      <c r="BH123" s="203"/>
    </row>
    <row r="124" spans="2:60" ht="14">
      <c r="B124" s="163"/>
      <c r="D124" s="365" t="s">
        <v>542</v>
      </c>
      <c r="E124" s="436" t="str">
        <f>IF(BB123=0,"",INT(SUM(IF(K123="ok",J123,0),IF(N123="ok",M123,0),IF(Q123="ok",P123,0),IF(T123="ok",S123,0),IF(W123="ok",V123,0),IF(Z123="ok",Y123,0),IF(AC123="ok",AB123,0),IF(AF123="ok",AE123,0),IF(AI123="ok",AH123,0),IF(AL123="ok",AK123,0),IF(AO123="ok",AN123,0),IF(AR123="ok",AQ123,0))*100/BB123)/100)</f>
        <v/>
      </c>
      <c r="F124" s="375" t="str">
        <f>IF(BB123=0,"",CONCATENATE("de l'objectif annuel atteint ","(",INT(SUM(IF(K123="ok",J123,0),IF(N123="ok",M123,0),IF(Q123="ok",P123,0),IF(T123="ok",S123,0),IF(W123="ok",V123,0),IF(Z123="ok",Y123,0),IF(AC123="ok",AB123,0),IF(AF123="ok",AE123,0),IF(AI123="ok",AH123,0),IF(AL123="ok",AK123,0),IF(AO123="ok",AN123,0),IF(AR123="ok",AQ123,0)))," € / ",BB123,")",IF(BB123=INT(SUM(IF(K123="ok",J123,0),IF(N123="ok",M123,0),IF(Q123="ok",P123,0),IF(T123="ok",S123,0),IF(W123="ok",V123,0),IF(Z123="ok",Y123,0),IF(AC123="ok",AB123,0),IF(AF123="ok",AE123,0),IF(AI123="ok",AH123,0),IF(AL123="ok",AK123,0),IF(AO123="ok",AN123,0),IF(AR123="ok",AQ123,0))),"",CONCATENATE(" : manque ",BB123-INT(SUM(IF(K123="ok",J123,0),IF(N123="ok",M123,0),IF(Q123="ok",P123,0),IF(T123="ok",S123,0),IF(W123="ok",V123,0),IF(Z123="ok",Y123,0),IF(AC123="ok",AB123,0),IF(AF123="ok",AE123,0),IF(AI123="ok",AH123,0),IF(AL123="ok",AK123,0),IF(AO123="ok",AN123,0),IF(AR123="ok",AQ123,0)))," €"))))</f>
        <v/>
      </c>
      <c r="G124" s="359" t="s">
        <v>536</v>
      </c>
      <c r="H124" s="389"/>
      <c r="I124" s="327"/>
      <c r="J124" s="328"/>
      <c r="K124" s="329"/>
      <c r="L124" s="327"/>
      <c r="M124" s="328"/>
      <c r="N124" s="329"/>
      <c r="O124" s="327"/>
      <c r="P124" s="328"/>
      <c r="Q124" s="329"/>
      <c r="R124" s="327"/>
      <c r="S124" s="328"/>
      <c r="T124" s="329"/>
      <c r="U124" s="327"/>
      <c r="V124" s="328"/>
      <c r="W124" s="329"/>
      <c r="X124" s="327"/>
      <c r="Y124" s="328"/>
      <c r="Z124" s="329"/>
      <c r="AA124" s="327"/>
      <c r="AB124" s="328"/>
      <c r="AC124" s="329"/>
      <c r="AD124" s="327"/>
      <c r="AE124" s="328"/>
      <c r="AF124" s="329"/>
      <c r="AG124" s="327"/>
      <c r="AH124" s="328"/>
      <c r="AI124" s="329"/>
      <c r="AJ124" s="327"/>
      <c r="AK124" s="328"/>
      <c r="AL124" s="329"/>
      <c r="AM124" s="327"/>
      <c r="AN124" s="328"/>
      <c r="AO124" s="329"/>
      <c r="AP124" s="327"/>
      <c r="AQ124" s="328"/>
      <c r="AR124" s="329"/>
      <c r="AT124" s="366"/>
      <c r="AU124" s="366"/>
      <c r="AW124" s="203"/>
      <c r="AX124" s="96"/>
      <c r="AY124" s="464" t="s">
        <v>245</v>
      </c>
      <c r="AZ124" s="465"/>
      <c r="BA124" s="465"/>
      <c r="BB124" s="218">
        <f>SUM(MAX(I124,J124),MAX(L124,M124),MAX(O124,P124),MAX(R124,S124),MAX(U124,V124),MAX(X124,Y124),MAX(AA124,AB124),MAX(AD124,AE124),MAX(AG124,AH124),MAX(AJ124,AK124),MAX(AM124,AN124),MAX(AP124,AQ124))</f>
        <v>0</v>
      </c>
      <c r="BC124" s="389"/>
      <c r="BD124" s="487" t="s">
        <v>574</v>
      </c>
      <c r="BE124" s="96"/>
      <c r="BF124" s="96"/>
      <c r="BG124" s="96"/>
      <c r="BH124" s="203"/>
    </row>
    <row r="125" spans="2:60" ht="16">
      <c r="B125" s="163"/>
      <c r="D125" s="346"/>
      <c r="E125" s="475" t="s">
        <v>588</v>
      </c>
      <c r="F125" s="476"/>
      <c r="G125" s="477"/>
      <c r="H125" s="390"/>
      <c r="I125" s="467">
        <f>D125+IF(I123&gt;J123,I123,J123)-IF(J124&lt;I124,I124,J124)</f>
        <v>0</v>
      </c>
      <c r="J125" s="468"/>
      <c r="K125" s="219"/>
      <c r="L125" s="467">
        <f>I125+IF(L123&gt;M123,L123,M123)-IF(M124&lt;L124,L124,M124)</f>
        <v>0</v>
      </c>
      <c r="M125" s="468"/>
      <c r="N125" s="219"/>
      <c r="O125" s="467">
        <f t="shared" ref="O125" si="395">L125+IF(O123&gt;P123,O123,P123)-IF(P124&lt;O124,O124,P124)</f>
        <v>0</v>
      </c>
      <c r="P125" s="468"/>
      <c r="Q125" s="219"/>
      <c r="R125" s="467">
        <f t="shared" ref="R125" si="396">O125+IF(R123&gt;S123,R123,S123)-IF(S124&lt;R124,R124,S124)</f>
        <v>0</v>
      </c>
      <c r="S125" s="468"/>
      <c r="T125" s="219"/>
      <c r="U125" s="467">
        <f t="shared" ref="U125" si="397">R125+IF(U123&gt;V123,U123,V123)-IF(V124&lt;U124,U124,V124)</f>
        <v>0</v>
      </c>
      <c r="V125" s="468"/>
      <c r="W125" s="219"/>
      <c r="X125" s="467">
        <f t="shared" ref="X125" si="398">U125+IF(X123&gt;Y123,X123,Y123)-IF(Y124&lt;X124,X124,Y124)</f>
        <v>0</v>
      </c>
      <c r="Y125" s="468"/>
      <c r="Z125" s="219"/>
      <c r="AA125" s="467">
        <f t="shared" ref="AA125" si="399">X125+IF(AA123&gt;AB123,AA123,AB123)-IF(AB124&lt;AA124,AA124,AB124)</f>
        <v>0</v>
      </c>
      <c r="AB125" s="468"/>
      <c r="AC125" s="219"/>
      <c r="AD125" s="467">
        <f t="shared" ref="AD125" si="400">AA125+IF(AD123&gt;AE123,AD123,AE123)-IF(AE124&lt;AD124,AD124,AE124)</f>
        <v>0</v>
      </c>
      <c r="AE125" s="468"/>
      <c r="AF125" s="219"/>
      <c r="AG125" s="467">
        <f t="shared" ref="AG125" si="401">AD125+IF(AG123&gt;AH123,AG123,AH123)-IF(AH124&lt;AG124,AG124,AH124)</f>
        <v>0</v>
      </c>
      <c r="AH125" s="468"/>
      <c r="AI125" s="219"/>
      <c r="AJ125" s="467">
        <f t="shared" ref="AJ125" si="402">AG125+IF(AJ123&gt;AK123,AJ123,AK123)-IF(AK124&lt;AJ124,AJ124,AK124)</f>
        <v>0</v>
      </c>
      <c r="AK125" s="468"/>
      <c r="AL125" s="219"/>
      <c r="AM125" s="467">
        <f t="shared" ref="AM125" si="403">AJ125+IF(AM123&gt;AN123,AM123,AN123)-IF(AN124&lt;AM124,AM124,AN124)</f>
        <v>0</v>
      </c>
      <c r="AN125" s="468"/>
      <c r="AO125" s="219"/>
      <c r="AP125" s="467">
        <f t="shared" ref="AP125" si="404">AM125+IF(AP123&gt;AQ123,AP123,AQ123)-IF(AQ124&lt;AP124,AP124,AQ124)</f>
        <v>0</v>
      </c>
      <c r="AQ125" s="468"/>
      <c r="AR125" s="219"/>
      <c r="AT125" s="361">
        <f t="shared" ref="AT125" si="405">AP125+BB123</f>
        <v>0</v>
      </c>
      <c r="AU125" s="363">
        <f t="shared" ref="AU125" si="406">AP125+BB123*4</f>
        <v>0</v>
      </c>
      <c r="AW125" s="203"/>
      <c r="AX125" s="96"/>
      <c r="AY125" s="472" t="str">
        <f>IF(E125="","",E125)</f>
        <v>PATRIMOINE</v>
      </c>
      <c r="AZ125" s="473"/>
      <c r="BA125" s="474"/>
      <c r="BB125" s="414">
        <f>AP125</f>
        <v>0</v>
      </c>
      <c r="BC125" s="389"/>
      <c r="BD125" s="487"/>
      <c r="BE125" s="96"/>
      <c r="BF125" s="96"/>
      <c r="BG125" s="96"/>
      <c r="BH125" s="203"/>
    </row>
    <row r="126" spans="2:60" ht="16">
      <c r="D126" s="1"/>
      <c r="E126" s="1"/>
      <c r="F126" s="466" t="s">
        <v>84</v>
      </c>
      <c r="G126" s="466"/>
      <c r="I126" s="514">
        <f>SUM(MAX(I54,J54),MAX(J57,I57),MAX(I60,J60),MAX(I63,J63),MAX(I66,J66),MAX(I69,J69),MAX(I72,J72),MAX(I75,J75),MAX(I78,J78),MAX(I81,J81),MAX(I84,J84),MAX(I87,J87),MAX(I90,J90),MAX(I93,J93),MAX(I96,J96),MAX(I99,J99),MAX(I102,J102),MAX(I105,J105),MAX(I108,J108),MAX(I111,J111),MAX(I114,J114),MAX(I117,J117),MAX(I120,J120),MAX(I123,J123))</f>
        <v>1048</v>
      </c>
      <c r="J126" s="515"/>
      <c r="K126" s="221"/>
      <c r="L126" s="514">
        <f t="shared" ref="L126" si="407">SUM(MAX(L54,M54),MAX(M57,L57),MAX(L60,M60),MAX(L63,M63),MAX(L66,M66),MAX(L69,M69),MAX(L72,M72),MAX(L75,M75),MAX(L78,M78),MAX(L81,M81),MAX(L84,M84),MAX(L87,M87),MAX(L90,M90),MAX(L93,M93),MAX(L96,M96),MAX(L99,M99),MAX(L102,M102),MAX(L105,M105),MAX(L108,M108),MAX(L111,M111),MAX(L114,M114),MAX(L117,M117),MAX(L120,M120),MAX(L123,M123))</f>
        <v>1048</v>
      </c>
      <c r="M126" s="515"/>
      <c r="N126" s="221"/>
      <c r="O126" s="514">
        <f t="shared" ref="O126" si="408">SUM(MAX(O54,P54),MAX(P57,O57),MAX(O60,P60),MAX(O63,P63),MAX(O66,P66),MAX(O69,P69),MAX(O72,P72),MAX(O75,P75),MAX(O78,P78),MAX(O81,P81),MAX(O84,P84),MAX(O87,P87),MAX(O90,P90),MAX(O93,P93),MAX(O96,P96),MAX(O99,P99),MAX(O102,P102),MAX(O105,P105),MAX(O108,P108),MAX(O111,P111),MAX(O114,P114),MAX(O117,P117),MAX(O120,P120),MAX(O123,P123))</f>
        <v>1048</v>
      </c>
      <c r="P126" s="515"/>
      <c r="Q126" s="221"/>
      <c r="R126" s="514">
        <f>SUM(MAX(R54,S54),MAX(S57,R57),MAX(R60,S60),MAX(R63,S63),MAX(R66,S66),MAX(R69,S69),MAX(R72,S72),MAX(R75,S75),MAX(R78,S78),MAX(R81,S81),MAX(R84,S84),MAX(R87,S87),MAX(R90,S90),MAX(R93,S93),MAX(R96,S96),MAX(R99,S99),MAX(R102,S102),MAX(R105,S105),MAX(R108,S108),MAX(R111,S111),MAX(R114,S114),MAX(R117,S117),MAX(R120,S120),MAX(R123,S123))</f>
        <v>1048</v>
      </c>
      <c r="S126" s="515"/>
      <c r="T126" s="221"/>
      <c r="U126" s="514">
        <f t="shared" ref="U126" si="409">SUM(MAX(U54,V54),MAX(V57,U57),MAX(U60,V60),MAX(U63,V63),MAX(U66,V66),MAX(U69,V69),MAX(U72,V72),MAX(U75,V75),MAX(U78,V78),MAX(U81,V81),MAX(U84,V84),MAX(U87,V87),MAX(U90,V90),MAX(U93,V93),MAX(U96,V96),MAX(U99,V99),MAX(U102,V102),MAX(U105,V105),MAX(U108,V108),MAX(U111,V111),MAX(U114,V114),MAX(U117,V117),MAX(U120,V120),MAX(U123,V123))</f>
        <v>800</v>
      </c>
      <c r="V126" s="515"/>
      <c r="W126" s="221"/>
      <c r="X126" s="514">
        <f t="shared" ref="X126" si="410">SUM(MAX(X54,Y54),MAX(Y57,X57),MAX(X60,Y60),MAX(X63,Y63),MAX(X66,Y66),MAX(X69,Y69),MAX(X72,Y72),MAX(X75,Y75),MAX(X78,Y78),MAX(X81,Y81),MAX(X84,Y84),MAX(X87,Y87),MAX(X90,Y90),MAX(X93,Y93),MAX(X96,Y96),MAX(X99,Y99),MAX(X102,Y102),MAX(X105,Y105),MAX(X108,Y108),MAX(X111,Y111),MAX(X114,Y114),MAX(X117,Y117),MAX(X120,Y120),MAX(X123,Y123))</f>
        <v>450</v>
      </c>
      <c r="Y126" s="515"/>
      <c r="Z126" s="221"/>
      <c r="AA126" s="514">
        <f t="shared" ref="AA126" si="411">SUM(MAX(AA54,AB54),MAX(AB57,AA57),MAX(AA60,AB60),MAX(AA63,AB63),MAX(AA66,AB66),MAX(AA69,AB69),MAX(AA72,AB72),MAX(AA75,AB75),MAX(AA78,AB78),MAX(AA81,AB81),MAX(AA84,AB84),MAX(AA87,AB87),MAX(AA90,AB90),MAX(AA93,AB93),MAX(AA96,AB96),MAX(AA99,AB99),MAX(AA102,AB102),MAX(AA105,AB105),MAX(AA108,AB108),MAX(AA111,AB111),MAX(AA114,AB114),MAX(AA117,AB117),MAX(AA120,AB120),MAX(AA123,AB123))</f>
        <v>450</v>
      </c>
      <c r="AB126" s="515"/>
      <c r="AC126" s="221"/>
      <c r="AD126" s="514">
        <f t="shared" ref="AD126" si="412">SUM(MAX(AD54,AE54),MAX(AE57,AD57),MAX(AD60,AE60),MAX(AD63,AE63),MAX(AD66,AE66),MAX(AD69,AE69),MAX(AD72,AE72),MAX(AD75,AE75),MAX(AD78,AE78),MAX(AD81,AE81),MAX(AD84,AE84),MAX(AD87,AE87),MAX(AD90,AE90),MAX(AD93,AE93),MAX(AD96,AE96),MAX(AD99,AE99),MAX(AD102,AE102),MAX(AD105,AE105),MAX(AD108,AE108),MAX(AD111,AE111),MAX(AD114,AE114),MAX(AD117,AE117),MAX(AD120,AE120),MAX(AD123,AE123))</f>
        <v>450</v>
      </c>
      <c r="AE126" s="515"/>
      <c r="AF126" s="221"/>
      <c r="AG126" s="514">
        <f t="shared" ref="AG126" si="413">SUM(MAX(AG54,AH54),MAX(AH57,AG57),MAX(AG60,AH60),MAX(AG63,AH63),MAX(AG66,AH66),MAX(AG69,AH69),MAX(AG72,AH72),MAX(AG75,AH75),MAX(AG78,AH78),MAX(AG81,AH81),MAX(AG84,AH84),MAX(AG87,AH87),MAX(AG90,AH90),MAX(AG93,AH93),MAX(AG96,AH96),MAX(AG99,AH99),MAX(AG102,AH102),MAX(AG105,AH105),MAX(AG108,AH108),MAX(AG111,AH111),MAX(AG114,AH114),MAX(AG117,AH117),MAX(AG120,AH120),MAX(AG123,AH123))</f>
        <v>450</v>
      </c>
      <c r="AH126" s="515"/>
      <c r="AI126" s="221"/>
      <c r="AJ126" s="514">
        <f t="shared" ref="AJ126" si="414">SUM(MAX(AJ54,AK54),MAX(AK57,AJ57),MAX(AJ60,AK60),MAX(AJ63,AK63),MAX(AJ66,AK66),MAX(AJ69,AK69),MAX(AJ72,AK72),MAX(AJ75,AK75),MAX(AJ78,AK78),MAX(AJ81,AK81),MAX(AJ84,AK84),MAX(AJ87,AK87),MAX(AJ90,AK90),MAX(AJ93,AK93),MAX(AJ96,AK96),MAX(AJ99,AK99),MAX(AJ102,AK102),MAX(AJ105,AK105),MAX(AJ108,AK108),MAX(AJ111,AK111),MAX(AJ114,AK114),MAX(AJ117,AK117),MAX(AJ120,AK120),MAX(AJ123,AK123))</f>
        <v>450</v>
      </c>
      <c r="AK126" s="515"/>
      <c r="AL126" s="221"/>
      <c r="AM126" s="514">
        <f t="shared" ref="AM126" si="415">SUM(MAX(AM54,AN54),MAX(AN57,AM57),MAX(AM60,AN60),MAX(AM63,AN63),MAX(AM66,AN66),MAX(AM69,AN69),MAX(AM72,AN72),MAX(AM75,AN75),MAX(AM78,AN78),MAX(AM81,AN81),MAX(AM84,AN84),MAX(AM87,AN87),MAX(AM90,AN90),MAX(AM93,AN93),MAX(AM96,AN96),MAX(AM99,AN99),MAX(AM102,AN102),MAX(AM105,AN105),MAX(AM108,AN108),MAX(AM111,AN111),MAX(AM114,AN114),MAX(AM117,AN117),MAX(AM120,AN120),MAX(AM123,AN123))</f>
        <v>450</v>
      </c>
      <c r="AN126" s="515"/>
      <c r="AO126" s="221"/>
      <c r="AP126" s="514">
        <f>SUM(MAX(AP54,AQ54),MAX(AQ57,AP57),MAX(AP60,AQ60),MAX(AP63,AQ63),MAX(AP66,AQ66),MAX(AP69,AQ69),MAX(AP72,AQ72),MAX(AP75,AQ75),MAX(AP78,AQ78),MAX(AP81,AQ81),MAX(AP84,AQ84),MAX(AP87,AQ87),MAX(AP90,AQ90),MAX(AP93,AQ93),MAX(AP96,AQ96),MAX(AP99,AQ99),MAX(AP102,AQ102),MAX(AP105,AQ105),MAX(AP108,AQ108),MAX(AP111,AQ111),MAX(AP114,AQ114),MAX(AP117,AQ117),MAX(AP120,AQ120),MAX(AP123,AQ123))</f>
        <v>450</v>
      </c>
      <c r="AQ126" s="515"/>
      <c r="AR126" s="221"/>
      <c r="AT126" s="360" t="s">
        <v>537</v>
      </c>
      <c r="AU126" s="362" t="s">
        <v>540</v>
      </c>
      <c r="AW126" s="203"/>
      <c r="AX126" s="96"/>
      <c r="AY126" s="687" t="s">
        <v>252</v>
      </c>
      <c r="AZ126" s="687"/>
      <c r="BA126" s="687"/>
      <c r="BB126" s="418">
        <f>SUM(I126:AR126)</f>
        <v>8142</v>
      </c>
      <c r="BC126" s="712" t="str">
        <f>IF($BB$34=0,"",CONCATENATE("(",INT((BB126*100)/$BB$34),"% ressources annuelles)"))</f>
        <v>(19% ressources annuelles)</v>
      </c>
      <c r="BD126" s="713"/>
      <c r="BE126" s="96"/>
      <c r="BF126" s="96"/>
      <c r="BG126" s="96"/>
      <c r="BH126" s="203"/>
    </row>
    <row r="127" spans="2:60" ht="16">
      <c r="D127" s="1"/>
      <c r="E127" s="1"/>
      <c r="F127" s="588" t="s">
        <v>85</v>
      </c>
      <c r="G127" s="588"/>
      <c r="I127" s="512">
        <f>SUM(I56,I59,I62,I65,I68,I71,I74,I77,I80,I83,I86,I89,I92,I95,I98,I101,I104,I107,I110,I113,I116,I119,I122,I125)</f>
        <v>50889</v>
      </c>
      <c r="J127" s="513"/>
      <c r="K127" s="221"/>
      <c r="L127" s="512">
        <f t="shared" ref="L127" si="416">SUM(L56,L59,L62,L65,L68,L71,L74,L77,L80,L83,L86,L89,L92,L95,L98,L101,L104,L107,L110,L113,L116,L119,L122,L125)</f>
        <v>51937</v>
      </c>
      <c r="M127" s="513"/>
      <c r="N127" s="221"/>
      <c r="O127" s="512">
        <f t="shared" ref="O127" si="417">SUM(O56,O59,O62,O65,O68,O71,O74,O77,O80,O83,O86,O89,O92,O95,O98,O101,O104,O107,O110,O113,O116,O119,O122,O125)</f>
        <v>52985</v>
      </c>
      <c r="P127" s="513"/>
      <c r="Q127" s="221"/>
      <c r="R127" s="512">
        <f t="shared" ref="R127" si="418">SUM(R56,R59,R62,R65,R68,R71,R74,R77,R80,R83,R86,R89,R92,R95,R98,R101,R104,R107,R110,R113,R116,R119,R122,R125)</f>
        <v>54033</v>
      </c>
      <c r="S127" s="513"/>
      <c r="T127" s="221"/>
      <c r="U127" s="512">
        <f t="shared" ref="U127" si="419">SUM(U56,U59,U62,U65,U68,U71,U74,U77,U80,U83,U86,U89,U92,U95,U98,U101,U104,U107,U110,U113,U116,U119,U122,U125)</f>
        <v>54833</v>
      </c>
      <c r="V127" s="513"/>
      <c r="W127" s="221"/>
      <c r="X127" s="512">
        <f t="shared" ref="X127" si="420">SUM(X56,X59,X62,X65,X68,X71,X74,X77,X80,X83,X86,X89,X92,X95,X98,X101,X104,X107,X110,X113,X116,X119,X122,X125)</f>
        <v>55283</v>
      </c>
      <c r="Y127" s="513"/>
      <c r="Z127" s="221"/>
      <c r="AA127" s="512">
        <f t="shared" ref="AA127" si="421">SUM(AA56,AA59,AA62,AA65,AA68,AA71,AA74,AA77,AA80,AA83,AA86,AA89,AA92,AA95,AA98,AA101,AA104,AA107,AA110,AA113,AA116,AA119,AA122,AA125)</f>
        <v>45733</v>
      </c>
      <c r="AB127" s="513"/>
      <c r="AC127" s="221"/>
      <c r="AD127" s="512">
        <f t="shared" ref="AD127" si="422">SUM(AD56,AD59,AD62,AD65,AD68,AD71,AD74,AD77,AD80,AD83,AD86,AD89,AD92,AD95,AD98,AD101,AD104,AD107,AD110,AD113,AD116,AD119,AD122,AD125)</f>
        <v>46183</v>
      </c>
      <c r="AE127" s="513"/>
      <c r="AF127" s="221"/>
      <c r="AG127" s="512">
        <f t="shared" ref="AG127" si="423">SUM(AG56,AG59,AG62,AG65,AG68,AG71,AG74,AG77,AG80,AG83,AG86,AG89,AG92,AG95,AG98,AG101,AG104,AG107,AG110,AG113,AG116,AG119,AG122,AG125)</f>
        <v>46633</v>
      </c>
      <c r="AH127" s="513"/>
      <c r="AI127" s="221"/>
      <c r="AJ127" s="512">
        <f t="shared" ref="AJ127" si="424">SUM(AJ56,AJ59,AJ62,AJ65,AJ68,AJ71,AJ74,AJ77,AJ80,AJ83,AJ86,AJ89,AJ92,AJ95,AJ98,AJ101,AJ104,AJ107,AJ110,AJ113,AJ116,AJ119,AJ122,AJ125)</f>
        <v>47083</v>
      </c>
      <c r="AK127" s="513"/>
      <c r="AL127" s="221"/>
      <c r="AM127" s="512">
        <f t="shared" ref="AM127" si="425">SUM(AM56,AM59,AM62,AM65,AM68,AM71,AM74,AM77,AM80,AM83,AM86,AM89,AM92,AM95,AM98,AM101,AM104,AM107,AM110,AM113,AM116,AM119,AM122,AM125)</f>
        <v>47533</v>
      </c>
      <c r="AN127" s="513"/>
      <c r="AO127" s="221"/>
      <c r="AP127" s="512">
        <f>SUM(AP56,AP59,AP62,AP65,AP68,AP71,AP74,AP77,AP80,AP83,AP86,AP89,AP92,AP95,AP98,AP101,AP104,AP107,AP110,AP113,AP116,AP119,AP122,AP125)</f>
        <v>47983</v>
      </c>
      <c r="AQ127" s="513"/>
      <c r="AR127" s="221"/>
      <c r="AT127" s="364">
        <f>SUM(IF(D55="ExtraP Off",0,AT56),IF(D58="ExtraP Off",0,AT59),IF(D61="ExtraP Off",0,AT62),IF(D64="ExtraP Off",0,AT65),IF(D67="ExtraP Off",0,AT68),IF(D70="ExtraP Off",0,AT71),IF(D73="ExtraP Off",0,AT74),IF(D76="ExtraP Off",0,AT77),IF(D79="ExtraP Off",0,AT80),IF(D82="ExtraP Off",0,AT83),IF(D85="ExtraP Off",0,AT86),IF(D88="ExtraP Off",0,AT89),IF(D91="ExtraP Off",0,AT92),IF(D94="ExtraP Off",0,AT95),IF(D97="ExtraP Off",0,AT98),IF(D100="ExtraP Off",0,AT101),IF(D103="ExtraP Off",0,AT104),IF(D106="ExtraP Off",0,AT107),IF(D109="ExtraP Off",0,AT110),IF(D112="ExtraP Off",0,AT113),IF(D115="ExtraP Off",0,AT116),IF(D118="ExtraP Off",0,AT119),IF(D121="ExtraP Off",0,AT122),IF(D124="ExtraP Off",0,AT125))</f>
        <v>0</v>
      </c>
      <c r="AU127" s="369">
        <f>SUM(IF(D55="ExtraP Off",0,AU56),IF(D58="ExtraP Off",0,AU59),IF(D61="ExtraP Off",0,AU62),IF(D64="ExtraP Off",0,AU65),IF(D67="ExtraP Off",0,AU68),IF(D70="ExtraP Off",0,AU71),IF(D73="ExtraP Off",0,AU74),IF(D76="ExtraP Off",0,AU77),IF(D79="ExtraP Off",0,AU80),IF(D82="ExtraP Off",0,AU83),IF(D85="ExtraP Off",0,AU86),IF(D88="ExtraP Off",0,AU89),IF(D91="ExtraP Off",0,AU92),IF(D94="ExtraP Off",0,AU95),IF(D97="ExtraP Off",0,AU98),IF(D100="ExtraP Off",0,AU101),IF(D103="ExtraP Off",0,AU104),IF(D106="ExtraP Off",0,AU107),IF(D109="ExtraP Off",0,AU110),IF(D112="ExtraP Off",0,AU113),IF(D115="ExtraP Off",0,AU116),IF(D118="ExtraP Off",0,AU119),IF(D121="ExtraP Off",0,AU122),IF(D124="ExtraP Off",0,AU125))</f>
        <v>0</v>
      </c>
      <c r="AW127" s="203"/>
      <c r="AX127" s="96"/>
      <c r="AY127" s="684" t="s">
        <v>244</v>
      </c>
      <c r="AZ127" s="684"/>
      <c r="BA127" s="703"/>
      <c r="BB127" s="415">
        <f>AP127</f>
        <v>47983</v>
      </c>
      <c r="BC127" s="96"/>
      <c r="BD127" s="96"/>
      <c r="BE127" s="96"/>
      <c r="BF127" s="96"/>
      <c r="BG127" s="96"/>
      <c r="BH127" s="203"/>
    </row>
    <row r="128" spans="2:60" ht="16">
      <c r="D128" s="1"/>
      <c r="E128" s="1"/>
      <c r="F128" s="469" t="s">
        <v>592</v>
      </c>
      <c r="G128" s="469"/>
      <c r="I128" s="470">
        <f>SUM(I116,I119,I122,I125)</f>
        <v>0</v>
      </c>
      <c r="J128" s="471"/>
      <c r="K128" s="221"/>
      <c r="L128" s="470">
        <f t="shared" ref="L128" si="426">SUM(L116,L119,L122,L125)</f>
        <v>0</v>
      </c>
      <c r="M128" s="471"/>
      <c r="N128" s="221"/>
      <c r="O128" s="470">
        <f t="shared" ref="O128" si="427">SUM(O116,O119,O122,O125)</f>
        <v>0</v>
      </c>
      <c r="P128" s="471"/>
      <c r="Q128" s="221"/>
      <c r="R128" s="470">
        <f t="shared" ref="R128" si="428">SUM(R116,R119,R122,R125)</f>
        <v>0</v>
      </c>
      <c r="S128" s="471"/>
      <c r="T128" s="221"/>
      <c r="U128" s="470">
        <f t="shared" ref="U128" si="429">SUM(U116,U119,U122,U125)</f>
        <v>0</v>
      </c>
      <c r="V128" s="471"/>
      <c r="W128" s="221"/>
      <c r="X128" s="470">
        <f t="shared" ref="X128" si="430">SUM(X116,X119,X122,X125)</f>
        <v>0</v>
      </c>
      <c r="Y128" s="471"/>
      <c r="Z128" s="221"/>
      <c r="AA128" s="470">
        <f t="shared" ref="AA128" si="431">SUM(AA116,AA119,AA122,AA125)</f>
        <v>0</v>
      </c>
      <c r="AB128" s="471"/>
      <c r="AC128" s="221"/>
      <c r="AD128" s="470">
        <f t="shared" ref="AD128" si="432">SUM(AD116,AD119,AD122,AD125)</f>
        <v>0</v>
      </c>
      <c r="AE128" s="471"/>
      <c r="AF128" s="221"/>
      <c r="AG128" s="470">
        <f t="shared" ref="AG128" si="433">SUM(AG116,AG119,AG122,AG125)</f>
        <v>0</v>
      </c>
      <c r="AH128" s="471"/>
      <c r="AI128" s="221"/>
      <c r="AJ128" s="470">
        <f t="shared" ref="AJ128" si="434">SUM(AJ116,AJ119,AJ122,AJ125)</f>
        <v>0</v>
      </c>
      <c r="AK128" s="471"/>
      <c r="AL128" s="221"/>
      <c r="AM128" s="470">
        <f t="shared" ref="AM128" si="435">SUM(AM116,AM119,AM122,AM125)</f>
        <v>0</v>
      </c>
      <c r="AN128" s="471"/>
      <c r="AO128" s="221"/>
      <c r="AP128" s="470">
        <f t="shared" ref="AP128" si="436">SUM(AP116,AP119,AP122,AP125)</f>
        <v>0</v>
      </c>
      <c r="AQ128" s="471"/>
      <c r="AR128" s="221"/>
      <c r="AT128" s="1"/>
      <c r="AU128" s="1"/>
      <c r="AW128" s="203"/>
      <c r="AX128" s="96"/>
      <c r="AY128" s="456" t="s">
        <v>592</v>
      </c>
      <c r="AZ128" s="456"/>
      <c r="BA128" s="457"/>
      <c r="BB128" s="443">
        <f>SUM(BB116,BB119,BB122,BB125)</f>
        <v>0</v>
      </c>
      <c r="BC128" s="96"/>
      <c r="BD128" s="96"/>
      <c r="BE128" s="96"/>
      <c r="BF128" s="96"/>
      <c r="BG128" s="96"/>
      <c r="BH128" s="203"/>
    </row>
    <row r="129" spans="2:60" s="1" customFormat="1" ht="16">
      <c r="F129" s="469" t="str">
        <f>IF($D$37="Activé","BALANCE de contrôle du GRAND DISPATCHING =","")</f>
        <v>BALANCE de contrôle du GRAND DISPATCHING =</v>
      </c>
      <c r="G129" s="469"/>
      <c r="I129" s="525">
        <f>IF($D$37="Activé",I52-I126,"")</f>
        <v>0</v>
      </c>
      <c r="J129" s="526"/>
      <c r="K129" s="373"/>
      <c r="L129" s="525">
        <f>IF($D$37="Activé",L52-L126,"")</f>
        <v>0</v>
      </c>
      <c r="M129" s="526"/>
      <c r="N129" s="374"/>
      <c r="O129" s="525">
        <f>IF($D$37="Activé",O52-O126,"")</f>
        <v>0</v>
      </c>
      <c r="P129" s="526"/>
      <c r="Q129" s="374"/>
      <c r="R129" s="525">
        <f>IF($D$37="Activé",R52-R126,"")</f>
        <v>0</v>
      </c>
      <c r="S129" s="526"/>
      <c r="T129" s="374"/>
      <c r="U129" s="525">
        <f>IF($D$37="Activé",U52-U126,"")</f>
        <v>-800</v>
      </c>
      <c r="V129" s="526"/>
      <c r="W129" s="374"/>
      <c r="X129" s="525">
        <f>IF($D$37="Activé",X52-X126,"")</f>
        <v>-450</v>
      </c>
      <c r="Y129" s="526"/>
      <c r="Z129" s="374"/>
      <c r="AA129" s="525">
        <f t="shared" ref="AA129" si="437">IF($D$37="Activé",AA52-AA126,"")</f>
        <v>-450</v>
      </c>
      <c r="AB129" s="526"/>
      <c r="AC129" s="374"/>
      <c r="AD129" s="525">
        <f t="shared" ref="AD129" si="438">IF($D$37="Activé",AD52-AD126,"")</f>
        <v>-450</v>
      </c>
      <c r="AE129" s="526"/>
      <c r="AF129" s="374"/>
      <c r="AG129" s="525">
        <f t="shared" ref="AG129" si="439">IF($D$37="Activé",AG52-AG126,"")</f>
        <v>-450</v>
      </c>
      <c r="AH129" s="526"/>
      <c r="AI129" s="374"/>
      <c r="AJ129" s="525">
        <f t="shared" ref="AJ129" si="440">IF($D$37="Activé",AJ52-AJ126,"")</f>
        <v>-450</v>
      </c>
      <c r="AK129" s="526"/>
      <c r="AL129" s="374"/>
      <c r="AM129" s="525">
        <f t="shared" ref="AM129" si="441">IF($D$37="Activé",AM52-AM126,"")</f>
        <v>-450</v>
      </c>
      <c r="AN129" s="526"/>
      <c r="AO129" s="374"/>
      <c r="AP129" s="525">
        <f>IF($D$37="Activé",AP52-AP126,"")</f>
        <v>-450</v>
      </c>
      <c r="AQ129" s="526"/>
      <c r="AR129" s="374"/>
      <c r="AW129" s="203"/>
      <c r="AX129" s="96"/>
      <c r="AY129" s="96"/>
      <c r="AZ129" s="668" t="s">
        <v>534</v>
      </c>
      <c r="BA129" s="668"/>
      <c r="BB129" s="352">
        <f>BB126/12</f>
        <v>678.5</v>
      </c>
      <c r="BC129" s="96"/>
      <c r="BD129" s="96"/>
      <c r="BE129" s="96"/>
      <c r="BF129" s="96"/>
      <c r="BG129" s="96"/>
      <c r="BH129" s="203"/>
    </row>
    <row r="130" spans="2:60" s="1" customFormat="1" ht="21" customHeight="1" thickBot="1">
      <c r="AW130" s="203"/>
      <c r="AX130" s="96"/>
      <c r="AY130" s="96"/>
      <c r="AZ130" s="370"/>
      <c r="BA130" s="370"/>
      <c r="BB130" s="96"/>
      <c r="BC130" s="96"/>
      <c r="BD130" s="96"/>
      <c r="BE130" s="96"/>
      <c r="BF130" s="96"/>
      <c r="BG130" s="96"/>
      <c r="BH130" s="203"/>
    </row>
    <row r="131" spans="2:60">
      <c r="D131" s="1"/>
      <c r="E131" s="540" t="s">
        <v>558</v>
      </c>
      <c r="F131" s="536" t="s">
        <v>134</v>
      </c>
      <c r="G131" s="537"/>
      <c r="I131" s="578">
        <f>I7</f>
        <v>46174</v>
      </c>
      <c r="J131" s="578"/>
      <c r="K131" s="578"/>
      <c r="L131" s="578">
        <f>L7</f>
        <v>46206</v>
      </c>
      <c r="M131" s="578"/>
      <c r="N131" s="578"/>
      <c r="O131" s="578">
        <f t="shared" ref="O131" si="442">O7</f>
        <v>46238</v>
      </c>
      <c r="P131" s="578"/>
      <c r="Q131" s="578"/>
      <c r="R131" s="578">
        <f t="shared" ref="R131" si="443">R7</f>
        <v>46270</v>
      </c>
      <c r="S131" s="578"/>
      <c r="T131" s="578"/>
      <c r="U131" s="578">
        <f t="shared" ref="U131" si="444">U7</f>
        <v>46302</v>
      </c>
      <c r="V131" s="578"/>
      <c r="W131" s="578"/>
      <c r="X131" s="578">
        <f t="shared" ref="X131" si="445">X7</f>
        <v>46334</v>
      </c>
      <c r="Y131" s="578"/>
      <c r="Z131" s="578"/>
      <c r="AA131" s="578">
        <f t="shared" ref="AA131" si="446">AA7</f>
        <v>46366</v>
      </c>
      <c r="AB131" s="578"/>
      <c r="AC131" s="578"/>
      <c r="AD131" s="578">
        <f t="shared" ref="AD131" si="447">AD7</f>
        <v>46398</v>
      </c>
      <c r="AE131" s="578"/>
      <c r="AF131" s="578"/>
      <c r="AG131" s="578">
        <f t="shared" ref="AG131" si="448">AG7</f>
        <v>46430</v>
      </c>
      <c r="AH131" s="578"/>
      <c r="AI131" s="578"/>
      <c r="AJ131" s="578">
        <f t="shared" ref="AJ131" si="449">AJ7</f>
        <v>46462</v>
      </c>
      <c r="AK131" s="578"/>
      <c r="AL131" s="578"/>
      <c r="AM131" s="578">
        <f t="shared" ref="AM131" si="450">AM7</f>
        <v>46494</v>
      </c>
      <c r="AN131" s="578"/>
      <c r="AO131" s="578"/>
      <c r="AP131" s="578">
        <f t="shared" ref="AP131" si="451">AP7</f>
        <v>46526</v>
      </c>
      <c r="AQ131" s="578"/>
      <c r="AR131" s="578"/>
      <c r="AT131" s="358"/>
      <c r="AU131" s="358"/>
      <c r="AW131" s="203"/>
      <c r="AX131" s="96"/>
      <c r="AY131" s="536" t="s">
        <v>134</v>
      </c>
      <c r="AZ131" s="537"/>
      <c r="BA131" s="669"/>
      <c r="BB131" s="96"/>
      <c r="BC131" s="96"/>
      <c r="BD131" s="96"/>
      <c r="BE131" s="96"/>
      <c r="BF131" s="96"/>
      <c r="BG131" s="96"/>
      <c r="BH131" s="203"/>
    </row>
    <row r="132" spans="2:60" ht="16">
      <c r="D132" s="1"/>
      <c r="E132" s="540"/>
      <c r="F132" s="538" t="str">
        <f t="shared" ref="F132" si="452">IF($D$37="Activé","Budgets mensuels disponibles pour les crédits-&gt;","Balances mensuelles -&gt;")</f>
        <v>Budgets mensuels disponibles pour les crédits-&gt;</v>
      </c>
      <c r="G132" s="539"/>
      <c r="I132" s="571">
        <f>IF($D$37="Activé",IF(K41="%",INT(I41*I28/100),I41),I267)</f>
        <v>0</v>
      </c>
      <c r="J132" s="572"/>
      <c r="K132" s="573"/>
      <c r="L132" s="571">
        <f>IF($D$37="Activé",IF(N41="%",INT(L41*L28/100),L41),L267)</f>
        <v>0</v>
      </c>
      <c r="M132" s="572"/>
      <c r="N132" s="573"/>
      <c r="O132" s="571">
        <f>IF($D$37="Activé",IF(Q41="%",INT(O41*O28/100),O41),O267)</f>
        <v>0</v>
      </c>
      <c r="P132" s="572"/>
      <c r="Q132" s="573"/>
      <c r="R132" s="571">
        <f>IF($D$37="Activé",IF(T41="%",INT(R41*R28/100),R41),R267)</f>
        <v>0</v>
      </c>
      <c r="S132" s="572"/>
      <c r="T132" s="573"/>
      <c r="U132" s="571">
        <f>IF($D$37="Activé",IF(W41="%",INT(U41*U28/100),U41),U267)</f>
        <v>0</v>
      </c>
      <c r="V132" s="572"/>
      <c r="W132" s="573"/>
      <c r="X132" s="571">
        <f>IF($D$37="Activé",IF(Z41="%",INT(X41*X28/100),X41),X267)</f>
        <v>0</v>
      </c>
      <c r="Y132" s="572"/>
      <c r="Z132" s="573"/>
      <c r="AA132" s="571">
        <f>IF($D$37="Activé",IF(AC41="%",INT(AA41*AA28/100),AA41),AA267)</f>
        <v>0</v>
      </c>
      <c r="AB132" s="572"/>
      <c r="AC132" s="573"/>
      <c r="AD132" s="571">
        <f>IF($D$37="Activé",IF(AF41="%",INT(AD41*AD28/100),AD41),AD267)</f>
        <v>0</v>
      </c>
      <c r="AE132" s="572"/>
      <c r="AF132" s="573"/>
      <c r="AG132" s="571">
        <f>IF($D$37="Activé",IF(AI41="%",INT(AG41*AG28/100),AG41),AG267)</f>
        <v>0</v>
      </c>
      <c r="AH132" s="572"/>
      <c r="AI132" s="573"/>
      <c r="AJ132" s="571">
        <f>IF($D$37="Activé",IF(AL41="%",INT(AJ41*AJ28/100),AJ41),AJ267)</f>
        <v>0</v>
      </c>
      <c r="AK132" s="572"/>
      <c r="AL132" s="573"/>
      <c r="AM132" s="571">
        <f>IF($D$37="Activé",IF(AO41="%",INT(AM41*AM28/100),AM41),AM267)</f>
        <v>0</v>
      </c>
      <c r="AN132" s="572"/>
      <c r="AO132" s="573"/>
      <c r="AP132" s="571">
        <f>IF($D$37="Activé",IF(AR41="%",INT(AP41*AP28/100),AP41),AP267)</f>
        <v>0</v>
      </c>
      <c r="AQ132" s="572"/>
      <c r="AR132" s="573"/>
      <c r="AT132" s="358"/>
      <c r="AU132" s="358"/>
      <c r="AW132" s="203"/>
      <c r="AX132" s="96"/>
      <c r="AY132" s="665"/>
      <c r="AZ132" s="666"/>
      <c r="BA132" s="667"/>
      <c r="BB132" s="96"/>
      <c r="BC132" s="96"/>
      <c r="BD132" s="96"/>
      <c r="BE132" s="96"/>
      <c r="BF132" s="96"/>
      <c r="BG132" s="96"/>
      <c r="BH132" s="203"/>
    </row>
    <row r="133" spans="2:60" ht="14" thickBot="1">
      <c r="D133" s="1"/>
      <c r="E133" s="633"/>
      <c r="F133" s="634"/>
      <c r="G133" s="634"/>
      <c r="I133" s="222" t="s">
        <v>58</v>
      </c>
      <c r="J133" s="553" t="s">
        <v>59</v>
      </c>
      <c r="K133" s="554"/>
      <c r="L133" s="222" t="s">
        <v>58</v>
      </c>
      <c r="M133" s="553" t="s">
        <v>59</v>
      </c>
      <c r="N133" s="554"/>
      <c r="O133" s="222" t="s">
        <v>58</v>
      </c>
      <c r="P133" s="553" t="s">
        <v>59</v>
      </c>
      <c r="Q133" s="554"/>
      <c r="R133" s="222" t="s">
        <v>58</v>
      </c>
      <c r="S133" s="553" t="s">
        <v>59</v>
      </c>
      <c r="T133" s="554"/>
      <c r="U133" s="222" t="s">
        <v>58</v>
      </c>
      <c r="V133" s="553" t="s">
        <v>59</v>
      </c>
      <c r="W133" s="554"/>
      <c r="X133" s="222" t="s">
        <v>58</v>
      </c>
      <c r="Y133" s="553" t="s">
        <v>59</v>
      </c>
      <c r="Z133" s="554"/>
      <c r="AA133" s="222" t="s">
        <v>58</v>
      </c>
      <c r="AB133" s="553" t="s">
        <v>59</v>
      </c>
      <c r="AC133" s="554"/>
      <c r="AD133" s="222" t="s">
        <v>58</v>
      </c>
      <c r="AE133" s="553" t="s">
        <v>59</v>
      </c>
      <c r="AF133" s="554"/>
      <c r="AG133" s="222" t="s">
        <v>58</v>
      </c>
      <c r="AH133" s="553" t="s">
        <v>59</v>
      </c>
      <c r="AI133" s="554"/>
      <c r="AJ133" s="222" t="s">
        <v>58</v>
      </c>
      <c r="AK133" s="553" t="s">
        <v>59</v>
      </c>
      <c r="AL133" s="554"/>
      <c r="AM133" s="222" t="s">
        <v>58</v>
      </c>
      <c r="AN133" s="553" t="s">
        <v>59</v>
      </c>
      <c r="AO133" s="554"/>
      <c r="AP133" s="222" t="s">
        <v>58</v>
      </c>
      <c r="AQ133" s="553" t="s">
        <v>59</v>
      </c>
      <c r="AR133" s="554"/>
      <c r="AT133" s="358"/>
      <c r="AU133" s="358"/>
      <c r="AW133" s="203"/>
      <c r="AX133" s="96"/>
      <c r="AY133" s="633"/>
      <c r="AZ133" s="634"/>
      <c r="BA133" s="707"/>
      <c r="BB133" s="96"/>
      <c r="BC133" s="96"/>
      <c r="BD133" s="96"/>
      <c r="BE133" s="96"/>
      <c r="BF133" s="96"/>
      <c r="BG133" s="96"/>
      <c r="BH133" s="203"/>
    </row>
    <row r="134" spans="2:60" ht="16">
      <c r="B134" s="124"/>
      <c r="D134" s="156"/>
      <c r="E134" s="626" t="s">
        <v>571</v>
      </c>
      <c r="F134" s="627"/>
      <c r="G134" s="628"/>
      <c r="H134" s="124"/>
      <c r="I134" s="324"/>
      <c r="J134" s="325"/>
      <c r="K134" s="326"/>
      <c r="L134" s="324"/>
      <c r="M134" s="325"/>
      <c r="N134" s="326"/>
      <c r="O134" s="324"/>
      <c r="P134" s="325"/>
      <c r="Q134" s="326"/>
      <c r="R134" s="324"/>
      <c r="S134" s="325"/>
      <c r="T134" s="326"/>
      <c r="U134" s="324"/>
      <c r="V134" s="325"/>
      <c r="W134" s="326"/>
      <c r="X134" s="324"/>
      <c r="Y134" s="325"/>
      <c r="Z134" s="326"/>
      <c r="AA134" s="324"/>
      <c r="AB134" s="325"/>
      <c r="AC134" s="326"/>
      <c r="AD134" s="324"/>
      <c r="AE134" s="325"/>
      <c r="AF134" s="326"/>
      <c r="AG134" s="324"/>
      <c r="AH134" s="325"/>
      <c r="AI134" s="326"/>
      <c r="AJ134" s="324"/>
      <c r="AK134" s="325"/>
      <c r="AL134" s="326"/>
      <c r="AM134" s="324"/>
      <c r="AN134" s="325"/>
      <c r="AO134" s="326"/>
      <c r="AP134" s="324"/>
      <c r="AQ134" s="325"/>
      <c r="AR134" s="326"/>
      <c r="AT134" s="358"/>
      <c r="AU134" s="358"/>
      <c r="AW134" s="203"/>
      <c r="AX134" s="96"/>
      <c r="AY134" s="678" t="str">
        <f>E134</f>
        <v>Indiquer le crédit/prêt/dette à rembourser</v>
      </c>
      <c r="AZ134" s="679"/>
      <c r="BA134" s="679"/>
      <c r="BB134" s="223">
        <f>SUM(MAX(I134,J134),MAX(L134,M134),MAX(O134,P134),MAX(R134,S134),MAX(U134,V134),MAX(X134,Y134),MAX(AA134,AB134),MAX(AD134,AE134),MAX(AG134,AH134),MAX(AJ134,AK134),MAX(AM134,AN134),MAX(AP134,AQ134))</f>
        <v>0</v>
      </c>
      <c r="BC134" s="96"/>
      <c r="BD134" s="96"/>
      <c r="BE134" s="96"/>
      <c r="BF134" s="96"/>
      <c r="BG134" s="96"/>
      <c r="BH134" s="203"/>
    </row>
    <row r="135" spans="2:60" ht="14">
      <c r="B135" s="124"/>
      <c r="D135" s="156">
        <v>1</v>
      </c>
      <c r="E135" s="629" t="s">
        <v>136</v>
      </c>
      <c r="F135" s="630"/>
      <c r="G135" s="301"/>
      <c r="H135" s="124"/>
      <c r="I135" s="541" t="str">
        <f>IF(G135="","",G135)</f>
        <v/>
      </c>
      <c r="J135" s="542"/>
      <c r="K135" s="543"/>
      <c r="L135" s="541" t="str">
        <f>IF(I135="","",IF(I135=1,"",I135-1))</f>
        <v/>
      </c>
      <c r="M135" s="542"/>
      <c r="N135" s="543"/>
      <c r="O135" s="541" t="str">
        <f t="shared" ref="O135" si="453">IF(L135="","",IF(L135=1,"",L135-1))</f>
        <v/>
      </c>
      <c r="P135" s="542"/>
      <c r="Q135" s="543"/>
      <c r="R135" s="541" t="str">
        <f t="shared" ref="R135" si="454">IF(O135="","",IF(O135=1,"",O135-1))</f>
        <v/>
      </c>
      <c r="S135" s="542"/>
      <c r="T135" s="543"/>
      <c r="U135" s="541" t="str">
        <f t="shared" ref="U135" si="455">IF(R135="","",IF(R135=1,"",R135-1))</f>
        <v/>
      </c>
      <c r="V135" s="542"/>
      <c r="W135" s="543"/>
      <c r="X135" s="541" t="str">
        <f t="shared" ref="X135" si="456">IF(U135="","",IF(U135=1,"",U135-1))</f>
        <v/>
      </c>
      <c r="Y135" s="542"/>
      <c r="Z135" s="543"/>
      <c r="AA135" s="541" t="str">
        <f t="shared" ref="AA135" si="457">IF(X135="","",IF(X135=1,"",X135-1))</f>
        <v/>
      </c>
      <c r="AB135" s="542"/>
      <c r="AC135" s="543"/>
      <c r="AD135" s="541" t="str">
        <f t="shared" ref="AD135" si="458">IF(AA135="","",IF(AA135=1,"",AA135-1))</f>
        <v/>
      </c>
      <c r="AE135" s="542"/>
      <c r="AF135" s="543"/>
      <c r="AG135" s="541" t="str">
        <f t="shared" ref="AG135" si="459">IF(AD135="","",IF(AD135=1,"",AD135-1))</f>
        <v/>
      </c>
      <c r="AH135" s="542"/>
      <c r="AI135" s="543"/>
      <c r="AJ135" s="541" t="str">
        <f t="shared" ref="AJ135" si="460">IF(AG135="","",IF(AG135=1,"",AG135-1))</f>
        <v/>
      </c>
      <c r="AK135" s="542"/>
      <c r="AL135" s="543"/>
      <c r="AM135" s="541" t="str">
        <f t="shared" ref="AM135" si="461">IF(AJ135="","",IF(AJ135=1,"",AJ135-1))</f>
        <v/>
      </c>
      <c r="AN135" s="542"/>
      <c r="AO135" s="543"/>
      <c r="AP135" s="541" t="str">
        <f t="shared" ref="AP135" si="462">IF(AM135="","",IF(AM135=1,"",AM135-1))</f>
        <v/>
      </c>
      <c r="AQ135" s="542"/>
      <c r="AR135" s="543"/>
      <c r="AT135" s="358"/>
      <c r="AU135" s="358"/>
      <c r="AW135" s="203"/>
      <c r="AX135" s="96"/>
      <c r="AY135" s="676"/>
      <c r="AZ135" s="677"/>
      <c r="BA135" s="225"/>
      <c r="BB135" s="226"/>
      <c r="BC135" s="96"/>
      <c r="BD135" s="96"/>
      <c r="BE135" s="96"/>
      <c r="BF135" s="96"/>
      <c r="BG135" s="96"/>
      <c r="BH135" s="203"/>
    </row>
    <row r="136" spans="2:60" ht="16">
      <c r="B136" s="124"/>
      <c r="D136" s="156"/>
      <c r="E136" s="626" t="s">
        <v>571</v>
      </c>
      <c r="F136" s="627"/>
      <c r="G136" s="628"/>
      <c r="H136" s="124"/>
      <c r="I136" s="324"/>
      <c r="J136" s="325"/>
      <c r="K136" s="326"/>
      <c r="L136" s="324"/>
      <c r="M136" s="325"/>
      <c r="N136" s="326"/>
      <c r="O136" s="324"/>
      <c r="P136" s="325"/>
      <c r="Q136" s="326"/>
      <c r="R136" s="324"/>
      <c r="S136" s="325"/>
      <c r="T136" s="326"/>
      <c r="U136" s="324"/>
      <c r="V136" s="325"/>
      <c r="W136" s="326"/>
      <c r="X136" s="324"/>
      <c r="Y136" s="325"/>
      <c r="Z136" s="326"/>
      <c r="AA136" s="324"/>
      <c r="AB136" s="325"/>
      <c r="AC136" s="326"/>
      <c r="AD136" s="324"/>
      <c r="AE136" s="325"/>
      <c r="AF136" s="326"/>
      <c r="AG136" s="324"/>
      <c r="AH136" s="325"/>
      <c r="AI136" s="326"/>
      <c r="AJ136" s="324"/>
      <c r="AK136" s="325"/>
      <c r="AL136" s="326"/>
      <c r="AM136" s="324"/>
      <c r="AN136" s="325"/>
      <c r="AO136" s="326"/>
      <c r="AP136" s="324"/>
      <c r="AQ136" s="325"/>
      <c r="AR136" s="326"/>
      <c r="AT136" s="358"/>
      <c r="AU136" s="358"/>
      <c r="AW136" s="203"/>
      <c r="AX136" s="96"/>
      <c r="AY136" s="681" t="str">
        <f>E136</f>
        <v>Indiquer le crédit/prêt/dette à rembourser</v>
      </c>
      <c r="AZ136" s="682"/>
      <c r="BA136" s="683"/>
      <c r="BB136" s="223">
        <f>SUM(MAX(I136,J136),MAX(L136,M136),MAX(O136,P136),MAX(R136,S136),MAX(U136,V136),MAX(X136,Y136),MAX(AA136,AB136),MAX(AD136,AE136),MAX(AG136,AH136),MAX(AJ136,AK136),MAX(AM136,AN136),MAX(AP136,AQ136))</f>
        <v>0</v>
      </c>
      <c r="BC136" s="96"/>
      <c r="BD136" s="96"/>
      <c r="BE136" s="96"/>
      <c r="BF136" s="96"/>
      <c r="BG136" s="96"/>
      <c r="BH136" s="203"/>
    </row>
    <row r="137" spans="2:60" ht="14">
      <c r="B137" s="124"/>
      <c r="D137" s="156">
        <f>1+D135</f>
        <v>2</v>
      </c>
      <c r="E137" s="629" t="s">
        <v>136</v>
      </c>
      <c r="F137" s="630"/>
      <c r="G137" s="301"/>
      <c r="H137" s="124"/>
      <c r="I137" s="541" t="str">
        <f>IF(G137="","",G137)</f>
        <v/>
      </c>
      <c r="J137" s="542"/>
      <c r="K137" s="543"/>
      <c r="L137" s="541" t="str">
        <f>IF(I137="","",IF(I137=1,"",I137-1))</f>
        <v/>
      </c>
      <c r="M137" s="542"/>
      <c r="N137" s="543"/>
      <c r="O137" s="541" t="str">
        <f t="shared" ref="O137" si="463">IF(L137="","",IF(L137=1,"",L137-1))</f>
        <v/>
      </c>
      <c r="P137" s="542"/>
      <c r="Q137" s="543"/>
      <c r="R137" s="541" t="str">
        <f t="shared" ref="R137" si="464">IF(O137="","",IF(O137=1,"",O137-1))</f>
        <v/>
      </c>
      <c r="S137" s="542"/>
      <c r="T137" s="543"/>
      <c r="U137" s="541" t="str">
        <f t="shared" ref="U137" si="465">IF(R137="","",IF(R137=1,"",R137-1))</f>
        <v/>
      </c>
      <c r="V137" s="542"/>
      <c r="W137" s="543"/>
      <c r="X137" s="541" t="str">
        <f t="shared" ref="X137" si="466">IF(U137="","",IF(U137=1,"",U137-1))</f>
        <v/>
      </c>
      <c r="Y137" s="542"/>
      <c r="Z137" s="543"/>
      <c r="AA137" s="541" t="str">
        <f t="shared" ref="AA137" si="467">IF(X137="","",IF(X137=1,"",X137-1))</f>
        <v/>
      </c>
      <c r="AB137" s="542"/>
      <c r="AC137" s="543"/>
      <c r="AD137" s="541" t="str">
        <f t="shared" ref="AD137" si="468">IF(AA137="","",IF(AA137=1,"",AA137-1))</f>
        <v/>
      </c>
      <c r="AE137" s="542"/>
      <c r="AF137" s="543"/>
      <c r="AG137" s="541" t="str">
        <f t="shared" ref="AG137" si="469">IF(AD137="","",IF(AD137=1,"",AD137-1))</f>
        <v/>
      </c>
      <c r="AH137" s="542"/>
      <c r="AI137" s="543"/>
      <c r="AJ137" s="541" t="str">
        <f t="shared" ref="AJ137" si="470">IF(AG137="","",IF(AG137=1,"",AG137-1))</f>
        <v/>
      </c>
      <c r="AK137" s="542"/>
      <c r="AL137" s="543"/>
      <c r="AM137" s="541" t="str">
        <f t="shared" ref="AM137" si="471">IF(AJ137="","",IF(AJ137=1,"",AJ137-1))</f>
        <v/>
      </c>
      <c r="AN137" s="542"/>
      <c r="AO137" s="543"/>
      <c r="AP137" s="541" t="str">
        <f t="shared" ref="AP137" si="472">IF(AM137="","",IF(AM137=1,"",AM137-1))</f>
        <v/>
      </c>
      <c r="AQ137" s="542"/>
      <c r="AR137" s="543"/>
      <c r="AT137" s="358"/>
      <c r="AU137" s="358"/>
      <c r="AW137" s="203"/>
      <c r="AX137" s="96"/>
      <c r="AY137" s="676"/>
      <c r="AZ137" s="677"/>
      <c r="BA137" s="224"/>
      <c r="BB137" s="226"/>
      <c r="BC137" s="96"/>
      <c r="BD137" s="96"/>
      <c r="BE137" s="96"/>
      <c r="BF137" s="96"/>
      <c r="BG137" s="96"/>
      <c r="BH137" s="203"/>
    </row>
    <row r="138" spans="2:60" ht="16">
      <c r="B138" s="124"/>
      <c r="D138" s="156"/>
      <c r="E138" s="626" t="s">
        <v>571</v>
      </c>
      <c r="F138" s="627"/>
      <c r="G138" s="628"/>
      <c r="H138" s="124"/>
      <c r="I138" s="324"/>
      <c r="J138" s="325"/>
      <c r="K138" s="326"/>
      <c r="L138" s="324"/>
      <c r="M138" s="325"/>
      <c r="N138" s="326"/>
      <c r="O138" s="324"/>
      <c r="P138" s="325"/>
      <c r="Q138" s="326"/>
      <c r="R138" s="324"/>
      <c r="S138" s="325"/>
      <c r="T138" s="326"/>
      <c r="U138" s="324"/>
      <c r="V138" s="325"/>
      <c r="W138" s="326"/>
      <c r="X138" s="324"/>
      <c r="Y138" s="325"/>
      <c r="Z138" s="326"/>
      <c r="AA138" s="324"/>
      <c r="AB138" s="325"/>
      <c r="AC138" s="326"/>
      <c r="AD138" s="324"/>
      <c r="AE138" s="325"/>
      <c r="AF138" s="326"/>
      <c r="AG138" s="324"/>
      <c r="AH138" s="325"/>
      <c r="AI138" s="326"/>
      <c r="AJ138" s="324"/>
      <c r="AK138" s="325"/>
      <c r="AL138" s="326"/>
      <c r="AM138" s="324"/>
      <c r="AN138" s="325"/>
      <c r="AO138" s="326"/>
      <c r="AP138" s="324"/>
      <c r="AQ138" s="325"/>
      <c r="AR138" s="326"/>
      <c r="AT138" s="358"/>
      <c r="AU138" s="358"/>
      <c r="AW138" s="203"/>
      <c r="AX138" s="96"/>
      <c r="AY138" s="678" t="str">
        <f>E138</f>
        <v>Indiquer le crédit/prêt/dette à rembourser</v>
      </c>
      <c r="AZ138" s="679"/>
      <c r="BA138" s="680"/>
      <c r="BB138" s="223">
        <f>SUM(MAX(I138,J138),MAX(L138,M138),MAX(O138,P138),MAX(R138,S138),MAX(U138,V138),MAX(X138,Y138),MAX(AA138,AB138),MAX(AD138,AE138),MAX(AG138,AH138),MAX(AJ138,AK138),MAX(AM138,AN138),MAX(AP138,AQ138))</f>
        <v>0</v>
      </c>
      <c r="BC138" s="96"/>
      <c r="BD138" s="96"/>
      <c r="BE138" s="96"/>
      <c r="BF138" s="96"/>
      <c r="BG138" s="96"/>
      <c r="BH138" s="203"/>
    </row>
    <row r="139" spans="2:60" ht="14">
      <c r="B139" s="124"/>
      <c r="D139" s="156">
        <f>1+D137</f>
        <v>3</v>
      </c>
      <c r="E139" s="629" t="s">
        <v>136</v>
      </c>
      <c r="F139" s="630"/>
      <c r="G139" s="301"/>
      <c r="H139" s="124"/>
      <c r="I139" s="541" t="str">
        <f>IF(G139="","",G139)</f>
        <v/>
      </c>
      <c r="J139" s="542"/>
      <c r="K139" s="543"/>
      <c r="L139" s="541" t="str">
        <f>IF(I139="","",IF(I139=1,"",I139-1))</f>
        <v/>
      </c>
      <c r="M139" s="542"/>
      <c r="N139" s="543"/>
      <c r="O139" s="541" t="str">
        <f t="shared" ref="O139" si="473">IF(L139="","",IF(L139=1,"",L139-1))</f>
        <v/>
      </c>
      <c r="P139" s="542"/>
      <c r="Q139" s="543"/>
      <c r="R139" s="541" t="str">
        <f t="shared" ref="R139" si="474">IF(O139="","",IF(O139=1,"",O139-1))</f>
        <v/>
      </c>
      <c r="S139" s="542"/>
      <c r="T139" s="543"/>
      <c r="U139" s="541" t="str">
        <f t="shared" ref="U139" si="475">IF(R139="","",IF(R139=1,"",R139-1))</f>
        <v/>
      </c>
      <c r="V139" s="542"/>
      <c r="W139" s="543"/>
      <c r="X139" s="541" t="str">
        <f t="shared" ref="X139" si="476">IF(U139="","",IF(U139=1,"",U139-1))</f>
        <v/>
      </c>
      <c r="Y139" s="542"/>
      <c r="Z139" s="543"/>
      <c r="AA139" s="541" t="str">
        <f t="shared" ref="AA139" si="477">IF(X139="","",IF(X139=1,"",X139-1))</f>
        <v/>
      </c>
      <c r="AB139" s="542"/>
      <c r="AC139" s="543"/>
      <c r="AD139" s="541" t="str">
        <f t="shared" ref="AD139" si="478">IF(AA139="","",IF(AA139=1,"",AA139-1))</f>
        <v/>
      </c>
      <c r="AE139" s="542"/>
      <c r="AF139" s="543"/>
      <c r="AG139" s="541" t="str">
        <f t="shared" ref="AG139" si="479">IF(AD139="","",IF(AD139=1,"",AD139-1))</f>
        <v/>
      </c>
      <c r="AH139" s="542"/>
      <c r="AI139" s="543"/>
      <c r="AJ139" s="541" t="str">
        <f t="shared" ref="AJ139" si="480">IF(AG139="","",IF(AG139=1,"",AG139-1))</f>
        <v/>
      </c>
      <c r="AK139" s="542"/>
      <c r="AL139" s="543"/>
      <c r="AM139" s="541" t="str">
        <f t="shared" ref="AM139" si="481">IF(AJ139="","",IF(AJ139=1,"",AJ139-1))</f>
        <v/>
      </c>
      <c r="AN139" s="542"/>
      <c r="AO139" s="543"/>
      <c r="AP139" s="541" t="str">
        <f t="shared" ref="AP139" si="482">IF(AM139="","",IF(AM139=1,"",AM139-1))</f>
        <v/>
      </c>
      <c r="AQ139" s="542"/>
      <c r="AR139" s="543"/>
      <c r="AT139" s="358"/>
      <c r="AU139" s="358"/>
      <c r="AW139" s="203"/>
      <c r="AX139" s="96"/>
      <c r="AY139" s="676"/>
      <c r="AZ139" s="677"/>
      <c r="BA139" s="224"/>
      <c r="BB139" s="226"/>
      <c r="BC139" s="96"/>
      <c r="BD139" s="96"/>
      <c r="BE139" s="96"/>
      <c r="BF139" s="96"/>
      <c r="BG139" s="96"/>
      <c r="BH139" s="203"/>
    </row>
    <row r="140" spans="2:60" ht="16">
      <c r="B140" s="124"/>
      <c r="D140" s="156"/>
      <c r="E140" s="626" t="s">
        <v>571</v>
      </c>
      <c r="F140" s="627"/>
      <c r="G140" s="628"/>
      <c r="H140" s="124"/>
      <c r="I140" s="324"/>
      <c r="J140" s="325"/>
      <c r="K140" s="326"/>
      <c r="L140" s="324"/>
      <c r="M140" s="325"/>
      <c r="N140" s="326"/>
      <c r="O140" s="324"/>
      <c r="P140" s="325"/>
      <c r="Q140" s="326"/>
      <c r="R140" s="324"/>
      <c r="S140" s="325"/>
      <c r="T140" s="326"/>
      <c r="U140" s="324"/>
      <c r="V140" s="325"/>
      <c r="W140" s="326"/>
      <c r="X140" s="324"/>
      <c r="Y140" s="325"/>
      <c r="Z140" s="326"/>
      <c r="AA140" s="324"/>
      <c r="AB140" s="325"/>
      <c r="AC140" s="326"/>
      <c r="AD140" s="324"/>
      <c r="AE140" s="325"/>
      <c r="AF140" s="326"/>
      <c r="AG140" s="324"/>
      <c r="AH140" s="325"/>
      <c r="AI140" s="326"/>
      <c r="AJ140" s="324"/>
      <c r="AK140" s="325"/>
      <c r="AL140" s="326"/>
      <c r="AM140" s="324"/>
      <c r="AN140" s="325"/>
      <c r="AO140" s="326"/>
      <c r="AP140" s="324"/>
      <c r="AQ140" s="325"/>
      <c r="AR140" s="326"/>
      <c r="AT140" s="358"/>
      <c r="AU140" s="358"/>
      <c r="AW140" s="203"/>
      <c r="AX140" s="96"/>
      <c r="AY140" s="681" t="str">
        <f>E140</f>
        <v>Indiquer le crédit/prêt/dette à rembourser</v>
      </c>
      <c r="AZ140" s="682"/>
      <c r="BA140" s="683"/>
      <c r="BB140" s="223">
        <f>SUM(MAX(I140,J140),MAX(L140,M140),MAX(O140,P140),MAX(R140,S140),MAX(U140,V140),MAX(X140,Y140),MAX(AA140,AB140),MAX(AD140,AE140),MAX(AG140,AH140),MAX(AJ140,AK140),MAX(AM140,AN140),MAX(AP140,AQ140))</f>
        <v>0</v>
      </c>
      <c r="BC140" s="96"/>
      <c r="BD140" s="96"/>
      <c r="BE140" s="96"/>
      <c r="BF140" s="96"/>
      <c r="BG140" s="96"/>
      <c r="BH140" s="203"/>
    </row>
    <row r="141" spans="2:60" ht="14">
      <c r="B141" s="124"/>
      <c r="D141" s="156">
        <f>1+D139</f>
        <v>4</v>
      </c>
      <c r="E141" s="629" t="s">
        <v>136</v>
      </c>
      <c r="F141" s="630"/>
      <c r="G141" s="301"/>
      <c r="H141" s="124"/>
      <c r="I141" s="541" t="str">
        <f>IF(G141="","",G141)</f>
        <v/>
      </c>
      <c r="J141" s="542"/>
      <c r="K141" s="543"/>
      <c r="L141" s="541" t="str">
        <f>IF(I141="","",IF(I141=1,"",I141-1))</f>
        <v/>
      </c>
      <c r="M141" s="542"/>
      <c r="N141" s="543"/>
      <c r="O141" s="541" t="str">
        <f t="shared" ref="O141" si="483">IF(L141="","",IF(L141=1,"",L141-1))</f>
        <v/>
      </c>
      <c r="P141" s="542"/>
      <c r="Q141" s="543"/>
      <c r="R141" s="541" t="str">
        <f t="shared" ref="R141" si="484">IF(O141="","",IF(O141=1,"",O141-1))</f>
        <v/>
      </c>
      <c r="S141" s="542"/>
      <c r="T141" s="543"/>
      <c r="U141" s="541" t="str">
        <f t="shared" ref="U141" si="485">IF(R141="","",IF(R141=1,"",R141-1))</f>
        <v/>
      </c>
      <c r="V141" s="542"/>
      <c r="W141" s="543"/>
      <c r="X141" s="541" t="str">
        <f t="shared" ref="X141" si="486">IF(U141="","",IF(U141=1,"",U141-1))</f>
        <v/>
      </c>
      <c r="Y141" s="542"/>
      <c r="Z141" s="543"/>
      <c r="AA141" s="541" t="str">
        <f t="shared" ref="AA141" si="487">IF(X141="","",IF(X141=1,"",X141-1))</f>
        <v/>
      </c>
      <c r="AB141" s="542"/>
      <c r="AC141" s="543"/>
      <c r="AD141" s="541" t="str">
        <f t="shared" ref="AD141" si="488">IF(AA141="","",IF(AA141=1,"",AA141-1))</f>
        <v/>
      </c>
      <c r="AE141" s="542"/>
      <c r="AF141" s="543"/>
      <c r="AG141" s="541" t="str">
        <f t="shared" ref="AG141" si="489">IF(AD141="","",IF(AD141=1,"",AD141-1))</f>
        <v/>
      </c>
      <c r="AH141" s="542"/>
      <c r="AI141" s="543"/>
      <c r="AJ141" s="541" t="str">
        <f t="shared" ref="AJ141" si="490">IF(AG141="","",IF(AG141=1,"",AG141-1))</f>
        <v/>
      </c>
      <c r="AK141" s="542"/>
      <c r="AL141" s="543"/>
      <c r="AM141" s="541" t="str">
        <f t="shared" ref="AM141" si="491">IF(AJ141="","",IF(AJ141=1,"",AJ141-1))</f>
        <v/>
      </c>
      <c r="AN141" s="542"/>
      <c r="AO141" s="543"/>
      <c r="AP141" s="541" t="str">
        <f t="shared" ref="AP141" si="492">IF(AM141="","",IF(AM141=1,"",AM141-1))</f>
        <v/>
      </c>
      <c r="AQ141" s="542"/>
      <c r="AR141" s="543"/>
      <c r="AT141" s="358"/>
      <c r="AU141" s="358"/>
      <c r="AW141" s="203"/>
      <c r="AX141" s="96"/>
      <c r="AY141" s="676"/>
      <c r="AZ141" s="677"/>
      <c r="BA141" s="224"/>
      <c r="BB141" s="226"/>
      <c r="BC141" s="96"/>
      <c r="BD141" s="96"/>
      <c r="BE141" s="96"/>
      <c r="BF141" s="96"/>
      <c r="BG141" s="96"/>
      <c r="BH141" s="203"/>
    </row>
    <row r="142" spans="2:60" ht="16">
      <c r="B142" s="124"/>
      <c r="D142" s="156"/>
      <c r="E142" s="626" t="s">
        <v>571</v>
      </c>
      <c r="F142" s="627"/>
      <c r="G142" s="628"/>
      <c r="H142" s="124"/>
      <c r="I142" s="324"/>
      <c r="J142" s="325"/>
      <c r="K142" s="326"/>
      <c r="L142" s="324"/>
      <c r="M142" s="325"/>
      <c r="N142" s="326"/>
      <c r="O142" s="324"/>
      <c r="P142" s="325"/>
      <c r="Q142" s="326"/>
      <c r="R142" s="324"/>
      <c r="S142" s="325"/>
      <c r="T142" s="326"/>
      <c r="U142" s="324"/>
      <c r="V142" s="325"/>
      <c r="W142" s="326"/>
      <c r="X142" s="324"/>
      <c r="Y142" s="325"/>
      <c r="Z142" s="326"/>
      <c r="AA142" s="324"/>
      <c r="AB142" s="325"/>
      <c r="AC142" s="326"/>
      <c r="AD142" s="324"/>
      <c r="AE142" s="325"/>
      <c r="AF142" s="326"/>
      <c r="AG142" s="324"/>
      <c r="AH142" s="325"/>
      <c r="AI142" s="326"/>
      <c r="AJ142" s="324"/>
      <c r="AK142" s="325"/>
      <c r="AL142" s="326"/>
      <c r="AM142" s="324"/>
      <c r="AN142" s="325"/>
      <c r="AO142" s="326"/>
      <c r="AP142" s="324"/>
      <c r="AQ142" s="325"/>
      <c r="AR142" s="326"/>
      <c r="AT142" s="358"/>
      <c r="AU142" s="358"/>
      <c r="AW142" s="203"/>
      <c r="AX142" s="96"/>
      <c r="AY142" s="678" t="str">
        <f>E142</f>
        <v>Indiquer le crédit/prêt/dette à rembourser</v>
      </c>
      <c r="AZ142" s="679"/>
      <c r="BA142" s="680"/>
      <c r="BB142" s="223">
        <f>SUM(MAX(I142,J142),MAX(L142,M142),MAX(O142,P142),MAX(R142,S142),MAX(U142,V142),MAX(X142,Y142),MAX(AA142,AB142),MAX(AD142,AE142),MAX(AG142,AH142),MAX(AJ142,AK142),MAX(AM142,AN142),MAX(AP142,AQ142))</f>
        <v>0</v>
      </c>
      <c r="BC142" s="96"/>
      <c r="BD142" s="96"/>
      <c r="BE142" s="96"/>
      <c r="BF142" s="96"/>
      <c r="BG142" s="96"/>
      <c r="BH142" s="203"/>
    </row>
    <row r="143" spans="2:60" ht="14">
      <c r="B143" s="124"/>
      <c r="D143" s="156">
        <f>1+D141</f>
        <v>5</v>
      </c>
      <c r="E143" s="629" t="s">
        <v>136</v>
      </c>
      <c r="F143" s="630"/>
      <c r="G143" s="301"/>
      <c r="H143" s="124"/>
      <c r="I143" s="541" t="str">
        <f>IF(G143="","",G143)</f>
        <v/>
      </c>
      <c r="J143" s="542"/>
      <c r="K143" s="543"/>
      <c r="L143" s="541" t="str">
        <f>IF(I143="","",IF(I143=1,"",I143-1))</f>
        <v/>
      </c>
      <c r="M143" s="542"/>
      <c r="N143" s="543"/>
      <c r="O143" s="541" t="str">
        <f t="shared" ref="O143" si="493">IF(L143="","",IF(L143=1,"",L143-1))</f>
        <v/>
      </c>
      <c r="P143" s="542"/>
      <c r="Q143" s="543"/>
      <c r="R143" s="541" t="str">
        <f t="shared" ref="R143" si="494">IF(O143="","",IF(O143=1,"",O143-1))</f>
        <v/>
      </c>
      <c r="S143" s="542"/>
      <c r="T143" s="543"/>
      <c r="U143" s="541" t="str">
        <f t="shared" ref="U143" si="495">IF(R143="","",IF(R143=1,"",R143-1))</f>
        <v/>
      </c>
      <c r="V143" s="542"/>
      <c r="W143" s="543"/>
      <c r="X143" s="541" t="str">
        <f t="shared" ref="X143" si="496">IF(U143="","",IF(U143=1,"",U143-1))</f>
        <v/>
      </c>
      <c r="Y143" s="542"/>
      <c r="Z143" s="543"/>
      <c r="AA143" s="541" t="str">
        <f t="shared" ref="AA143" si="497">IF(X143="","",IF(X143=1,"",X143-1))</f>
        <v/>
      </c>
      <c r="AB143" s="542"/>
      <c r="AC143" s="543"/>
      <c r="AD143" s="541" t="str">
        <f t="shared" ref="AD143" si="498">IF(AA143="","",IF(AA143=1,"",AA143-1))</f>
        <v/>
      </c>
      <c r="AE143" s="542"/>
      <c r="AF143" s="543"/>
      <c r="AG143" s="541" t="str">
        <f t="shared" ref="AG143" si="499">IF(AD143="","",IF(AD143=1,"",AD143-1))</f>
        <v/>
      </c>
      <c r="AH143" s="542"/>
      <c r="AI143" s="543"/>
      <c r="AJ143" s="541" t="str">
        <f t="shared" ref="AJ143" si="500">IF(AG143="","",IF(AG143=1,"",AG143-1))</f>
        <v/>
      </c>
      <c r="AK143" s="542"/>
      <c r="AL143" s="543"/>
      <c r="AM143" s="541" t="str">
        <f t="shared" ref="AM143" si="501">IF(AJ143="","",IF(AJ143=1,"",AJ143-1))</f>
        <v/>
      </c>
      <c r="AN143" s="542"/>
      <c r="AO143" s="543"/>
      <c r="AP143" s="541" t="str">
        <f t="shared" ref="AP143" si="502">IF(AM143="","",IF(AM143=1,"",AM143-1))</f>
        <v/>
      </c>
      <c r="AQ143" s="542"/>
      <c r="AR143" s="543"/>
      <c r="AT143" s="358"/>
      <c r="AU143" s="358"/>
      <c r="AW143" s="203"/>
      <c r="AX143" s="96"/>
      <c r="AY143" s="676"/>
      <c r="AZ143" s="677"/>
      <c r="BA143" s="224"/>
      <c r="BB143" s="226"/>
      <c r="BC143" s="96"/>
      <c r="BD143" s="96"/>
      <c r="BE143" s="96"/>
      <c r="BF143" s="96"/>
      <c r="BG143" s="96"/>
      <c r="BH143" s="203"/>
    </row>
    <row r="144" spans="2:60" ht="16">
      <c r="B144" s="124"/>
      <c r="D144" s="156"/>
      <c r="E144" s="626" t="s">
        <v>571</v>
      </c>
      <c r="F144" s="627"/>
      <c r="G144" s="628"/>
      <c r="H144" s="124"/>
      <c r="I144" s="324"/>
      <c r="J144" s="325"/>
      <c r="K144" s="326"/>
      <c r="L144" s="324"/>
      <c r="M144" s="325"/>
      <c r="N144" s="326"/>
      <c r="O144" s="324"/>
      <c r="P144" s="325"/>
      <c r="Q144" s="326"/>
      <c r="R144" s="324"/>
      <c r="S144" s="325"/>
      <c r="T144" s="326"/>
      <c r="U144" s="324"/>
      <c r="V144" s="325"/>
      <c r="W144" s="326"/>
      <c r="X144" s="324"/>
      <c r="Y144" s="325"/>
      <c r="Z144" s="326"/>
      <c r="AA144" s="324"/>
      <c r="AB144" s="325"/>
      <c r="AC144" s="326"/>
      <c r="AD144" s="324"/>
      <c r="AE144" s="325"/>
      <c r="AF144" s="326"/>
      <c r="AG144" s="324"/>
      <c r="AH144" s="325"/>
      <c r="AI144" s="326"/>
      <c r="AJ144" s="324"/>
      <c r="AK144" s="325"/>
      <c r="AL144" s="326"/>
      <c r="AM144" s="324"/>
      <c r="AN144" s="325"/>
      <c r="AO144" s="326"/>
      <c r="AP144" s="324"/>
      <c r="AQ144" s="325"/>
      <c r="AR144" s="326"/>
      <c r="AT144" s="358"/>
      <c r="AU144" s="358"/>
      <c r="AW144" s="203"/>
      <c r="AX144" s="96"/>
      <c r="AY144" s="681" t="str">
        <f>E144</f>
        <v>Indiquer le crédit/prêt/dette à rembourser</v>
      </c>
      <c r="AZ144" s="682"/>
      <c r="BA144" s="683"/>
      <c r="BB144" s="223">
        <f>SUM(MAX(I144,J144),MAX(L144,M144),MAX(O144,P144),MAX(R144,S144),MAX(U144,V144),MAX(X144,Y144),MAX(AA144,AB144),MAX(AD144,AE144),MAX(AG144,AH144),MAX(AJ144,AK144),MAX(AM144,AN144),MAX(AP144,AQ144))</f>
        <v>0</v>
      </c>
      <c r="BC144" s="96"/>
      <c r="BD144" s="96"/>
      <c r="BE144" s="96"/>
      <c r="BF144" s="96"/>
      <c r="BG144" s="96"/>
      <c r="BH144" s="203"/>
    </row>
    <row r="145" spans="2:60" ht="14">
      <c r="B145" s="124"/>
      <c r="D145" s="156">
        <f>1+D143</f>
        <v>6</v>
      </c>
      <c r="E145" s="629" t="s">
        <v>136</v>
      </c>
      <c r="F145" s="630"/>
      <c r="G145" s="301"/>
      <c r="H145" s="124"/>
      <c r="I145" s="541" t="str">
        <f>IF(G145="","",G145)</f>
        <v/>
      </c>
      <c r="J145" s="542"/>
      <c r="K145" s="543"/>
      <c r="L145" s="541" t="str">
        <f>IF(I145="","",IF(I145=1,"",I145-1))</f>
        <v/>
      </c>
      <c r="M145" s="542"/>
      <c r="N145" s="543"/>
      <c r="O145" s="541" t="str">
        <f t="shared" ref="O145" si="503">IF(L145="","",IF(L145=1,"",L145-1))</f>
        <v/>
      </c>
      <c r="P145" s="542"/>
      <c r="Q145" s="543"/>
      <c r="R145" s="541" t="str">
        <f t="shared" ref="R145" si="504">IF(O145="","",IF(O145=1,"",O145-1))</f>
        <v/>
      </c>
      <c r="S145" s="542"/>
      <c r="T145" s="543"/>
      <c r="U145" s="541" t="str">
        <f t="shared" ref="U145" si="505">IF(R145="","",IF(R145=1,"",R145-1))</f>
        <v/>
      </c>
      <c r="V145" s="542"/>
      <c r="W145" s="543"/>
      <c r="X145" s="541" t="str">
        <f t="shared" ref="X145" si="506">IF(U145="","",IF(U145=1,"",U145-1))</f>
        <v/>
      </c>
      <c r="Y145" s="542"/>
      <c r="Z145" s="543"/>
      <c r="AA145" s="541" t="str">
        <f t="shared" ref="AA145" si="507">IF(X145="","",IF(X145=1,"",X145-1))</f>
        <v/>
      </c>
      <c r="AB145" s="542"/>
      <c r="AC145" s="543"/>
      <c r="AD145" s="541" t="str">
        <f t="shared" ref="AD145" si="508">IF(AA145="","",IF(AA145=1,"",AA145-1))</f>
        <v/>
      </c>
      <c r="AE145" s="542"/>
      <c r="AF145" s="543"/>
      <c r="AG145" s="541" t="str">
        <f t="shared" ref="AG145" si="509">IF(AD145="","",IF(AD145=1,"",AD145-1))</f>
        <v/>
      </c>
      <c r="AH145" s="542"/>
      <c r="AI145" s="543"/>
      <c r="AJ145" s="541" t="str">
        <f t="shared" ref="AJ145" si="510">IF(AG145="","",IF(AG145=1,"",AG145-1))</f>
        <v/>
      </c>
      <c r="AK145" s="542"/>
      <c r="AL145" s="543"/>
      <c r="AM145" s="541" t="str">
        <f t="shared" ref="AM145" si="511">IF(AJ145="","",IF(AJ145=1,"",AJ145-1))</f>
        <v/>
      </c>
      <c r="AN145" s="542"/>
      <c r="AO145" s="543"/>
      <c r="AP145" s="541" t="str">
        <f t="shared" ref="AP145" si="512">IF(AM145="","",IF(AM145=1,"",AM145-1))</f>
        <v/>
      </c>
      <c r="AQ145" s="542"/>
      <c r="AR145" s="543"/>
      <c r="AT145" s="358"/>
      <c r="AU145" s="358"/>
      <c r="AW145" s="203"/>
      <c r="AX145" s="96"/>
      <c r="AY145" s="676"/>
      <c r="AZ145" s="677"/>
      <c r="BA145" s="224"/>
      <c r="BB145" s="226"/>
      <c r="BC145" s="96"/>
      <c r="BD145" s="96"/>
      <c r="BE145" s="96"/>
      <c r="BF145" s="96"/>
      <c r="BG145" s="96"/>
      <c r="BH145" s="203"/>
    </row>
    <row r="146" spans="2:60" ht="16">
      <c r="B146" s="124"/>
      <c r="D146" s="156"/>
      <c r="E146" s="626" t="s">
        <v>571</v>
      </c>
      <c r="F146" s="627"/>
      <c r="G146" s="628"/>
      <c r="H146" s="124"/>
      <c r="I146" s="324"/>
      <c r="J146" s="325"/>
      <c r="K146" s="326"/>
      <c r="L146" s="324"/>
      <c r="M146" s="325"/>
      <c r="N146" s="326"/>
      <c r="O146" s="324"/>
      <c r="P146" s="325"/>
      <c r="Q146" s="326"/>
      <c r="R146" s="324"/>
      <c r="S146" s="325"/>
      <c r="T146" s="326"/>
      <c r="U146" s="324"/>
      <c r="V146" s="325"/>
      <c r="W146" s="326"/>
      <c r="X146" s="324"/>
      <c r="Y146" s="325"/>
      <c r="Z146" s="326"/>
      <c r="AA146" s="324"/>
      <c r="AB146" s="325"/>
      <c r="AC146" s="326"/>
      <c r="AD146" s="324"/>
      <c r="AE146" s="325"/>
      <c r="AF146" s="326"/>
      <c r="AG146" s="324"/>
      <c r="AH146" s="325"/>
      <c r="AI146" s="326"/>
      <c r="AJ146" s="324"/>
      <c r="AK146" s="325"/>
      <c r="AL146" s="326"/>
      <c r="AM146" s="324"/>
      <c r="AN146" s="325"/>
      <c r="AO146" s="326"/>
      <c r="AP146" s="324"/>
      <c r="AQ146" s="325"/>
      <c r="AR146" s="326"/>
      <c r="AT146" s="358"/>
      <c r="AU146" s="358"/>
      <c r="AW146" s="203"/>
      <c r="AX146" s="96"/>
      <c r="AY146" s="678" t="str">
        <f>E146</f>
        <v>Indiquer le crédit/prêt/dette à rembourser</v>
      </c>
      <c r="AZ146" s="679"/>
      <c r="BA146" s="680"/>
      <c r="BB146" s="223">
        <f>SUM(MAX(I146,J146),MAX(L146,M146),MAX(O146,P146),MAX(R146,S146),MAX(U146,V146),MAX(X146,Y146),MAX(AA146,AB146),MAX(AD146,AE146),MAX(AG146,AH146),MAX(AJ146,AK146),MAX(AM146,AN146),MAX(AP146,AQ146))</f>
        <v>0</v>
      </c>
      <c r="BC146" s="96"/>
      <c r="BD146" s="96"/>
      <c r="BE146" s="96"/>
      <c r="BF146" s="96"/>
      <c r="BG146" s="96"/>
      <c r="BH146" s="203"/>
    </row>
    <row r="147" spans="2:60" ht="14">
      <c r="B147" s="124"/>
      <c r="D147" s="156">
        <f>1+D145</f>
        <v>7</v>
      </c>
      <c r="E147" s="629" t="s">
        <v>136</v>
      </c>
      <c r="F147" s="630"/>
      <c r="G147" s="301"/>
      <c r="H147" s="124"/>
      <c r="I147" s="541" t="str">
        <f>IF(G147="","",G147)</f>
        <v/>
      </c>
      <c r="J147" s="542"/>
      <c r="K147" s="543"/>
      <c r="L147" s="541" t="str">
        <f>IF(I147="","",IF(I147=1,"",I147-1))</f>
        <v/>
      </c>
      <c r="M147" s="542"/>
      <c r="N147" s="543"/>
      <c r="O147" s="541" t="str">
        <f t="shared" ref="O147" si="513">IF(L147="","",IF(L147=1,"",L147-1))</f>
        <v/>
      </c>
      <c r="P147" s="542"/>
      <c r="Q147" s="543"/>
      <c r="R147" s="541" t="str">
        <f t="shared" ref="R147" si="514">IF(O147="","",IF(O147=1,"",O147-1))</f>
        <v/>
      </c>
      <c r="S147" s="542"/>
      <c r="T147" s="543"/>
      <c r="U147" s="541" t="str">
        <f t="shared" ref="U147" si="515">IF(R147="","",IF(R147=1,"",R147-1))</f>
        <v/>
      </c>
      <c r="V147" s="542"/>
      <c r="W147" s="543"/>
      <c r="X147" s="541" t="str">
        <f t="shared" ref="X147" si="516">IF(U147="","",IF(U147=1,"",U147-1))</f>
        <v/>
      </c>
      <c r="Y147" s="542"/>
      <c r="Z147" s="543"/>
      <c r="AA147" s="541" t="str">
        <f t="shared" ref="AA147" si="517">IF(X147="","",IF(X147=1,"",X147-1))</f>
        <v/>
      </c>
      <c r="AB147" s="542"/>
      <c r="AC147" s="543"/>
      <c r="AD147" s="541" t="str">
        <f t="shared" ref="AD147" si="518">IF(AA147="","",IF(AA147=1,"",AA147-1))</f>
        <v/>
      </c>
      <c r="AE147" s="542"/>
      <c r="AF147" s="543"/>
      <c r="AG147" s="541" t="str">
        <f t="shared" ref="AG147" si="519">IF(AD147="","",IF(AD147=1,"",AD147-1))</f>
        <v/>
      </c>
      <c r="AH147" s="542"/>
      <c r="AI147" s="543"/>
      <c r="AJ147" s="541" t="str">
        <f t="shared" ref="AJ147" si="520">IF(AG147="","",IF(AG147=1,"",AG147-1))</f>
        <v/>
      </c>
      <c r="AK147" s="542"/>
      <c r="AL147" s="543"/>
      <c r="AM147" s="541" t="str">
        <f t="shared" ref="AM147" si="521">IF(AJ147="","",IF(AJ147=1,"",AJ147-1))</f>
        <v/>
      </c>
      <c r="AN147" s="542"/>
      <c r="AO147" s="543"/>
      <c r="AP147" s="541" t="str">
        <f t="shared" ref="AP147" si="522">IF(AM147="","",IF(AM147=1,"",AM147-1))</f>
        <v/>
      </c>
      <c r="AQ147" s="542"/>
      <c r="AR147" s="543"/>
      <c r="AT147" s="358"/>
      <c r="AU147" s="358"/>
      <c r="AW147" s="203"/>
      <c r="AX147" s="96"/>
      <c r="AY147" s="676"/>
      <c r="AZ147" s="677"/>
      <c r="BA147" s="224"/>
      <c r="BB147" s="226"/>
      <c r="BC147" s="96"/>
      <c r="BD147" s="96"/>
      <c r="BE147" s="96"/>
      <c r="BF147" s="96"/>
      <c r="BG147" s="96"/>
      <c r="BH147" s="203"/>
    </row>
    <row r="148" spans="2:60" ht="16">
      <c r="B148" s="124"/>
      <c r="D148" s="156"/>
      <c r="E148" s="626" t="s">
        <v>571</v>
      </c>
      <c r="F148" s="627"/>
      <c r="G148" s="628"/>
      <c r="H148" s="124"/>
      <c r="I148" s="324"/>
      <c r="J148" s="325"/>
      <c r="K148" s="326"/>
      <c r="L148" s="324"/>
      <c r="M148" s="325"/>
      <c r="N148" s="326"/>
      <c r="O148" s="324"/>
      <c r="P148" s="325"/>
      <c r="Q148" s="326"/>
      <c r="R148" s="324"/>
      <c r="S148" s="325"/>
      <c r="T148" s="326"/>
      <c r="U148" s="324"/>
      <c r="V148" s="325"/>
      <c r="W148" s="326"/>
      <c r="X148" s="324"/>
      <c r="Y148" s="325"/>
      <c r="Z148" s="326"/>
      <c r="AA148" s="324"/>
      <c r="AB148" s="325"/>
      <c r="AC148" s="326"/>
      <c r="AD148" s="324"/>
      <c r="AE148" s="325"/>
      <c r="AF148" s="326"/>
      <c r="AG148" s="324"/>
      <c r="AH148" s="325"/>
      <c r="AI148" s="326"/>
      <c r="AJ148" s="324"/>
      <c r="AK148" s="325"/>
      <c r="AL148" s="326"/>
      <c r="AM148" s="324"/>
      <c r="AN148" s="325"/>
      <c r="AO148" s="326"/>
      <c r="AP148" s="324"/>
      <c r="AQ148" s="325"/>
      <c r="AR148" s="326"/>
      <c r="AT148" s="358"/>
      <c r="AU148" s="358"/>
      <c r="AW148" s="203"/>
      <c r="AX148" s="96"/>
      <c r="AY148" s="681" t="str">
        <f>E148</f>
        <v>Indiquer le crédit/prêt/dette à rembourser</v>
      </c>
      <c r="AZ148" s="682"/>
      <c r="BA148" s="683"/>
      <c r="BB148" s="223">
        <f>SUM(MAX(I148,J148),MAX(L148,M148),MAX(O148,P148),MAX(R148,S148),MAX(U148,V148),MAX(X148,Y148),MAX(AA148,AB148),MAX(AD148,AE148),MAX(AG148,AH148),MAX(AJ148,AK148),MAX(AM148,AN148),MAX(AP148,AQ148))</f>
        <v>0</v>
      </c>
      <c r="BC148" s="96"/>
      <c r="BD148" s="96"/>
      <c r="BE148" s="96"/>
      <c r="BF148" s="96"/>
      <c r="BG148" s="96"/>
      <c r="BH148" s="203"/>
    </row>
    <row r="149" spans="2:60" ht="14">
      <c r="B149" s="124"/>
      <c r="D149" s="156">
        <f>1+D147</f>
        <v>8</v>
      </c>
      <c r="E149" s="629" t="s">
        <v>136</v>
      </c>
      <c r="F149" s="630"/>
      <c r="G149" s="301"/>
      <c r="H149" s="124"/>
      <c r="I149" s="541" t="str">
        <f>IF(G149="","",G149)</f>
        <v/>
      </c>
      <c r="J149" s="542"/>
      <c r="K149" s="543"/>
      <c r="L149" s="541" t="str">
        <f>IF(I149="","",IF(I149=1,"",I149-1))</f>
        <v/>
      </c>
      <c r="M149" s="542"/>
      <c r="N149" s="543"/>
      <c r="O149" s="541" t="str">
        <f t="shared" ref="O149" si="523">IF(L149="","",IF(L149=1,"",L149-1))</f>
        <v/>
      </c>
      <c r="P149" s="542"/>
      <c r="Q149" s="543"/>
      <c r="R149" s="541" t="str">
        <f t="shared" ref="R149" si="524">IF(O149="","",IF(O149=1,"",O149-1))</f>
        <v/>
      </c>
      <c r="S149" s="542"/>
      <c r="T149" s="543"/>
      <c r="U149" s="541" t="str">
        <f t="shared" ref="U149" si="525">IF(R149="","",IF(R149=1,"",R149-1))</f>
        <v/>
      </c>
      <c r="V149" s="542"/>
      <c r="W149" s="543"/>
      <c r="X149" s="541" t="str">
        <f t="shared" ref="X149" si="526">IF(U149="","",IF(U149=1,"",U149-1))</f>
        <v/>
      </c>
      <c r="Y149" s="542"/>
      <c r="Z149" s="543"/>
      <c r="AA149" s="541" t="str">
        <f t="shared" ref="AA149" si="527">IF(X149="","",IF(X149=1,"",X149-1))</f>
        <v/>
      </c>
      <c r="AB149" s="542"/>
      <c r="AC149" s="543"/>
      <c r="AD149" s="541" t="str">
        <f t="shared" ref="AD149" si="528">IF(AA149="","",IF(AA149=1,"",AA149-1))</f>
        <v/>
      </c>
      <c r="AE149" s="542"/>
      <c r="AF149" s="543"/>
      <c r="AG149" s="541" t="str">
        <f t="shared" ref="AG149" si="529">IF(AD149="","",IF(AD149=1,"",AD149-1))</f>
        <v/>
      </c>
      <c r="AH149" s="542"/>
      <c r="AI149" s="543"/>
      <c r="AJ149" s="541" t="str">
        <f t="shared" ref="AJ149" si="530">IF(AG149="","",IF(AG149=1,"",AG149-1))</f>
        <v/>
      </c>
      <c r="AK149" s="542"/>
      <c r="AL149" s="543"/>
      <c r="AM149" s="541" t="str">
        <f t="shared" ref="AM149" si="531">IF(AJ149="","",IF(AJ149=1,"",AJ149-1))</f>
        <v/>
      </c>
      <c r="AN149" s="542"/>
      <c r="AO149" s="543"/>
      <c r="AP149" s="541" t="str">
        <f t="shared" ref="AP149" si="532">IF(AM149="","",IF(AM149=1,"",AM149-1))</f>
        <v/>
      </c>
      <c r="AQ149" s="542"/>
      <c r="AR149" s="543"/>
      <c r="AT149" s="358"/>
      <c r="AU149" s="358"/>
      <c r="AW149" s="203"/>
      <c r="AX149" s="96"/>
      <c r="AY149" s="676"/>
      <c r="AZ149" s="677"/>
      <c r="BA149" s="224"/>
      <c r="BB149" s="226"/>
      <c r="BC149" s="96"/>
      <c r="BD149" s="96"/>
      <c r="BE149" s="96"/>
      <c r="BF149" s="96"/>
      <c r="BG149" s="96"/>
      <c r="BH149" s="203"/>
    </row>
    <row r="150" spans="2:60" ht="16">
      <c r="B150" s="124"/>
      <c r="D150" s="156"/>
      <c r="E150" s="626" t="s">
        <v>571</v>
      </c>
      <c r="F150" s="627"/>
      <c r="G150" s="628"/>
      <c r="H150" s="124"/>
      <c r="I150" s="324"/>
      <c r="J150" s="325"/>
      <c r="K150" s="326"/>
      <c r="L150" s="324"/>
      <c r="M150" s="325"/>
      <c r="N150" s="326"/>
      <c r="O150" s="324"/>
      <c r="P150" s="325"/>
      <c r="Q150" s="326"/>
      <c r="R150" s="324"/>
      <c r="S150" s="325"/>
      <c r="T150" s="326"/>
      <c r="U150" s="324"/>
      <c r="V150" s="325"/>
      <c r="W150" s="326"/>
      <c r="X150" s="324"/>
      <c r="Y150" s="325"/>
      <c r="Z150" s="326"/>
      <c r="AA150" s="324"/>
      <c r="AB150" s="325"/>
      <c r="AC150" s="326"/>
      <c r="AD150" s="324"/>
      <c r="AE150" s="325"/>
      <c r="AF150" s="326"/>
      <c r="AG150" s="324"/>
      <c r="AH150" s="325"/>
      <c r="AI150" s="326"/>
      <c r="AJ150" s="324"/>
      <c r="AK150" s="325"/>
      <c r="AL150" s="326"/>
      <c r="AM150" s="324"/>
      <c r="AN150" s="325"/>
      <c r="AO150" s="326"/>
      <c r="AP150" s="324"/>
      <c r="AQ150" s="325"/>
      <c r="AR150" s="326"/>
      <c r="AT150" s="358"/>
      <c r="AU150" s="358"/>
      <c r="AW150" s="203"/>
      <c r="AX150" s="96"/>
      <c r="AY150" s="678" t="str">
        <f>E150</f>
        <v>Indiquer le crédit/prêt/dette à rembourser</v>
      </c>
      <c r="AZ150" s="679"/>
      <c r="BA150" s="680"/>
      <c r="BB150" s="223">
        <f>SUM(MAX(I150,J150),MAX(L150,M150),MAX(O150,P150),MAX(R150,S150),MAX(U150,V150),MAX(X150,Y150),MAX(AA150,AB150),MAX(AD150,AE150),MAX(AG150,AH150),MAX(AJ150,AK150),MAX(AM150,AN150),MAX(AP150,AQ150))</f>
        <v>0</v>
      </c>
      <c r="BC150" s="96"/>
      <c r="BD150" s="96"/>
      <c r="BE150" s="96"/>
      <c r="BF150" s="96"/>
      <c r="BG150" s="96"/>
      <c r="BH150" s="203"/>
    </row>
    <row r="151" spans="2:60" ht="14">
      <c r="B151" s="124"/>
      <c r="D151" s="156">
        <f>1+D149</f>
        <v>9</v>
      </c>
      <c r="E151" s="629" t="s">
        <v>136</v>
      </c>
      <c r="F151" s="630"/>
      <c r="G151" s="301"/>
      <c r="H151" s="124"/>
      <c r="I151" s="541" t="str">
        <f>IF(G151="","",G151)</f>
        <v/>
      </c>
      <c r="J151" s="542"/>
      <c r="K151" s="543"/>
      <c r="L151" s="541" t="str">
        <f>IF(I151="","",IF(I151=1,"",I151-1))</f>
        <v/>
      </c>
      <c r="M151" s="542"/>
      <c r="N151" s="543"/>
      <c r="O151" s="541" t="str">
        <f t="shared" ref="O151" si="533">IF(L151="","",IF(L151=1,"",L151-1))</f>
        <v/>
      </c>
      <c r="P151" s="542"/>
      <c r="Q151" s="543"/>
      <c r="R151" s="541" t="str">
        <f t="shared" ref="R151" si="534">IF(O151="","",IF(O151=1,"",O151-1))</f>
        <v/>
      </c>
      <c r="S151" s="542"/>
      <c r="T151" s="543"/>
      <c r="U151" s="541" t="str">
        <f t="shared" ref="U151" si="535">IF(R151="","",IF(R151=1,"",R151-1))</f>
        <v/>
      </c>
      <c r="V151" s="542"/>
      <c r="W151" s="543"/>
      <c r="X151" s="541" t="str">
        <f t="shared" ref="X151" si="536">IF(U151="","",IF(U151=1,"",U151-1))</f>
        <v/>
      </c>
      <c r="Y151" s="542"/>
      <c r="Z151" s="543"/>
      <c r="AA151" s="541" t="str">
        <f t="shared" ref="AA151" si="537">IF(X151="","",IF(X151=1,"",X151-1))</f>
        <v/>
      </c>
      <c r="AB151" s="542"/>
      <c r="AC151" s="543"/>
      <c r="AD151" s="541" t="str">
        <f t="shared" ref="AD151" si="538">IF(AA151="","",IF(AA151=1,"",AA151-1))</f>
        <v/>
      </c>
      <c r="AE151" s="542"/>
      <c r="AF151" s="543"/>
      <c r="AG151" s="541" t="str">
        <f t="shared" ref="AG151" si="539">IF(AD151="","",IF(AD151=1,"",AD151-1))</f>
        <v/>
      </c>
      <c r="AH151" s="542"/>
      <c r="AI151" s="543"/>
      <c r="AJ151" s="541" t="str">
        <f t="shared" ref="AJ151" si="540">IF(AG151="","",IF(AG151=1,"",AG151-1))</f>
        <v/>
      </c>
      <c r="AK151" s="542"/>
      <c r="AL151" s="543"/>
      <c r="AM151" s="541" t="str">
        <f t="shared" ref="AM151" si="541">IF(AJ151="","",IF(AJ151=1,"",AJ151-1))</f>
        <v/>
      </c>
      <c r="AN151" s="542"/>
      <c r="AO151" s="543"/>
      <c r="AP151" s="541" t="str">
        <f t="shared" ref="AP151" si="542">IF(AM151="","",IF(AM151=1,"",AM151-1))</f>
        <v/>
      </c>
      <c r="AQ151" s="542"/>
      <c r="AR151" s="543"/>
      <c r="AT151" s="358"/>
      <c r="AU151" s="358"/>
      <c r="AW151" s="203"/>
      <c r="AX151" s="96"/>
      <c r="AY151" s="676"/>
      <c r="AZ151" s="677"/>
      <c r="BA151" s="224"/>
      <c r="BB151" s="226"/>
      <c r="BC151" s="96"/>
      <c r="BD151" s="96"/>
      <c r="BE151" s="96"/>
      <c r="BF151" s="96"/>
      <c r="BG151" s="96"/>
      <c r="BH151" s="203"/>
    </row>
    <row r="152" spans="2:60" ht="16">
      <c r="B152" s="124"/>
      <c r="D152" s="156"/>
      <c r="E152" s="626" t="s">
        <v>571</v>
      </c>
      <c r="F152" s="627"/>
      <c r="G152" s="628"/>
      <c r="H152" s="124"/>
      <c r="I152" s="324"/>
      <c r="J152" s="325"/>
      <c r="K152" s="326"/>
      <c r="L152" s="324"/>
      <c r="M152" s="325"/>
      <c r="N152" s="326"/>
      <c r="O152" s="324"/>
      <c r="P152" s="325"/>
      <c r="Q152" s="326"/>
      <c r="R152" s="324"/>
      <c r="S152" s="325"/>
      <c r="T152" s="326"/>
      <c r="U152" s="324"/>
      <c r="V152" s="325"/>
      <c r="W152" s="326"/>
      <c r="X152" s="324"/>
      <c r="Y152" s="325"/>
      <c r="Z152" s="326"/>
      <c r="AA152" s="324"/>
      <c r="AB152" s="325"/>
      <c r="AC152" s="326"/>
      <c r="AD152" s="324"/>
      <c r="AE152" s="325"/>
      <c r="AF152" s="326"/>
      <c r="AG152" s="324"/>
      <c r="AH152" s="325"/>
      <c r="AI152" s="326"/>
      <c r="AJ152" s="324"/>
      <c r="AK152" s="325"/>
      <c r="AL152" s="326"/>
      <c r="AM152" s="324"/>
      <c r="AN152" s="325"/>
      <c r="AO152" s="326"/>
      <c r="AP152" s="324"/>
      <c r="AQ152" s="325"/>
      <c r="AR152" s="326"/>
      <c r="AT152" s="358"/>
      <c r="AU152" s="358"/>
      <c r="AW152" s="203"/>
      <c r="AX152" s="96"/>
      <c r="AY152" s="681" t="str">
        <f>E152</f>
        <v>Indiquer le crédit/prêt/dette à rembourser</v>
      </c>
      <c r="AZ152" s="682"/>
      <c r="BA152" s="683"/>
      <c r="BB152" s="223">
        <f>SUM(MAX(I152,J152),MAX(L152,M152),MAX(O152,P152),MAX(R152,S152),MAX(U152,V152),MAX(X152,Y152),MAX(AA152,AB152),MAX(AD152,AE152),MAX(AG152,AH152),MAX(AJ152,AK152),MAX(AM152,AN152),MAX(AP152,AQ152))</f>
        <v>0</v>
      </c>
      <c r="BC152" s="96"/>
      <c r="BD152" s="96"/>
      <c r="BE152" s="96"/>
      <c r="BF152" s="96"/>
      <c r="BG152" s="96"/>
      <c r="BH152" s="203"/>
    </row>
    <row r="153" spans="2:60" ht="14">
      <c r="B153" s="124"/>
      <c r="D153" s="156">
        <f>1+D151</f>
        <v>10</v>
      </c>
      <c r="E153" s="629" t="s">
        <v>136</v>
      </c>
      <c r="F153" s="630"/>
      <c r="G153" s="301"/>
      <c r="H153" s="124"/>
      <c r="I153" s="541" t="str">
        <f>IF(G153="","",G153)</f>
        <v/>
      </c>
      <c r="J153" s="542"/>
      <c r="K153" s="543"/>
      <c r="L153" s="541" t="str">
        <f>IF(I153="","",IF(I153=1,"",I153-1))</f>
        <v/>
      </c>
      <c r="M153" s="542"/>
      <c r="N153" s="543"/>
      <c r="O153" s="541" t="str">
        <f t="shared" ref="O153" si="543">IF(L153="","",IF(L153=1,"",L153-1))</f>
        <v/>
      </c>
      <c r="P153" s="542"/>
      <c r="Q153" s="543"/>
      <c r="R153" s="541" t="str">
        <f t="shared" ref="R153" si="544">IF(O153="","",IF(O153=1,"",O153-1))</f>
        <v/>
      </c>
      <c r="S153" s="542"/>
      <c r="T153" s="543"/>
      <c r="U153" s="541" t="str">
        <f t="shared" ref="U153" si="545">IF(R153="","",IF(R153=1,"",R153-1))</f>
        <v/>
      </c>
      <c r="V153" s="542"/>
      <c r="W153" s="543"/>
      <c r="X153" s="541" t="str">
        <f t="shared" ref="X153" si="546">IF(U153="","",IF(U153=1,"",U153-1))</f>
        <v/>
      </c>
      <c r="Y153" s="542"/>
      <c r="Z153" s="543"/>
      <c r="AA153" s="541" t="str">
        <f t="shared" ref="AA153" si="547">IF(X153="","",IF(X153=1,"",X153-1))</f>
        <v/>
      </c>
      <c r="AB153" s="542"/>
      <c r="AC153" s="543"/>
      <c r="AD153" s="541" t="str">
        <f t="shared" ref="AD153" si="548">IF(AA153="","",IF(AA153=1,"",AA153-1))</f>
        <v/>
      </c>
      <c r="AE153" s="542"/>
      <c r="AF153" s="543"/>
      <c r="AG153" s="541" t="str">
        <f t="shared" ref="AG153" si="549">IF(AD153="","",IF(AD153=1,"",AD153-1))</f>
        <v/>
      </c>
      <c r="AH153" s="542"/>
      <c r="AI153" s="543"/>
      <c r="AJ153" s="541" t="str">
        <f t="shared" ref="AJ153" si="550">IF(AG153="","",IF(AG153=1,"",AG153-1))</f>
        <v/>
      </c>
      <c r="AK153" s="542"/>
      <c r="AL153" s="543"/>
      <c r="AM153" s="541" t="str">
        <f t="shared" ref="AM153" si="551">IF(AJ153="","",IF(AJ153=1,"",AJ153-1))</f>
        <v/>
      </c>
      <c r="AN153" s="542"/>
      <c r="AO153" s="543"/>
      <c r="AP153" s="541" t="str">
        <f t="shared" ref="AP153" si="552">IF(AM153="","",IF(AM153=1,"",AM153-1))</f>
        <v/>
      </c>
      <c r="AQ153" s="542"/>
      <c r="AR153" s="543"/>
      <c r="AT153" s="358"/>
      <c r="AU153" s="358"/>
      <c r="AW153" s="203"/>
      <c r="AX153" s="96"/>
      <c r="AY153" s="676"/>
      <c r="AZ153" s="677"/>
      <c r="BA153" s="224"/>
      <c r="BB153" s="416"/>
      <c r="BC153" s="96"/>
      <c r="BD153" s="96"/>
      <c r="BE153" s="96"/>
      <c r="BF153" s="96"/>
      <c r="BG153" s="96"/>
      <c r="BH153" s="203"/>
    </row>
    <row r="154" spans="2:60" ht="16">
      <c r="D154" s="1"/>
      <c r="E154" s="466" t="s">
        <v>135</v>
      </c>
      <c r="F154" s="466"/>
      <c r="G154" s="466"/>
      <c r="I154" s="555">
        <f>SUM(MAX(I134,J134),MAX(I136,J136),MAX(I138,J138),MAX(I140,J140),MAX(I142,J142),MAX(I144,J144),MAX(I146,J146),MAX(I148,J148),MAX(I150,J150),MAX(I152,J152))</f>
        <v>0</v>
      </c>
      <c r="J154" s="556"/>
      <c r="K154" s="227"/>
      <c r="L154" s="555">
        <f t="shared" ref="L154" si="553">SUM(MAX(L134,M134),MAX(L136,M136),MAX(L138,M138),MAX(L140,M140),MAX(L142,M142),MAX(L144,M144),MAX(L146,M146),MAX(L148,M148),MAX(L150,M150),MAX(L152,M152))</f>
        <v>0</v>
      </c>
      <c r="M154" s="556"/>
      <c r="N154" s="227"/>
      <c r="O154" s="555">
        <f t="shared" ref="O154" si="554">SUM(MAX(O134,P134),MAX(O136,P136),MAX(O138,P138),MAX(O140,P140),MAX(O142,P142),MAX(O144,P144),MAX(O146,P146),MAX(O148,P148),MAX(O150,P150),MAX(O152,P152))</f>
        <v>0</v>
      </c>
      <c r="P154" s="556"/>
      <c r="Q154" s="227"/>
      <c r="R154" s="555">
        <f t="shared" ref="R154" si="555">SUM(MAX(R134,S134),MAX(R136,S136),MAX(R138,S138),MAX(R140,S140),MAX(R142,S142),MAX(R144,S144),MAX(R146,S146),MAX(R148,S148),MAX(R150,S150),MAX(R152,S152))</f>
        <v>0</v>
      </c>
      <c r="S154" s="556"/>
      <c r="T154" s="227"/>
      <c r="U154" s="555">
        <f t="shared" ref="U154" si="556">SUM(MAX(U134,V134),MAX(U136,V136),MAX(U138,V138),MAX(U140,V140),MAX(U142,V142),MAX(U144,V144),MAX(U146,V146),MAX(U148,V148),MAX(U150,V150),MAX(U152,V152))</f>
        <v>0</v>
      </c>
      <c r="V154" s="556"/>
      <c r="W154" s="227"/>
      <c r="X154" s="555">
        <f t="shared" ref="X154" si="557">SUM(MAX(X134,Y134),MAX(X136,Y136),MAX(X138,Y138),MAX(X140,Y140),MAX(X142,Y142),MAX(X144,Y144),MAX(X146,Y146),MAX(X148,Y148),MAX(X150,Y150),MAX(X152,Y152))</f>
        <v>0</v>
      </c>
      <c r="Y154" s="556"/>
      <c r="Z154" s="227"/>
      <c r="AA154" s="555">
        <f t="shared" ref="AA154" si="558">SUM(MAX(AA134,AB134),MAX(AA136,AB136),MAX(AA138,AB138),MAX(AA140,AB140),MAX(AA142,AB142),MAX(AA144,AB144),MAX(AA146,AB146),MAX(AA148,AB148),MAX(AA150,AB150),MAX(AA152,AB152))</f>
        <v>0</v>
      </c>
      <c r="AB154" s="556"/>
      <c r="AC154" s="227"/>
      <c r="AD154" s="555">
        <f t="shared" ref="AD154" si="559">SUM(MAX(AD134,AE134),MAX(AD136,AE136),MAX(AD138,AE138),MAX(AD140,AE140),MAX(AD142,AE142),MAX(AD144,AE144),MAX(AD146,AE146),MAX(AD148,AE148),MAX(AD150,AE150),MAX(AD152,AE152))</f>
        <v>0</v>
      </c>
      <c r="AE154" s="556"/>
      <c r="AF154" s="227"/>
      <c r="AG154" s="555">
        <f t="shared" ref="AG154" si="560">SUM(MAX(AG134,AH134),MAX(AG136,AH136),MAX(AG138,AH138),MAX(AG140,AH140),MAX(AG142,AH142),MAX(AG144,AH144),MAX(AG146,AH146),MAX(AG148,AH148),MAX(AG150,AH150),MAX(AG152,AH152))</f>
        <v>0</v>
      </c>
      <c r="AH154" s="556"/>
      <c r="AI154" s="227"/>
      <c r="AJ154" s="555">
        <f t="shared" ref="AJ154" si="561">SUM(MAX(AJ134,AK134),MAX(AJ136,AK136),MAX(AJ138,AK138),MAX(AJ140,AK140),MAX(AJ142,AK142),MAX(AJ144,AK144),MAX(AJ146,AK146),MAX(AJ148,AK148),MAX(AJ150,AK150),MAX(AJ152,AK152))</f>
        <v>0</v>
      </c>
      <c r="AK154" s="556"/>
      <c r="AL154" s="227"/>
      <c r="AM154" s="555">
        <f t="shared" ref="AM154" si="562">SUM(MAX(AM134,AN134),MAX(AM136,AN136),MAX(AM138,AN138),MAX(AM140,AN140),MAX(AM142,AN142),MAX(AM144,AN144),MAX(AM146,AN146),MAX(AM148,AN148),MAX(AM150,AN150),MAX(AM152,AN152))</f>
        <v>0</v>
      </c>
      <c r="AN154" s="556"/>
      <c r="AO154" s="227"/>
      <c r="AP154" s="555">
        <f t="shared" ref="AP154" si="563">SUM(MAX(AP134,AQ134),MAX(AP136,AQ136),MAX(AP138,AQ138),MAX(AP140,AQ140),MAX(AP142,AQ142),MAX(AP144,AQ144),MAX(AP146,AQ146),MAX(AP148,AQ148),MAX(AP150,AQ150),MAX(AP152,AQ152))</f>
        <v>0</v>
      </c>
      <c r="AQ154" s="556"/>
      <c r="AR154" s="227"/>
      <c r="AT154" s="358"/>
      <c r="AU154" s="358"/>
      <c r="AW154" s="203"/>
      <c r="AX154" s="96"/>
      <c r="AY154" s="687" t="s">
        <v>251</v>
      </c>
      <c r="AZ154" s="687"/>
      <c r="BA154" s="687"/>
      <c r="BB154" s="419">
        <f>SUM(BB134,BB136,BB138,BB140,BB142,BB144,BB146,BB148,BB150,BB152)</f>
        <v>0</v>
      </c>
      <c r="BC154" s="714" t="str">
        <f>IF($BB$34=0,"",CONCATENATE("(",INT((BB154*100)/$BB$34),"% ressources annuelles)"))</f>
        <v>(0% ressources annuelles)</v>
      </c>
      <c r="BD154" s="715"/>
      <c r="BE154" s="96"/>
      <c r="BF154" s="96"/>
      <c r="BG154" s="96"/>
      <c r="BH154" s="203"/>
    </row>
    <row r="155" spans="2:60" ht="16">
      <c r="D155" s="1"/>
      <c r="E155" s="248"/>
      <c r="F155" s="469" t="str">
        <f>IF($D$37="Activé","BALANCE de contrôle du GRAND DISPATCHING =","")</f>
        <v>BALANCE de contrôle du GRAND DISPATCHING =</v>
      </c>
      <c r="G155" s="469"/>
      <c r="I155" s="525">
        <f>IF($D$37="Activé",I132-I154,"")</f>
        <v>0</v>
      </c>
      <c r="J155" s="526"/>
      <c r="K155" s="373"/>
      <c r="L155" s="525">
        <f t="shared" ref="L155" si="564">IF($D$37="Activé",L132-L154,"")</f>
        <v>0</v>
      </c>
      <c r="M155" s="526"/>
      <c r="N155" s="373"/>
      <c r="O155" s="525">
        <f t="shared" ref="O155" si="565">IF($D$37="Activé",O132-O154,"")</f>
        <v>0</v>
      </c>
      <c r="P155" s="526"/>
      <c r="Q155" s="373"/>
      <c r="R155" s="525">
        <f t="shared" ref="R155" si="566">IF($D$37="Activé",R132-R154,"")</f>
        <v>0</v>
      </c>
      <c r="S155" s="526"/>
      <c r="T155" s="373"/>
      <c r="U155" s="525">
        <f t="shared" ref="U155" si="567">IF($D$37="Activé",U132-U154,"")</f>
        <v>0</v>
      </c>
      <c r="V155" s="526"/>
      <c r="W155" s="373"/>
      <c r="X155" s="525">
        <f t="shared" ref="X155" si="568">IF($D$37="Activé",X132-X154,"")</f>
        <v>0</v>
      </c>
      <c r="Y155" s="526"/>
      <c r="Z155" s="373"/>
      <c r="AA155" s="525">
        <f t="shared" ref="AA155" si="569">IF($D$37="Activé",AA132-AA154,"")</f>
        <v>0</v>
      </c>
      <c r="AB155" s="526"/>
      <c r="AC155" s="373"/>
      <c r="AD155" s="525">
        <f t="shared" ref="AD155" si="570">IF($D$37="Activé",AD132-AD154,"")</f>
        <v>0</v>
      </c>
      <c r="AE155" s="526"/>
      <c r="AF155" s="373"/>
      <c r="AG155" s="525">
        <f t="shared" ref="AG155" si="571">IF($D$37="Activé",AG132-AG154,"")</f>
        <v>0</v>
      </c>
      <c r="AH155" s="526"/>
      <c r="AI155" s="373"/>
      <c r="AJ155" s="525">
        <f t="shared" ref="AJ155" si="572">IF($D$37="Activé",AJ132-AJ154,"")</f>
        <v>0</v>
      </c>
      <c r="AK155" s="526"/>
      <c r="AL155" s="373"/>
      <c r="AM155" s="525">
        <f t="shared" ref="AM155" si="573">IF($D$37="Activé",AM132-AM154,"")</f>
        <v>0</v>
      </c>
      <c r="AN155" s="526"/>
      <c r="AO155" s="373"/>
      <c r="AP155" s="525">
        <f t="shared" ref="AP155" si="574">IF($D$37="Activé",AP132-AP154,"")</f>
        <v>0</v>
      </c>
      <c r="AQ155" s="526"/>
      <c r="AR155" s="373"/>
      <c r="AT155" s="358"/>
      <c r="AU155" s="358"/>
      <c r="AW155" s="203"/>
      <c r="AX155" s="96"/>
      <c r="AY155" s="146"/>
      <c r="AZ155" s="668" t="s">
        <v>535</v>
      </c>
      <c r="BA155" s="668"/>
      <c r="BB155" s="417">
        <f>BB154/12</f>
        <v>0</v>
      </c>
      <c r="BC155" s="96"/>
      <c r="BD155" s="96"/>
      <c r="BE155" s="96"/>
      <c r="BF155" s="96"/>
      <c r="BG155" s="96"/>
      <c r="BH155" s="203"/>
    </row>
    <row r="156" spans="2:60" s="1" customFormat="1" ht="26" customHeight="1" thickBot="1">
      <c r="AW156" s="203"/>
      <c r="AX156" s="96"/>
      <c r="AY156" s="96"/>
      <c r="AZ156" s="706"/>
      <c r="BA156" s="706"/>
      <c r="BB156" s="96"/>
      <c r="BC156" s="96"/>
      <c r="BD156" s="96"/>
      <c r="BE156" s="96"/>
      <c r="BF156" s="96"/>
      <c r="BG156" s="96"/>
      <c r="BH156" s="203"/>
    </row>
    <row r="157" spans="2:60" ht="14">
      <c r="D157" s="702" t="s">
        <v>475</v>
      </c>
      <c r="E157" s="698" t="s">
        <v>559</v>
      </c>
      <c r="F157" s="696" t="s">
        <v>229</v>
      </c>
      <c r="G157" s="696"/>
      <c r="I157" s="578">
        <f>I7</f>
        <v>46174</v>
      </c>
      <c r="J157" s="578"/>
      <c r="K157" s="578"/>
      <c r="L157" s="578">
        <f t="shared" ref="L157" si="575">L7</f>
        <v>46206</v>
      </c>
      <c r="M157" s="578"/>
      <c r="N157" s="578"/>
      <c r="O157" s="578">
        <f t="shared" ref="O157" si="576">O7</f>
        <v>46238</v>
      </c>
      <c r="P157" s="578"/>
      <c r="Q157" s="578"/>
      <c r="R157" s="578">
        <f t="shared" ref="R157" si="577">R7</f>
        <v>46270</v>
      </c>
      <c r="S157" s="578"/>
      <c r="T157" s="578"/>
      <c r="U157" s="578">
        <f t="shared" ref="U157" si="578">U7</f>
        <v>46302</v>
      </c>
      <c r="V157" s="578"/>
      <c r="W157" s="578"/>
      <c r="X157" s="578">
        <f t="shared" ref="X157" si="579">X7</f>
        <v>46334</v>
      </c>
      <c r="Y157" s="578"/>
      <c r="Z157" s="578"/>
      <c r="AA157" s="578">
        <f t="shared" ref="AA157" si="580">AA7</f>
        <v>46366</v>
      </c>
      <c r="AB157" s="578"/>
      <c r="AC157" s="578"/>
      <c r="AD157" s="578">
        <f t="shared" ref="AD157" si="581">AD7</f>
        <v>46398</v>
      </c>
      <c r="AE157" s="578"/>
      <c r="AF157" s="578"/>
      <c r="AG157" s="578">
        <f t="shared" ref="AG157" si="582">AG7</f>
        <v>46430</v>
      </c>
      <c r="AH157" s="578"/>
      <c r="AI157" s="578"/>
      <c r="AJ157" s="578">
        <f t="shared" ref="AJ157" si="583">AJ7</f>
        <v>46462</v>
      </c>
      <c r="AK157" s="578"/>
      <c r="AL157" s="578"/>
      <c r="AM157" s="578">
        <f t="shared" ref="AM157" si="584">AM7</f>
        <v>46494</v>
      </c>
      <c r="AN157" s="578"/>
      <c r="AO157" s="578"/>
      <c r="AP157" s="578">
        <f>AP7</f>
        <v>46526</v>
      </c>
      <c r="AQ157" s="578"/>
      <c r="AR157" s="578"/>
      <c r="AT157" s="360" t="s">
        <v>538</v>
      </c>
      <c r="AU157" s="362" t="s">
        <v>538</v>
      </c>
      <c r="AW157" s="203"/>
      <c r="AX157" s="96"/>
      <c r="AY157" s="695" t="s">
        <v>229</v>
      </c>
      <c r="AZ157" s="696"/>
      <c r="BA157" s="697"/>
      <c r="BB157" s="96"/>
      <c r="BC157" s="96"/>
      <c r="BD157" s="96"/>
      <c r="BE157" s="96"/>
      <c r="BF157" s="96"/>
      <c r="BG157" s="96"/>
      <c r="BH157" s="203"/>
    </row>
    <row r="158" spans="2:60" ht="16">
      <c r="D158" s="702"/>
      <c r="E158" s="699"/>
      <c r="F158" s="700" t="str">
        <f>IF($D$37="Activé","Budgets mensuels disponibles pour les réserves et provisions-&gt;","Balances mensuelles -&gt;")</f>
        <v>Budgets mensuels disponibles pour les réserves et provisions-&gt;</v>
      </c>
      <c r="G158" s="623"/>
      <c r="I158" s="571">
        <f>IF($D$37="Activé",IF(K43="%",INT(I43*I28/100),I43),I267)</f>
        <v>3010</v>
      </c>
      <c r="J158" s="572"/>
      <c r="K158" s="573"/>
      <c r="L158" s="571">
        <f>IF($D$37="Activé",IF(N43="%",INT(L43*L28/100),L43),L267)</f>
        <v>3010</v>
      </c>
      <c r="M158" s="572"/>
      <c r="N158" s="573"/>
      <c r="O158" s="571">
        <f>IF($D$37="Activé",IF(Q43="%",INT(O43*O28/100),O43),O267)</f>
        <v>3010</v>
      </c>
      <c r="P158" s="572"/>
      <c r="Q158" s="573"/>
      <c r="R158" s="571">
        <f>IF($D$37="Activé",IF(T43="%",INT(R43*R28/100),R43),R267)</f>
        <v>3010</v>
      </c>
      <c r="S158" s="572"/>
      <c r="T158" s="573"/>
      <c r="U158" s="571">
        <f>IF($D$37="Activé",IF(W43="%",INT(U43*U28/100),U43),U267)</f>
        <v>0</v>
      </c>
      <c r="V158" s="572"/>
      <c r="W158" s="573"/>
      <c r="X158" s="571">
        <f>IF($D$37="Activé",IF(Z43="%",INT(X43*X28/100),X43),X267)</f>
        <v>0</v>
      </c>
      <c r="Y158" s="572"/>
      <c r="Z158" s="573"/>
      <c r="AA158" s="571">
        <f>IF($D$37="Activé",IF(AC43="%",INT(AA43*AA28/100),AA43),AA267)</f>
        <v>0</v>
      </c>
      <c r="AB158" s="572"/>
      <c r="AC158" s="573"/>
      <c r="AD158" s="571">
        <f>IF($D$37="Activé",IF(AF43="%",INT(AD43*AD28/100),AD43),AD267)</f>
        <v>0</v>
      </c>
      <c r="AE158" s="572"/>
      <c r="AF158" s="573"/>
      <c r="AG158" s="571">
        <f>IF($D$37="Activé",IF(AI43="%",INT(AG43*AG28/100),AG43),AG267)</f>
        <v>0</v>
      </c>
      <c r="AH158" s="572"/>
      <c r="AI158" s="573"/>
      <c r="AJ158" s="571">
        <f>IF($D$37="Activé",IF(AL43="%",INT(AJ43*AJ28/100),AJ43),AJ267)</f>
        <v>0</v>
      </c>
      <c r="AK158" s="572"/>
      <c r="AL158" s="573"/>
      <c r="AM158" s="571">
        <f>IF($D$37="Activé",IF(AO43="%",INT(AM43*AM28/100),AM43),AM267)</f>
        <v>0</v>
      </c>
      <c r="AN158" s="572"/>
      <c r="AO158" s="573"/>
      <c r="AP158" s="571">
        <f>IF($D$37="Activé",IF(AR43="%",INT(AP43*AP28/100),AP43),AP267)</f>
        <v>0</v>
      </c>
      <c r="AQ158" s="572"/>
      <c r="AR158" s="573"/>
      <c r="AT158" s="360" t="s">
        <v>539</v>
      </c>
      <c r="AU158" s="362" t="s">
        <v>539</v>
      </c>
      <c r="AW158" s="203"/>
      <c r="AX158" s="96"/>
      <c r="AY158" s="704"/>
      <c r="AZ158" s="666"/>
      <c r="BA158" s="705"/>
      <c r="BB158" s="96"/>
      <c r="BC158" s="96"/>
      <c r="BD158" s="96"/>
      <c r="BE158" s="96"/>
      <c r="BF158" s="96"/>
      <c r="BG158" s="96"/>
      <c r="BH158" s="203"/>
    </row>
    <row r="159" spans="2:60" ht="16">
      <c r="D159" s="702"/>
      <c r="E159" s="651" t="s">
        <v>277</v>
      </c>
      <c r="F159" s="652"/>
      <c r="G159" s="653"/>
      <c r="I159" s="228" t="s">
        <v>58</v>
      </c>
      <c r="J159" s="709" t="s">
        <v>59</v>
      </c>
      <c r="K159" s="710"/>
      <c r="L159" s="229" t="s">
        <v>58</v>
      </c>
      <c r="M159" s="624" t="s">
        <v>59</v>
      </c>
      <c r="N159" s="625"/>
      <c r="O159" s="229" t="s">
        <v>58</v>
      </c>
      <c r="P159" s="624" t="s">
        <v>59</v>
      </c>
      <c r="Q159" s="625"/>
      <c r="R159" s="229" t="s">
        <v>58</v>
      </c>
      <c r="S159" s="624" t="s">
        <v>59</v>
      </c>
      <c r="T159" s="625"/>
      <c r="U159" s="229" t="s">
        <v>58</v>
      </c>
      <c r="V159" s="624" t="s">
        <v>59</v>
      </c>
      <c r="W159" s="625"/>
      <c r="X159" s="229" t="s">
        <v>58</v>
      </c>
      <c r="Y159" s="624" t="s">
        <v>59</v>
      </c>
      <c r="Z159" s="625"/>
      <c r="AA159" s="229" t="s">
        <v>58</v>
      </c>
      <c r="AB159" s="624" t="s">
        <v>59</v>
      </c>
      <c r="AC159" s="625"/>
      <c r="AD159" s="229" t="s">
        <v>58</v>
      </c>
      <c r="AE159" s="624" t="s">
        <v>59</v>
      </c>
      <c r="AF159" s="625"/>
      <c r="AG159" s="229" t="s">
        <v>58</v>
      </c>
      <c r="AH159" s="624" t="s">
        <v>59</v>
      </c>
      <c r="AI159" s="625"/>
      <c r="AJ159" s="229" t="s">
        <v>58</v>
      </c>
      <c r="AK159" s="624" t="s">
        <v>59</v>
      </c>
      <c r="AL159" s="625"/>
      <c r="AM159" s="229" t="s">
        <v>58</v>
      </c>
      <c r="AN159" s="624" t="s">
        <v>59</v>
      </c>
      <c r="AO159" s="625"/>
      <c r="AP159" s="229" t="s">
        <v>58</v>
      </c>
      <c r="AQ159" s="624" t="s">
        <v>59</v>
      </c>
      <c r="AR159" s="625"/>
      <c r="AT159" s="360" t="s">
        <v>537</v>
      </c>
      <c r="AU159" s="362" t="s">
        <v>540</v>
      </c>
      <c r="AV159" s="156"/>
      <c r="AW159" s="216"/>
      <c r="AX159" s="158"/>
      <c r="AY159" s="651" t="s">
        <v>277</v>
      </c>
      <c r="AZ159" s="652"/>
      <c r="BA159" s="653"/>
      <c r="BB159" s="401" t="s">
        <v>572</v>
      </c>
      <c r="BC159" s="401"/>
      <c r="BD159" s="402" t="s">
        <v>573</v>
      </c>
      <c r="BE159" s="96"/>
      <c r="BF159" s="96"/>
      <c r="BG159" s="96"/>
      <c r="BH159" s="203"/>
    </row>
    <row r="160" spans="2:60" ht="16">
      <c r="B160" s="230"/>
      <c r="D160" s="345">
        <v>1</v>
      </c>
      <c r="E160" s="479" t="s">
        <v>604</v>
      </c>
      <c r="F160" s="480"/>
      <c r="G160" s="480"/>
      <c r="H160" s="391"/>
      <c r="I160" s="324"/>
      <c r="J160" s="325">
        <v>1750</v>
      </c>
      <c r="K160" s="326" t="s">
        <v>585</v>
      </c>
      <c r="L160" s="324"/>
      <c r="M160" s="325">
        <v>1750</v>
      </c>
      <c r="N160" s="326" t="s">
        <v>585</v>
      </c>
      <c r="O160" s="324"/>
      <c r="P160" s="325">
        <v>1750</v>
      </c>
      <c r="Q160" s="326" t="s">
        <v>585</v>
      </c>
      <c r="R160" s="324"/>
      <c r="S160" s="325">
        <v>1750</v>
      </c>
      <c r="T160" s="326" t="s">
        <v>585</v>
      </c>
      <c r="U160" s="324"/>
      <c r="V160" s="325">
        <v>350</v>
      </c>
      <c r="W160" s="326"/>
      <c r="X160" s="324"/>
      <c r="Y160" s="325"/>
      <c r="Z160" s="326"/>
      <c r="AA160" s="324"/>
      <c r="AB160" s="325"/>
      <c r="AC160" s="326"/>
      <c r="AD160" s="324"/>
      <c r="AE160" s="325"/>
      <c r="AF160" s="326"/>
      <c r="AG160" s="324"/>
      <c r="AH160" s="325"/>
      <c r="AI160" s="326"/>
      <c r="AJ160" s="324"/>
      <c r="AK160" s="325"/>
      <c r="AL160" s="326"/>
      <c r="AM160" s="324"/>
      <c r="AN160" s="325"/>
      <c r="AO160" s="326"/>
      <c r="AP160" s="324"/>
      <c r="AQ160" s="325"/>
      <c r="AR160" s="326"/>
      <c r="AT160" s="367" t="str">
        <f>CONCATENATE("Moy. de ",INT(BB160/12)," €/mois")</f>
        <v>Moy. de 612 €/mois</v>
      </c>
      <c r="AU160" s="367" t="str">
        <f t="shared" ref="AU160" si="585">CONCATENATE("Moy. de ",INT(BB160/12)," €/mois")</f>
        <v>Moy. de 612 €/mois</v>
      </c>
      <c r="AW160" s="203"/>
      <c r="AX160" s="96"/>
      <c r="AY160" s="519" t="str">
        <f>IF(E160="","",E160)</f>
        <v>Provision - Achat cuisine</v>
      </c>
      <c r="AZ160" s="520"/>
      <c r="BA160" s="521"/>
      <c r="BB160" s="404">
        <f>SUM(MAX(I160,J160),MAX(L160,M160),MAX(O160,P160),MAX(R160,S160),MAX(U160,V160),MAX(X160,Y160),MAX(AA160,AB160),MAX(AD160,AE160),MAX(AG160,AH160),MAX(AJ160,AK160),MAX(AM160,AN160),MAX(AP160,AQ160))</f>
        <v>7350</v>
      </c>
      <c r="BC160" s="391"/>
      <c r="BD160" s="405">
        <f t="shared" ref="BD160:BD193" si="586">BB160/12</f>
        <v>612.5</v>
      </c>
      <c r="BE160" s="96"/>
      <c r="BF160" s="96"/>
      <c r="BG160" s="96"/>
      <c r="BH160" s="203"/>
    </row>
    <row r="161" spans="2:60" ht="14">
      <c r="B161" s="230"/>
      <c r="D161" s="365" t="s">
        <v>542</v>
      </c>
      <c r="E161" s="437">
        <f>IF(BB160=0,"",INT(SUM(IF(K160="ok",J160,0),IF(N160="ok",M160,0),IF(Q160="ok",P160,0),IF(T160="ok",S160,0),IF(W160="ok",V160,0),IF(Z160="ok",Y160,0),IF(AC160="ok",AB160,0),IF(AF160="ok",AE160,0),IF(AI160="ok",AH160,0),IF(AL160="ok",AK160,0),IF(AO160="ok",AN160,0),IF(AR160="ok",AQ160,0))*100/BB160)/100)</f>
        <v>0</v>
      </c>
      <c r="F161" s="438" t="str">
        <f>IF(BB160=0,"",CONCATENATE("de l'objectif annuel atteint ","(",INT(SUM(IF(K160="ok",J160,0),IF(N160="ok",M160,0),IF(Q160="ok",P160,0),IF(T160="ok",S160,0),IF(W160="ok",V160,0),IF(Z160="ok",Y160,0),IF(AC160="ok",AB160,0),IF(AF160="ok",AE160,0),IF(AI160="ok",AH160,0),IF(AL160="ok",AK160,0),IF(AO160="ok",AN160,0),IF(AR160="ok",AQ160,0)))," € / ",BB160,")",IF(BB160=INT(SUM(IF(K160="ok",J160,0),IF(N160="ok",M160,0),IF(Q160="ok",P160,0),IF(T160="ok",S160,0),IF(W160="ok",V160,0),IF(Z160="ok",Y160,0),IF(AC160="ok",AB160,0),IF(AF160="ok",AE160,0),IF(AI160="ok",AH160,0),IF(AL160="ok",AK160,0),IF(AO160="ok",AN160,0),IF(AR160="ok",AQ160,0))),"",CONCATENATE(" : manque ",BB160-INT(SUM(IF(K160="ok",J160,0),IF(N160="ok",M160,0),IF(Q160="ok",P160,0),IF(T160="ok",S160,0),IF(W160="ok",V160,0),IF(Z160="ok",Y160,0),IF(AC160="ok",AB160,0),IF(AF160="ok",AE160,0),IF(AI160="ok",AH160,0),IF(AL160="ok",AK160,0),IF(AO160="ok",AN160,0),IF(AR160="ok",AQ160,0)))," €"))))</f>
        <v>de l'objectif annuel atteint (0 € / 7350) : manque 7350 €</v>
      </c>
      <c r="G161" s="357" t="s">
        <v>536</v>
      </c>
      <c r="H161" s="392"/>
      <c r="I161" s="327"/>
      <c r="J161" s="328"/>
      <c r="K161" s="329"/>
      <c r="L161" s="327"/>
      <c r="M161" s="328"/>
      <c r="N161" s="329"/>
      <c r="O161" s="327"/>
      <c r="P161" s="328"/>
      <c r="Q161" s="329"/>
      <c r="R161" s="327"/>
      <c r="S161" s="328">
        <v>7000</v>
      </c>
      <c r="T161" s="329"/>
      <c r="U161" s="327"/>
      <c r="V161" s="328">
        <v>2000</v>
      </c>
      <c r="W161" s="329"/>
      <c r="X161" s="327"/>
      <c r="Y161" s="328"/>
      <c r="Z161" s="329"/>
      <c r="AA161" s="327"/>
      <c r="AB161" s="328"/>
      <c r="AC161" s="329"/>
      <c r="AD161" s="327"/>
      <c r="AE161" s="328"/>
      <c r="AF161" s="329"/>
      <c r="AG161" s="327"/>
      <c r="AH161" s="328"/>
      <c r="AI161" s="329"/>
      <c r="AJ161" s="327"/>
      <c r="AK161" s="328"/>
      <c r="AL161" s="329"/>
      <c r="AM161" s="327"/>
      <c r="AN161" s="328"/>
      <c r="AO161" s="329"/>
      <c r="AP161" s="327"/>
      <c r="AQ161" s="328"/>
      <c r="AR161" s="329"/>
      <c r="AT161" s="366"/>
      <c r="AU161" s="366"/>
      <c r="AW161" s="203"/>
      <c r="AX161" s="96"/>
      <c r="AY161" s="484" t="s">
        <v>245</v>
      </c>
      <c r="AZ161" s="485"/>
      <c r="BA161" s="486"/>
      <c r="BB161" s="406">
        <f>SUM(MAX(I161,J161),MAX(L161,M161),MAX(O161,P161),MAX(R161,S161),MAX(U161,V161),MAX(X161,Y161),MAX(AA161,AB161),MAX(AD161,AE161),MAX(AG161,AH161),MAX(AJ161,AK161),MAX(AM161,AN161),MAX(AP161,AQ161))</f>
        <v>9000</v>
      </c>
      <c r="BC161" s="392"/>
      <c r="BD161" s="487" t="s">
        <v>574</v>
      </c>
      <c r="BE161" s="96"/>
      <c r="BF161" s="96"/>
      <c r="BG161" s="96"/>
      <c r="BH161" s="203"/>
    </row>
    <row r="162" spans="2:60" ht="16">
      <c r="B162" s="230"/>
      <c r="D162" s="346">
        <v>2000</v>
      </c>
      <c r="E162" s="488" t="s">
        <v>237</v>
      </c>
      <c r="F162" s="489"/>
      <c r="G162" s="490"/>
      <c r="H162" s="392"/>
      <c r="I162" s="467">
        <f>D162+IF(I160&gt;J160,I160,J160)-IF(J161&lt;I161,I161,J161)</f>
        <v>3750</v>
      </c>
      <c r="J162" s="468"/>
      <c r="K162" s="219"/>
      <c r="L162" s="467">
        <f t="shared" ref="L162" si="587">I162+IF(L160&gt;M160,L160,M160)-IF(M161&lt;L161,L161,M161)</f>
        <v>5500</v>
      </c>
      <c r="M162" s="468"/>
      <c r="N162" s="219"/>
      <c r="O162" s="467">
        <f>L162+IF(O160&gt;P160,O160,P160)-IF(P161&lt;O161,O161,P161)</f>
        <v>7250</v>
      </c>
      <c r="P162" s="468"/>
      <c r="Q162" s="219"/>
      <c r="R162" s="467">
        <f>O162+IF(R160&gt;S160,R160,S160)-IF(S161&lt;R161,R161,S161)</f>
        <v>2000</v>
      </c>
      <c r="S162" s="468"/>
      <c r="T162" s="219"/>
      <c r="U162" s="467">
        <f>R162+IF(U160&gt;V160,U160,V160)-IF(V161&lt;U161,U161,V161)</f>
        <v>350</v>
      </c>
      <c r="V162" s="468"/>
      <c r="W162" s="219"/>
      <c r="X162" s="467">
        <f t="shared" ref="X162" si="588">U162+IF(X160&gt;Y160,X160,Y160)-IF(Y161&lt;X161,X161,Y161)</f>
        <v>350</v>
      </c>
      <c r="Y162" s="468"/>
      <c r="Z162" s="219"/>
      <c r="AA162" s="467">
        <f t="shared" ref="AA162" si="589">X162+IF(AA160&gt;AB160,AA160,AB160)-IF(AB161&lt;AA161,AA161,AB161)</f>
        <v>350</v>
      </c>
      <c r="AB162" s="468"/>
      <c r="AC162" s="219"/>
      <c r="AD162" s="467">
        <f t="shared" ref="AD162" si="590">AA162+IF(AD160&gt;AE160,AD160,AE160)-IF(AE161&lt;AD161,AD161,AE161)</f>
        <v>350</v>
      </c>
      <c r="AE162" s="468"/>
      <c r="AF162" s="219"/>
      <c r="AG162" s="467">
        <f t="shared" ref="AG162" si="591">AD162+IF(AG160&gt;AH160,AG160,AH160)-IF(AH161&lt;AG161,AG161,AH161)</f>
        <v>350</v>
      </c>
      <c r="AH162" s="468"/>
      <c r="AI162" s="219"/>
      <c r="AJ162" s="467">
        <f t="shared" ref="AJ162" si="592">AG162+IF(AJ160&gt;AK160,AJ160,AK160)-IF(AK161&lt;AJ161,AJ161,AK161)</f>
        <v>350</v>
      </c>
      <c r="AK162" s="468"/>
      <c r="AL162" s="219"/>
      <c r="AM162" s="467">
        <f t="shared" ref="AM162" si="593">AJ162+IF(AM160&gt;AN160,AM160,AN160)-IF(AN161&lt;AM161,AM161,AN161)</f>
        <v>350</v>
      </c>
      <c r="AN162" s="468"/>
      <c r="AO162" s="219"/>
      <c r="AP162" s="467">
        <f t="shared" ref="AP162" si="594">AM162+IF(AP160&gt;AQ160,AP160,AQ160)-IF(AQ161&lt;AP161,AP161,AQ161)</f>
        <v>350</v>
      </c>
      <c r="AQ162" s="468"/>
      <c r="AR162" s="219"/>
      <c r="AT162" s="361">
        <f t="shared" ref="AT162" si="595">AP162+BB160</f>
        <v>7700</v>
      </c>
      <c r="AU162" s="363">
        <f t="shared" ref="AU162" si="596">AP162+BB160*4</f>
        <v>29750</v>
      </c>
      <c r="AW162" s="203"/>
      <c r="AX162" s="96"/>
      <c r="AY162" s="491" t="str">
        <f>IF(E162="","",E162)</f>
        <v>- compte d'épargne à saisir -</v>
      </c>
      <c r="AZ162" s="492"/>
      <c r="BA162" s="493"/>
      <c r="BB162" s="407">
        <f>AP162</f>
        <v>350</v>
      </c>
      <c r="BC162" s="392"/>
      <c r="BD162" s="711"/>
      <c r="BE162" s="96"/>
      <c r="BF162" s="96"/>
      <c r="BG162" s="96"/>
      <c r="BH162" s="203"/>
    </row>
    <row r="163" spans="2:60" ht="16">
      <c r="B163" s="230"/>
      <c r="D163" s="347">
        <f>1+D160</f>
        <v>2</v>
      </c>
      <c r="E163" s="479" t="s">
        <v>610</v>
      </c>
      <c r="F163" s="480"/>
      <c r="G163" s="480"/>
      <c r="H163" s="392"/>
      <c r="I163" s="324"/>
      <c r="J163" s="325">
        <v>300</v>
      </c>
      <c r="K163" s="326"/>
      <c r="L163" s="324"/>
      <c r="M163" s="325">
        <v>300</v>
      </c>
      <c r="N163" s="326"/>
      <c r="O163" s="324"/>
      <c r="P163" s="325">
        <v>300</v>
      </c>
      <c r="Q163" s="326"/>
      <c r="R163" s="324"/>
      <c r="S163" s="325">
        <v>300</v>
      </c>
      <c r="T163" s="326"/>
      <c r="U163" s="324"/>
      <c r="V163" s="325">
        <v>350</v>
      </c>
      <c r="W163" s="326"/>
      <c r="X163" s="324"/>
      <c r="Y163" s="325"/>
      <c r="Z163" s="326"/>
      <c r="AA163" s="324"/>
      <c r="AB163" s="325"/>
      <c r="AC163" s="326"/>
      <c r="AD163" s="324"/>
      <c r="AE163" s="325"/>
      <c r="AF163" s="326"/>
      <c r="AG163" s="324"/>
      <c r="AH163" s="325"/>
      <c r="AI163" s="326"/>
      <c r="AJ163" s="324"/>
      <c r="AK163" s="325"/>
      <c r="AL163" s="326"/>
      <c r="AM163" s="324"/>
      <c r="AN163" s="325"/>
      <c r="AO163" s="326"/>
      <c r="AP163" s="324"/>
      <c r="AQ163" s="325"/>
      <c r="AR163" s="326"/>
      <c r="AT163" s="367" t="str">
        <f>CONCATENATE("Moy. de ",INT(BB163/12)," €/mois")</f>
        <v>Moy. de 129 €/mois</v>
      </c>
      <c r="AU163" s="367" t="str">
        <f t="shared" ref="AU163" si="597">CONCATENATE("Moy. de ",INT(BB163/12)," €/mois")</f>
        <v>Moy. de 129 €/mois</v>
      </c>
      <c r="AW163" s="203"/>
      <c r="AX163" s="96"/>
      <c r="AY163" s="481" t="str">
        <f>IF(E163="","",E163)</f>
        <v>Provision - Achat chambre</v>
      </c>
      <c r="AZ163" s="482"/>
      <c r="BA163" s="483"/>
      <c r="BB163" s="404">
        <f>SUM(MAX(I163,J163),MAX(L163,M163),MAX(O163,P163),MAX(R163,S163),MAX(U163,V163),MAX(X163,Y163),MAX(AA163,AB163),MAX(AD163,AE163),MAX(AG163,AH163),MAX(AJ163,AK163),MAX(AM163,AN163),MAX(AP163,AQ163))</f>
        <v>1550</v>
      </c>
      <c r="BC163" s="392"/>
      <c r="BD163" s="405">
        <f t="shared" si="586"/>
        <v>129.16666666666666</v>
      </c>
      <c r="BE163" s="96"/>
      <c r="BF163" s="96"/>
      <c r="BG163" s="96"/>
      <c r="BH163" s="203"/>
    </row>
    <row r="164" spans="2:60" ht="14">
      <c r="B164" s="230"/>
      <c r="D164" s="365" t="s">
        <v>542</v>
      </c>
      <c r="E164" s="437">
        <f>IF(BB163=0,"",INT(SUM(IF(K163="ok",J163,0),IF(N163="ok",M163,0),IF(Q163="ok",P163,0),IF(T163="ok",S163,0),IF(W163="ok",V163,0),IF(Z163="ok",Y163,0),IF(AC163="ok",AB163,0),IF(AF163="ok",AE163,0),IF(AI163="ok",AH163,0),IF(AL163="ok",AK163,0),IF(AO163="ok",AN163,0),IF(AR163="ok",AQ163,0))*100/BB163)/100)</f>
        <v>0</v>
      </c>
      <c r="F164" s="438" t="str">
        <f>IF(BB163=0,"",CONCATENATE("de l'objectif annuel atteint ","(",INT(SUM(IF(K163="ok",J163,0),IF(N163="ok",M163,0),IF(Q163="ok",P163,0),IF(T163="ok",S163,0),IF(W163="ok",V163,0),IF(Z163="ok",Y163,0),IF(AC163="ok",AB163,0),IF(AF163="ok",AE163,0),IF(AI163="ok",AH163,0),IF(AL163="ok",AK163,0),IF(AO163="ok",AN163,0),IF(AR163="ok",AQ163,0)))," € / ",BB163,")",IF(BB163=INT(SUM(IF(K163="ok",J163,0),IF(N163="ok",M163,0),IF(Q163="ok",P163,0),IF(T163="ok",S163,0),IF(W163="ok",V163,0),IF(Z163="ok",Y163,0),IF(AC163="ok",AB163,0),IF(AF163="ok",AE163,0),IF(AI163="ok",AH163,0),IF(AL163="ok",AK163,0),IF(AO163="ok",AN163,0),IF(AR163="ok",AQ163,0))),"",CONCATENATE(" : manque ",BB163-INT(SUM(IF(K163="ok",J163,0),IF(N163="ok",M163,0),IF(Q163="ok",P163,0),IF(T163="ok",S163,0),IF(W163="ok",V163,0),IF(Z163="ok",Y163,0),IF(AC163="ok",AB163,0),IF(AF163="ok",AE163,0),IF(AI163="ok",AH163,0),IF(AL163="ok",AK163,0),IF(AO163="ok",AN163,0),IF(AR163="ok",AQ163,0)))," €"))))</f>
        <v>de l'objectif annuel atteint (0 € / 1550) : manque 1550 €</v>
      </c>
      <c r="G164" s="357" t="s">
        <v>536</v>
      </c>
      <c r="H164" s="392"/>
      <c r="I164" s="327"/>
      <c r="J164" s="328"/>
      <c r="K164" s="329"/>
      <c r="L164" s="327"/>
      <c r="M164" s="328"/>
      <c r="N164" s="329"/>
      <c r="O164" s="327"/>
      <c r="P164" s="328"/>
      <c r="Q164" s="329"/>
      <c r="R164" s="327"/>
      <c r="S164" s="328"/>
      <c r="T164" s="329"/>
      <c r="U164" s="327"/>
      <c r="V164" s="328"/>
      <c r="W164" s="329"/>
      <c r="X164" s="327"/>
      <c r="Y164" s="328"/>
      <c r="Z164" s="329"/>
      <c r="AA164" s="327"/>
      <c r="AB164" s="328"/>
      <c r="AC164" s="329"/>
      <c r="AD164" s="327"/>
      <c r="AE164" s="328"/>
      <c r="AF164" s="329"/>
      <c r="AG164" s="327"/>
      <c r="AH164" s="328"/>
      <c r="AI164" s="329"/>
      <c r="AJ164" s="327"/>
      <c r="AK164" s="328"/>
      <c r="AL164" s="329"/>
      <c r="AM164" s="327"/>
      <c r="AN164" s="328"/>
      <c r="AO164" s="329"/>
      <c r="AP164" s="327"/>
      <c r="AQ164" s="328"/>
      <c r="AR164" s="329"/>
      <c r="AT164" s="366"/>
      <c r="AU164" s="366"/>
      <c r="AW164" s="203"/>
      <c r="AX164" s="96"/>
      <c r="AY164" s="484" t="s">
        <v>245</v>
      </c>
      <c r="AZ164" s="485"/>
      <c r="BA164" s="486"/>
      <c r="BB164" s="406">
        <f>SUM(MAX(I164,J164),MAX(L164,M164),MAX(O164,P164),MAX(R164,S164),MAX(U164,V164),MAX(X164,Y164),MAX(AA164,AB164),MAX(AD164,AE164),MAX(AG164,AH164),MAX(AJ164,AK164),MAX(AM164,AN164),MAX(AP164,AQ164))</f>
        <v>0</v>
      </c>
      <c r="BC164" s="392"/>
      <c r="BD164" s="487" t="s">
        <v>574</v>
      </c>
      <c r="BE164" s="96"/>
      <c r="BF164" s="96"/>
      <c r="BG164" s="96"/>
      <c r="BH164" s="203"/>
    </row>
    <row r="165" spans="2:60" ht="16">
      <c r="B165" s="230"/>
      <c r="D165" s="346"/>
      <c r="E165" s="488" t="s">
        <v>237</v>
      </c>
      <c r="F165" s="489"/>
      <c r="G165" s="490"/>
      <c r="H165" s="392"/>
      <c r="I165" s="467">
        <f>D165+IF(I163&gt;J163,I163,J163)-IF(J164&lt;I164,I164,J164)</f>
        <v>300</v>
      </c>
      <c r="J165" s="468"/>
      <c r="K165" s="219"/>
      <c r="L165" s="467">
        <f t="shared" ref="L165" si="598">I165+IF(L163&gt;M163,L163,M163)-IF(M164&lt;L164,L164,M164)</f>
        <v>600</v>
      </c>
      <c r="M165" s="468"/>
      <c r="N165" s="219"/>
      <c r="O165" s="467">
        <f t="shared" ref="O165" si="599">L165+IF(O163&gt;P163,O163,P163)-IF(P164&lt;O164,O164,P164)</f>
        <v>900</v>
      </c>
      <c r="P165" s="468"/>
      <c r="Q165" s="219"/>
      <c r="R165" s="467">
        <f t="shared" ref="R165" si="600">O165+IF(R163&gt;S163,R163,S163)-IF(S164&lt;R164,R164,S164)</f>
        <v>1200</v>
      </c>
      <c r="S165" s="468"/>
      <c r="T165" s="219"/>
      <c r="U165" s="467">
        <f t="shared" ref="U165" si="601">R165+IF(U163&gt;V163,U163,V163)-IF(V164&lt;U164,U164,V164)</f>
        <v>1550</v>
      </c>
      <c r="V165" s="468"/>
      <c r="W165" s="219"/>
      <c r="X165" s="467">
        <f t="shared" ref="X165" si="602">U165+IF(X163&gt;Y163,X163,Y163)-IF(Y164&lt;X164,X164,Y164)</f>
        <v>1550</v>
      </c>
      <c r="Y165" s="468"/>
      <c r="Z165" s="219"/>
      <c r="AA165" s="467">
        <f t="shared" ref="AA165" si="603">X165+IF(AA163&gt;AB163,AA163,AB163)-IF(AB164&lt;AA164,AA164,AB164)</f>
        <v>1550</v>
      </c>
      <c r="AB165" s="468"/>
      <c r="AC165" s="219"/>
      <c r="AD165" s="467">
        <f t="shared" ref="AD165" si="604">AA165+IF(AD163&gt;AE163,AD163,AE163)-IF(AE164&lt;AD164,AD164,AE164)</f>
        <v>1550</v>
      </c>
      <c r="AE165" s="468"/>
      <c r="AF165" s="219"/>
      <c r="AG165" s="467">
        <f t="shared" ref="AG165" si="605">AD165+IF(AG163&gt;AH163,AG163,AH163)-IF(AH164&lt;AG164,AG164,AH164)</f>
        <v>1550</v>
      </c>
      <c r="AH165" s="468"/>
      <c r="AI165" s="219"/>
      <c r="AJ165" s="467">
        <f t="shared" ref="AJ165" si="606">AG165+IF(AJ163&gt;AK163,AJ163,AK163)-IF(AK164&lt;AJ164,AJ164,AK164)</f>
        <v>1550</v>
      </c>
      <c r="AK165" s="468"/>
      <c r="AL165" s="219"/>
      <c r="AM165" s="467">
        <f t="shared" ref="AM165" si="607">AJ165+IF(AM163&gt;AN163,AM163,AN163)-IF(AN164&lt;AM164,AM164,AN164)</f>
        <v>1550</v>
      </c>
      <c r="AN165" s="468"/>
      <c r="AO165" s="219"/>
      <c r="AP165" s="467">
        <f t="shared" ref="AP165" si="608">AM165+IF(AP163&gt;AQ163,AP163,AQ163)-IF(AQ164&lt;AP164,AP164,AQ164)</f>
        <v>1550</v>
      </c>
      <c r="AQ165" s="468"/>
      <c r="AR165" s="219"/>
      <c r="AT165" s="361">
        <f t="shared" ref="AT165" si="609">AP165+BB163</f>
        <v>3100</v>
      </c>
      <c r="AU165" s="363">
        <f t="shared" ref="AU165" si="610">AP165+BB163*4</f>
        <v>7750</v>
      </c>
      <c r="AW165" s="203"/>
      <c r="AX165" s="96"/>
      <c r="AY165" s="491" t="str">
        <f>IF(E165="","",E165)</f>
        <v>- compte d'épargne à saisir -</v>
      </c>
      <c r="AZ165" s="492"/>
      <c r="BA165" s="493"/>
      <c r="BB165" s="407">
        <f>AP165</f>
        <v>1550</v>
      </c>
      <c r="BC165" s="392"/>
      <c r="BD165" s="711"/>
      <c r="BE165" s="96"/>
      <c r="BF165" s="96"/>
      <c r="BG165" s="96"/>
      <c r="BH165" s="203"/>
    </row>
    <row r="166" spans="2:60" ht="16">
      <c r="B166" s="230"/>
      <c r="D166" s="347">
        <f>1+D163</f>
        <v>3</v>
      </c>
      <c r="E166" s="479" t="s">
        <v>173</v>
      </c>
      <c r="F166" s="480"/>
      <c r="G166" s="480"/>
      <c r="H166" s="392"/>
      <c r="I166" s="324"/>
      <c r="J166" s="325">
        <v>50</v>
      </c>
      <c r="K166" s="326"/>
      <c r="L166" s="324"/>
      <c r="M166" s="325">
        <v>50</v>
      </c>
      <c r="N166" s="326"/>
      <c r="O166" s="324"/>
      <c r="P166" s="325">
        <v>50</v>
      </c>
      <c r="Q166" s="326"/>
      <c r="R166" s="324"/>
      <c r="S166" s="325">
        <v>50</v>
      </c>
      <c r="T166" s="326"/>
      <c r="U166" s="324"/>
      <c r="V166" s="325"/>
      <c r="W166" s="326"/>
      <c r="X166" s="324"/>
      <c r="Y166" s="325"/>
      <c r="Z166" s="326"/>
      <c r="AA166" s="324"/>
      <c r="AB166" s="325"/>
      <c r="AC166" s="326"/>
      <c r="AD166" s="324"/>
      <c r="AE166" s="325"/>
      <c r="AF166" s="326"/>
      <c r="AG166" s="324"/>
      <c r="AH166" s="325"/>
      <c r="AI166" s="326"/>
      <c r="AJ166" s="324"/>
      <c r="AK166" s="325"/>
      <c r="AL166" s="326"/>
      <c r="AM166" s="324"/>
      <c r="AN166" s="325"/>
      <c r="AO166" s="326"/>
      <c r="AP166" s="324"/>
      <c r="AQ166" s="325"/>
      <c r="AR166" s="326"/>
      <c r="AT166" s="367" t="str">
        <f>CONCATENATE("Moy. de ",INT(BB166/12)," €/mois")</f>
        <v>Moy. de 16 €/mois</v>
      </c>
      <c r="AU166" s="367" t="str">
        <f t="shared" ref="AU166" si="611">CONCATENATE("Moy. de ",INT(BB166/12)," €/mois")</f>
        <v>Moy. de 16 €/mois</v>
      </c>
      <c r="AW166" s="203"/>
      <c r="AX166" s="96"/>
      <c r="AY166" s="519" t="str">
        <f>IF(E166="","",E166)</f>
        <v>Provision - Vacances / Sorties / Détente</v>
      </c>
      <c r="AZ166" s="520"/>
      <c r="BA166" s="521"/>
      <c r="BB166" s="404">
        <f>SUM(MAX(I166,J166),MAX(L166,M166),MAX(O166,P166),MAX(R166,S166),MAX(U166,V166),MAX(X166,Y166),MAX(AA166,AB166),MAX(AD166,AE166),MAX(AG166,AH166),MAX(AJ166,AK166),MAX(AM166,AN166),MAX(AP166,AQ166))</f>
        <v>200</v>
      </c>
      <c r="BC166" s="392"/>
      <c r="BD166" s="405">
        <f t="shared" si="586"/>
        <v>16.666666666666668</v>
      </c>
      <c r="BE166" s="96"/>
      <c r="BF166" s="96"/>
      <c r="BG166" s="96"/>
      <c r="BH166" s="203"/>
    </row>
    <row r="167" spans="2:60" ht="14">
      <c r="B167" s="230"/>
      <c r="D167" s="365" t="s">
        <v>542</v>
      </c>
      <c r="E167" s="437">
        <f>IF(BB166=0,"",INT(SUM(IF(K166="ok",J166,0),IF(N166="ok",M166,0),IF(Q166="ok",P166,0),IF(T166="ok",S166,0),IF(W166="ok",V166,0),IF(Z166="ok",Y166,0),IF(AC166="ok",AB166,0),IF(AF166="ok",AE166,0),IF(AI166="ok",AH166,0),IF(AL166="ok",AK166,0),IF(AO166="ok",AN166,0),IF(AR166="ok",AQ166,0))*100/BB166)/100)</f>
        <v>0</v>
      </c>
      <c r="F167" s="438" t="str">
        <f>IF(BB166=0,"",CONCATENATE("de l'objectif annuel atteint ","(",INT(SUM(IF(K166="ok",J166,0),IF(N166="ok",M166,0),IF(Q166="ok",P166,0),IF(T166="ok",S166,0),IF(W166="ok",V166,0),IF(Z166="ok",Y166,0),IF(AC166="ok",AB166,0),IF(AF166="ok",AE166,0),IF(AI166="ok",AH166,0),IF(AL166="ok",AK166,0),IF(AO166="ok",AN166,0),IF(AR166="ok",AQ166,0)))," € / ",BB166,")",IF(BB166=INT(SUM(IF(K166="ok",J166,0),IF(N166="ok",M166,0),IF(Q166="ok",P166,0),IF(T166="ok",S166,0),IF(W166="ok",V166,0),IF(Z166="ok",Y166,0),IF(AC166="ok",AB166,0),IF(AF166="ok",AE166,0),IF(AI166="ok",AH166,0),IF(AL166="ok",AK166,0),IF(AO166="ok",AN166,0),IF(AR166="ok",AQ166,0))),"",CONCATENATE(" : manque ",BB166-INT(SUM(IF(K166="ok",J166,0),IF(N166="ok",M166,0),IF(Q166="ok",P166,0),IF(T166="ok",S166,0),IF(W166="ok",V166,0),IF(Z166="ok",Y166,0),IF(AC166="ok",AB166,0),IF(AF166="ok",AE166,0),IF(AI166="ok",AH166,0),IF(AL166="ok",AK166,0),IF(AO166="ok",AN166,0),IF(AR166="ok",AQ166,0)))," €"))))</f>
        <v>de l'objectif annuel atteint (0 € / 200) : manque 200 €</v>
      </c>
      <c r="G167" s="357" t="s">
        <v>536</v>
      </c>
      <c r="H167" s="392"/>
      <c r="I167" s="327"/>
      <c r="J167" s="328"/>
      <c r="K167" s="329"/>
      <c r="L167" s="327"/>
      <c r="M167" s="328"/>
      <c r="N167" s="329"/>
      <c r="O167" s="327"/>
      <c r="P167" s="328"/>
      <c r="Q167" s="329"/>
      <c r="R167" s="327"/>
      <c r="S167" s="328"/>
      <c r="T167" s="329"/>
      <c r="U167" s="327"/>
      <c r="V167" s="328"/>
      <c r="W167" s="329"/>
      <c r="X167" s="327"/>
      <c r="Y167" s="328"/>
      <c r="Z167" s="329"/>
      <c r="AA167" s="327"/>
      <c r="AB167" s="328"/>
      <c r="AC167" s="329"/>
      <c r="AD167" s="327"/>
      <c r="AE167" s="328"/>
      <c r="AF167" s="329"/>
      <c r="AG167" s="327"/>
      <c r="AH167" s="328"/>
      <c r="AI167" s="329"/>
      <c r="AJ167" s="327"/>
      <c r="AK167" s="328"/>
      <c r="AL167" s="329"/>
      <c r="AM167" s="327"/>
      <c r="AN167" s="328"/>
      <c r="AO167" s="329"/>
      <c r="AP167" s="327"/>
      <c r="AQ167" s="328"/>
      <c r="AR167" s="329"/>
      <c r="AT167" s="366"/>
      <c r="AU167" s="366"/>
      <c r="AW167" s="203"/>
      <c r="AX167" s="96"/>
      <c r="AY167" s="484" t="s">
        <v>245</v>
      </c>
      <c r="AZ167" s="485"/>
      <c r="BA167" s="486"/>
      <c r="BB167" s="406">
        <f>SUM(MAX(I167,J167),MAX(L167,M167),MAX(O167,P167),MAX(R167,S167),MAX(U167,V167),MAX(X167,Y167),MAX(AA167,AB167),MAX(AD167,AE167),MAX(AG167,AH167),MAX(AJ167,AK167),MAX(AM167,AN167),MAX(AP167,AQ167))</f>
        <v>0</v>
      </c>
      <c r="BC167" s="392"/>
      <c r="BD167" s="487" t="s">
        <v>574</v>
      </c>
      <c r="BE167" s="96"/>
      <c r="BF167" s="96"/>
      <c r="BG167" s="96"/>
      <c r="BH167" s="203"/>
    </row>
    <row r="168" spans="2:60" ht="16">
      <c r="B168" s="230"/>
      <c r="D168" s="346"/>
      <c r="E168" s="488" t="s">
        <v>237</v>
      </c>
      <c r="F168" s="489"/>
      <c r="G168" s="490"/>
      <c r="H168" s="392"/>
      <c r="I168" s="467">
        <f>D168+IF(I166&gt;J166,I166,J166)-IF(J167&lt;I167,I167,J167)</f>
        <v>50</v>
      </c>
      <c r="J168" s="468"/>
      <c r="K168" s="219"/>
      <c r="L168" s="467">
        <f t="shared" ref="L168" si="612">I168+IF(L166&gt;M166,L166,M166)-IF(M167&lt;L167,L167,M167)</f>
        <v>100</v>
      </c>
      <c r="M168" s="468"/>
      <c r="N168" s="219"/>
      <c r="O168" s="467">
        <f t="shared" ref="O168" si="613">L168+IF(O166&gt;P166,O166,P166)-IF(P167&lt;O167,O167,P167)</f>
        <v>150</v>
      </c>
      <c r="P168" s="468"/>
      <c r="Q168" s="219"/>
      <c r="R168" s="467">
        <f t="shared" ref="R168" si="614">O168+IF(R166&gt;S166,R166,S166)-IF(S167&lt;R167,R167,S167)</f>
        <v>200</v>
      </c>
      <c r="S168" s="468"/>
      <c r="T168" s="219"/>
      <c r="U168" s="467">
        <f t="shared" ref="U168" si="615">R168+IF(U166&gt;V166,U166,V166)-IF(V167&lt;U167,U167,V167)</f>
        <v>200</v>
      </c>
      <c r="V168" s="468"/>
      <c r="W168" s="219"/>
      <c r="X168" s="467">
        <f t="shared" ref="X168" si="616">U168+IF(X166&gt;Y166,X166,Y166)-IF(Y167&lt;X167,X167,Y167)</f>
        <v>200</v>
      </c>
      <c r="Y168" s="468"/>
      <c r="Z168" s="219"/>
      <c r="AA168" s="467">
        <f t="shared" ref="AA168" si="617">X168+IF(AA166&gt;AB166,AA166,AB166)-IF(AB167&lt;AA167,AA167,AB167)</f>
        <v>200</v>
      </c>
      <c r="AB168" s="468"/>
      <c r="AC168" s="219"/>
      <c r="AD168" s="467">
        <f t="shared" ref="AD168" si="618">AA168+IF(AD166&gt;AE166,AD166,AE166)-IF(AE167&lt;AD167,AD167,AE167)</f>
        <v>200</v>
      </c>
      <c r="AE168" s="468"/>
      <c r="AF168" s="219"/>
      <c r="AG168" s="467">
        <f t="shared" ref="AG168" si="619">AD168+IF(AG166&gt;AH166,AG166,AH166)-IF(AH167&lt;AG167,AG167,AH167)</f>
        <v>200</v>
      </c>
      <c r="AH168" s="468"/>
      <c r="AI168" s="219"/>
      <c r="AJ168" s="467">
        <f t="shared" ref="AJ168" si="620">AG168+IF(AJ166&gt;AK166,AJ166,AK166)-IF(AK167&lt;AJ167,AJ167,AK167)</f>
        <v>200</v>
      </c>
      <c r="AK168" s="468"/>
      <c r="AL168" s="219"/>
      <c r="AM168" s="467">
        <f t="shared" ref="AM168" si="621">AJ168+IF(AM166&gt;AN166,AM166,AN166)-IF(AN167&lt;AM167,AM167,AN167)</f>
        <v>200</v>
      </c>
      <c r="AN168" s="468"/>
      <c r="AO168" s="219"/>
      <c r="AP168" s="467">
        <f t="shared" ref="AP168" si="622">AM168+IF(AP166&gt;AQ166,AP166,AQ166)-IF(AQ167&lt;AP167,AP167,AQ167)</f>
        <v>200</v>
      </c>
      <c r="AQ168" s="468"/>
      <c r="AR168" s="219"/>
      <c r="AT168" s="361">
        <f t="shared" ref="AT168" si="623">AP168+BB166</f>
        <v>400</v>
      </c>
      <c r="AU168" s="363">
        <f t="shared" ref="AU168" si="624">AP168+BB166*4</f>
        <v>1000</v>
      </c>
      <c r="AW168" s="203"/>
      <c r="AX168" s="96"/>
      <c r="AY168" s="491" t="str">
        <f>IF(E168="","",E168)</f>
        <v>- compte d'épargne à saisir -</v>
      </c>
      <c r="AZ168" s="492"/>
      <c r="BA168" s="493"/>
      <c r="BB168" s="407">
        <f>AP168</f>
        <v>200</v>
      </c>
      <c r="BC168" s="392"/>
      <c r="BD168" s="711"/>
      <c r="BE168" s="96"/>
      <c r="BF168" s="96"/>
      <c r="BG168" s="96"/>
      <c r="BH168" s="203"/>
    </row>
    <row r="169" spans="2:60" ht="16">
      <c r="B169" s="230"/>
      <c r="D169" s="347">
        <f>1+D166</f>
        <v>4</v>
      </c>
      <c r="E169" s="479" t="s">
        <v>175</v>
      </c>
      <c r="F169" s="480"/>
      <c r="G169" s="480"/>
      <c r="H169" s="392"/>
      <c r="I169" s="324"/>
      <c r="J169" s="325">
        <v>100</v>
      </c>
      <c r="K169" s="326"/>
      <c r="L169" s="324"/>
      <c r="M169" s="325">
        <v>100</v>
      </c>
      <c r="N169" s="326"/>
      <c r="O169" s="324"/>
      <c r="P169" s="325">
        <v>100</v>
      </c>
      <c r="Q169" s="326"/>
      <c r="R169" s="324"/>
      <c r="S169" s="325">
        <v>100</v>
      </c>
      <c r="T169" s="326"/>
      <c r="U169" s="324"/>
      <c r="V169" s="325"/>
      <c r="W169" s="326"/>
      <c r="X169" s="324"/>
      <c r="Y169" s="325"/>
      <c r="Z169" s="326"/>
      <c r="AA169" s="324"/>
      <c r="AB169" s="325"/>
      <c r="AC169" s="326"/>
      <c r="AD169" s="324"/>
      <c r="AE169" s="325"/>
      <c r="AF169" s="326"/>
      <c r="AG169" s="324"/>
      <c r="AH169" s="325"/>
      <c r="AI169" s="326"/>
      <c r="AJ169" s="324"/>
      <c r="AK169" s="325"/>
      <c r="AL169" s="326"/>
      <c r="AM169" s="324"/>
      <c r="AN169" s="325"/>
      <c r="AO169" s="326"/>
      <c r="AP169" s="324"/>
      <c r="AQ169" s="325"/>
      <c r="AR169" s="326"/>
      <c r="AT169" s="367" t="str">
        <f>CONCATENATE("Moy. de ",INT(BB169/12)," €/mois")</f>
        <v>Moy. de 33 €/mois</v>
      </c>
      <c r="AU169" s="367" t="str">
        <f t="shared" ref="AU169" si="625">CONCATENATE("Moy. de ",INT(BB169/12)," €/mois")</f>
        <v>Moy. de 33 €/mois</v>
      </c>
      <c r="AW169" s="203"/>
      <c r="AX169" s="96"/>
      <c r="AY169" s="481" t="str">
        <f>IF(E169="","",E169)</f>
        <v>Provision - Habillement</v>
      </c>
      <c r="AZ169" s="482"/>
      <c r="BA169" s="483"/>
      <c r="BB169" s="404">
        <f>SUM(MAX(I169,J169),MAX(L169,M169),MAX(O169,P169),MAX(R169,S169),MAX(U169,V169),MAX(X169,Y169),MAX(AA169,AB169),MAX(AD169,AE169),MAX(AG169,AH169),MAX(AJ169,AK169),MAX(AM169,AN169),MAX(AP169,AQ169))</f>
        <v>400</v>
      </c>
      <c r="BC169" s="392"/>
      <c r="BD169" s="405">
        <f t="shared" si="586"/>
        <v>33.333333333333336</v>
      </c>
      <c r="BE169" s="96"/>
      <c r="BF169" s="96"/>
      <c r="BG169" s="96"/>
      <c r="BH169" s="203"/>
    </row>
    <row r="170" spans="2:60" ht="14">
      <c r="B170" s="230"/>
      <c r="D170" s="365" t="s">
        <v>542</v>
      </c>
      <c r="E170" s="437">
        <f>IF(BB169=0,"",INT(SUM(IF(K169="ok",J169,0),IF(N169="ok",M169,0),IF(Q169="ok",P169,0),IF(T169="ok",S169,0),IF(W169="ok",V169,0),IF(Z169="ok",Y169,0),IF(AC169="ok",AB169,0),IF(AF169="ok",AE169,0),IF(AI169="ok",AH169,0),IF(AL169="ok",AK169,0),IF(AO169="ok",AN169,0),IF(AR169="ok",AQ169,0))*100/BB169)/100)</f>
        <v>0</v>
      </c>
      <c r="F170" s="438" t="str">
        <f>IF(BB169=0,"",CONCATENATE("de l'objectif annuel atteint ","(",INT(SUM(IF(K169="ok",J169,0),IF(N169="ok",M169,0),IF(Q169="ok",P169,0),IF(T169="ok",S169,0),IF(W169="ok",V169,0),IF(Z169="ok",Y169,0),IF(AC169="ok",AB169,0),IF(AF169="ok",AE169,0),IF(AI169="ok",AH169,0),IF(AL169="ok",AK169,0),IF(AO169="ok",AN169,0),IF(AR169="ok",AQ169,0)))," € / ",BB169,")",IF(BB169=INT(SUM(IF(K169="ok",J169,0),IF(N169="ok",M169,0),IF(Q169="ok",P169,0),IF(T169="ok",S169,0),IF(W169="ok",V169,0),IF(Z169="ok",Y169,0),IF(AC169="ok",AB169,0),IF(AF169="ok",AE169,0),IF(AI169="ok",AH169,0),IF(AL169="ok",AK169,0),IF(AO169="ok",AN169,0),IF(AR169="ok",AQ169,0))),"",CONCATENATE(" : manque ",BB169-INT(SUM(IF(K169="ok",J169,0),IF(N169="ok",M169,0),IF(Q169="ok",P169,0),IF(T169="ok",S169,0),IF(W169="ok",V169,0),IF(Z169="ok",Y169,0),IF(AC169="ok",AB169,0),IF(AF169="ok",AE169,0),IF(AI169="ok",AH169,0),IF(AL169="ok",AK169,0),IF(AO169="ok",AN169,0),IF(AR169="ok",AQ169,0)))," €"))))</f>
        <v>de l'objectif annuel atteint (0 € / 400) : manque 400 €</v>
      </c>
      <c r="G170" s="357" t="s">
        <v>536</v>
      </c>
      <c r="H170" s="392"/>
      <c r="I170" s="327"/>
      <c r="J170" s="328"/>
      <c r="K170" s="329"/>
      <c r="L170" s="327"/>
      <c r="M170" s="328"/>
      <c r="N170" s="329"/>
      <c r="O170" s="327"/>
      <c r="P170" s="328"/>
      <c r="Q170" s="329"/>
      <c r="R170" s="327"/>
      <c r="S170" s="328"/>
      <c r="T170" s="329"/>
      <c r="U170" s="327"/>
      <c r="V170" s="328"/>
      <c r="W170" s="329"/>
      <c r="X170" s="327"/>
      <c r="Y170" s="328"/>
      <c r="Z170" s="329"/>
      <c r="AA170" s="327"/>
      <c r="AB170" s="328"/>
      <c r="AC170" s="329"/>
      <c r="AD170" s="327"/>
      <c r="AE170" s="328"/>
      <c r="AF170" s="329"/>
      <c r="AG170" s="327"/>
      <c r="AH170" s="328"/>
      <c r="AI170" s="329"/>
      <c r="AJ170" s="327"/>
      <c r="AK170" s="328"/>
      <c r="AL170" s="329"/>
      <c r="AM170" s="327"/>
      <c r="AN170" s="328"/>
      <c r="AO170" s="329"/>
      <c r="AP170" s="327"/>
      <c r="AQ170" s="328"/>
      <c r="AR170" s="329"/>
      <c r="AT170" s="366"/>
      <c r="AU170" s="366"/>
      <c r="AW170" s="203"/>
      <c r="AX170" s="96"/>
      <c r="AY170" s="484" t="s">
        <v>245</v>
      </c>
      <c r="AZ170" s="485"/>
      <c r="BA170" s="486"/>
      <c r="BB170" s="406">
        <f>SUM(MAX(I170,J170),MAX(L170,M170),MAX(O170,P170),MAX(R170,S170),MAX(U170,V170),MAX(X170,Y170),MAX(AA170,AB170),MAX(AD170,AE170),MAX(AG170,AH170),MAX(AJ170,AK170),MAX(AM170,AN170),MAX(AP170,AQ170))</f>
        <v>0</v>
      </c>
      <c r="BC170" s="392"/>
      <c r="BD170" s="487" t="s">
        <v>574</v>
      </c>
      <c r="BE170" s="96"/>
      <c r="BF170" s="96"/>
      <c r="BG170" s="96"/>
      <c r="BH170" s="203"/>
    </row>
    <row r="171" spans="2:60" ht="16">
      <c r="B171" s="230"/>
      <c r="D171" s="346"/>
      <c r="E171" s="488" t="s">
        <v>237</v>
      </c>
      <c r="F171" s="489"/>
      <c r="G171" s="490"/>
      <c r="H171" s="392"/>
      <c r="I171" s="467">
        <f>D171+IF(I169&gt;J169,I169,J169)-IF(J170&lt;I170,I170,J170)</f>
        <v>100</v>
      </c>
      <c r="J171" s="468"/>
      <c r="K171" s="219"/>
      <c r="L171" s="467">
        <f t="shared" ref="L171" si="626">I171+IF(L169&gt;M169,L169,M169)-IF(M170&lt;L170,L170,M170)</f>
        <v>200</v>
      </c>
      <c r="M171" s="468"/>
      <c r="N171" s="219"/>
      <c r="O171" s="467">
        <f t="shared" ref="O171" si="627">L171+IF(O169&gt;P169,O169,P169)-IF(P170&lt;O170,O170,P170)</f>
        <v>300</v>
      </c>
      <c r="P171" s="468"/>
      <c r="Q171" s="219"/>
      <c r="R171" s="467">
        <f t="shared" ref="R171" si="628">O171+IF(R169&gt;S169,R169,S169)-IF(S170&lt;R170,R170,S170)</f>
        <v>400</v>
      </c>
      <c r="S171" s="468"/>
      <c r="T171" s="219"/>
      <c r="U171" s="467">
        <f t="shared" ref="U171" si="629">R171+IF(U169&gt;V169,U169,V169)-IF(V170&lt;U170,U170,V170)</f>
        <v>400</v>
      </c>
      <c r="V171" s="468"/>
      <c r="W171" s="219"/>
      <c r="X171" s="467">
        <f t="shared" ref="X171" si="630">U171+IF(X169&gt;Y169,X169,Y169)-IF(Y170&lt;X170,X170,Y170)</f>
        <v>400</v>
      </c>
      <c r="Y171" s="468"/>
      <c r="Z171" s="219"/>
      <c r="AA171" s="467">
        <f t="shared" ref="AA171" si="631">X171+IF(AA169&gt;AB169,AA169,AB169)-IF(AB170&lt;AA170,AA170,AB170)</f>
        <v>400</v>
      </c>
      <c r="AB171" s="468"/>
      <c r="AC171" s="219"/>
      <c r="AD171" s="467">
        <f t="shared" ref="AD171" si="632">AA171+IF(AD169&gt;AE169,AD169,AE169)-IF(AE170&lt;AD170,AD170,AE170)</f>
        <v>400</v>
      </c>
      <c r="AE171" s="468"/>
      <c r="AF171" s="219"/>
      <c r="AG171" s="467">
        <f t="shared" ref="AG171" si="633">AD171+IF(AG169&gt;AH169,AG169,AH169)-IF(AH170&lt;AG170,AG170,AH170)</f>
        <v>400</v>
      </c>
      <c r="AH171" s="468"/>
      <c r="AI171" s="219"/>
      <c r="AJ171" s="467">
        <f t="shared" ref="AJ171" si="634">AG171+IF(AJ169&gt;AK169,AJ169,AK169)-IF(AK170&lt;AJ170,AJ170,AK170)</f>
        <v>400</v>
      </c>
      <c r="AK171" s="468"/>
      <c r="AL171" s="219"/>
      <c r="AM171" s="467">
        <f t="shared" ref="AM171" si="635">AJ171+IF(AM169&gt;AN169,AM169,AN169)-IF(AN170&lt;AM170,AM170,AN170)</f>
        <v>400</v>
      </c>
      <c r="AN171" s="468"/>
      <c r="AO171" s="219"/>
      <c r="AP171" s="467">
        <f t="shared" ref="AP171" si="636">AM171+IF(AP169&gt;AQ169,AP169,AQ169)-IF(AQ170&lt;AP170,AP170,AQ170)</f>
        <v>400</v>
      </c>
      <c r="AQ171" s="468"/>
      <c r="AR171" s="219"/>
      <c r="AT171" s="361">
        <f t="shared" ref="AT171" si="637">AP171+BB169</f>
        <v>800</v>
      </c>
      <c r="AU171" s="363">
        <f t="shared" ref="AU171" si="638">AP171+BB169*4</f>
        <v>2000</v>
      </c>
      <c r="AW171" s="203"/>
      <c r="AX171" s="96"/>
      <c r="AY171" s="491" t="str">
        <f>IF(E171="","",E171)</f>
        <v>- compte d'épargne à saisir -</v>
      </c>
      <c r="AZ171" s="492"/>
      <c r="BA171" s="493"/>
      <c r="BB171" s="407">
        <f>AP171</f>
        <v>400</v>
      </c>
      <c r="BC171" s="392"/>
      <c r="BD171" s="711"/>
      <c r="BE171" s="96"/>
      <c r="BF171" s="96"/>
      <c r="BG171" s="96"/>
      <c r="BH171" s="203"/>
    </row>
    <row r="172" spans="2:60" ht="16">
      <c r="B172" s="230"/>
      <c r="D172" s="347">
        <f>1+D169</f>
        <v>5</v>
      </c>
      <c r="E172" s="479" t="s">
        <v>611</v>
      </c>
      <c r="F172" s="480"/>
      <c r="G172" s="480"/>
      <c r="H172" s="392"/>
      <c r="I172" s="324"/>
      <c r="J172" s="325">
        <v>300</v>
      </c>
      <c r="K172" s="326"/>
      <c r="L172" s="324"/>
      <c r="M172" s="325">
        <v>300</v>
      </c>
      <c r="N172" s="326"/>
      <c r="O172" s="324"/>
      <c r="P172" s="325">
        <v>300</v>
      </c>
      <c r="Q172" s="326"/>
      <c r="R172" s="324"/>
      <c r="S172" s="325">
        <v>300</v>
      </c>
      <c r="T172" s="326"/>
      <c r="U172" s="324"/>
      <c r="V172" s="325">
        <v>350</v>
      </c>
      <c r="W172" s="326"/>
      <c r="X172" s="324"/>
      <c r="Y172" s="325"/>
      <c r="Z172" s="326"/>
      <c r="AA172" s="324"/>
      <c r="AB172" s="325"/>
      <c r="AC172" s="326"/>
      <c r="AD172" s="324"/>
      <c r="AE172" s="325"/>
      <c r="AF172" s="326"/>
      <c r="AG172" s="324"/>
      <c r="AH172" s="325"/>
      <c r="AI172" s="326"/>
      <c r="AJ172" s="324"/>
      <c r="AK172" s="325"/>
      <c r="AL172" s="326"/>
      <c r="AM172" s="324"/>
      <c r="AN172" s="325"/>
      <c r="AO172" s="326"/>
      <c r="AP172" s="324"/>
      <c r="AQ172" s="325"/>
      <c r="AR172" s="326"/>
      <c r="AT172" s="367" t="str">
        <f>CONCATENATE("Moy. de ",INT(BB172/12)," €/mois")</f>
        <v>Moy. de 129 €/mois</v>
      </c>
      <c r="AU172" s="367" t="str">
        <f t="shared" ref="AU172" si="639">CONCATENATE("Moy. de ",INT(BB172/12)," €/mois")</f>
        <v>Moy. de 129 €/mois</v>
      </c>
      <c r="AW172" s="203"/>
      <c r="AX172" s="96"/>
      <c r="AY172" s="519" t="str">
        <f>IF(E172="","",E172)</f>
        <v>Provision - Achat bureau</v>
      </c>
      <c r="AZ172" s="520"/>
      <c r="BA172" s="521"/>
      <c r="BB172" s="404">
        <f>SUM(MAX(I172,J172),MAX(L172,M172),MAX(O172,P172),MAX(R172,S172),MAX(U172,V172),MAX(X172,Y172),MAX(AA172,AB172),MAX(AD172,AE172),MAX(AG172,AH172),MAX(AJ172,AK172),MAX(AM172,AN172),MAX(AP172,AQ172))</f>
        <v>1550</v>
      </c>
      <c r="BC172" s="392"/>
      <c r="BD172" s="405">
        <f t="shared" si="586"/>
        <v>129.16666666666666</v>
      </c>
      <c r="BE172" s="96"/>
      <c r="BF172" s="96"/>
      <c r="BG172" s="96"/>
      <c r="BH172" s="203"/>
    </row>
    <row r="173" spans="2:60" ht="14">
      <c r="B173" s="230"/>
      <c r="D173" s="365" t="s">
        <v>542</v>
      </c>
      <c r="E173" s="437">
        <f>IF(BB172=0,"",INT(SUM(IF(K172="ok",J172,0),IF(N172="ok",M172,0),IF(Q172="ok",P172,0),IF(T172="ok",S172,0),IF(W172="ok",V172,0),IF(Z172="ok",Y172,0),IF(AC172="ok",AB172,0),IF(AF172="ok",AE172,0),IF(AI172="ok",AH172,0),IF(AL172="ok",AK172,0),IF(AO172="ok",AN172,0),IF(AR172="ok",AQ172,0))*100/BB172)/100)</f>
        <v>0</v>
      </c>
      <c r="F173" s="438" t="str">
        <f>IF(BB172=0,"",CONCATENATE("de l'objectif annuel atteint ","(",INT(SUM(IF(K172="ok",J172,0),IF(N172="ok",M172,0),IF(Q172="ok",P172,0),IF(T172="ok",S172,0),IF(W172="ok",V172,0),IF(Z172="ok",Y172,0),IF(AC172="ok",AB172,0),IF(AF172="ok",AE172,0),IF(AI172="ok",AH172,0),IF(AL172="ok",AK172,0),IF(AO172="ok",AN172,0),IF(AR172="ok",AQ172,0)))," € / ",BB172,")",IF(BB172=INT(SUM(IF(K172="ok",J172,0),IF(N172="ok",M172,0),IF(Q172="ok",P172,0),IF(T172="ok",S172,0),IF(W172="ok",V172,0),IF(Z172="ok",Y172,0),IF(AC172="ok",AB172,0),IF(AF172="ok",AE172,0),IF(AI172="ok",AH172,0),IF(AL172="ok",AK172,0),IF(AO172="ok",AN172,0),IF(AR172="ok",AQ172,0))),"",CONCATENATE(" : manque ",BB172-INT(SUM(IF(K172="ok",J172,0),IF(N172="ok",M172,0),IF(Q172="ok",P172,0),IF(T172="ok",S172,0),IF(W172="ok",V172,0),IF(Z172="ok",Y172,0),IF(AC172="ok",AB172,0),IF(AF172="ok",AE172,0),IF(AI172="ok",AH172,0),IF(AL172="ok",AK172,0),IF(AO172="ok",AN172,0),IF(AR172="ok",AQ172,0)))," €"))))</f>
        <v>de l'objectif annuel atteint (0 € / 1550) : manque 1550 €</v>
      </c>
      <c r="G173" s="357" t="s">
        <v>536</v>
      </c>
      <c r="H173" s="392"/>
      <c r="I173" s="327"/>
      <c r="J173" s="328"/>
      <c r="K173" s="329"/>
      <c r="L173" s="327"/>
      <c r="M173" s="328"/>
      <c r="N173" s="329"/>
      <c r="O173" s="327"/>
      <c r="P173" s="328"/>
      <c r="Q173" s="329"/>
      <c r="R173" s="327"/>
      <c r="S173" s="328"/>
      <c r="T173" s="329"/>
      <c r="U173" s="327"/>
      <c r="V173" s="328"/>
      <c r="W173" s="329"/>
      <c r="X173" s="327"/>
      <c r="Y173" s="328"/>
      <c r="Z173" s="329"/>
      <c r="AA173" s="327"/>
      <c r="AB173" s="328"/>
      <c r="AC173" s="329"/>
      <c r="AD173" s="327"/>
      <c r="AE173" s="328"/>
      <c r="AF173" s="329"/>
      <c r="AG173" s="327"/>
      <c r="AH173" s="328"/>
      <c r="AI173" s="329"/>
      <c r="AJ173" s="327"/>
      <c r="AK173" s="328"/>
      <c r="AL173" s="329"/>
      <c r="AM173" s="327"/>
      <c r="AN173" s="328"/>
      <c r="AO173" s="329"/>
      <c r="AP173" s="327"/>
      <c r="AQ173" s="328"/>
      <c r="AR173" s="329"/>
      <c r="AT173" s="366"/>
      <c r="AU173" s="366"/>
      <c r="AW173" s="203"/>
      <c r="AX173" s="96"/>
      <c r="AY173" s="484" t="s">
        <v>245</v>
      </c>
      <c r="AZ173" s="485"/>
      <c r="BA173" s="486"/>
      <c r="BB173" s="406">
        <f>SUM(MAX(I173,J173),MAX(L173,M173),MAX(O173,P173),MAX(R173,S173),MAX(U173,V173),MAX(X173,Y173),MAX(AA173,AB173),MAX(AD173,AE173),MAX(AG173,AH173),MAX(AJ173,AK173),MAX(AM173,AN173),MAX(AP173,AQ173))</f>
        <v>0</v>
      </c>
      <c r="BC173" s="392"/>
      <c r="BD173" s="487" t="s">
        <v>574</v>
      </c>
      <c r="BE173" s="96"/>
      <c r="BF173" s="96"/>
      <c r="BG173" s="96"/>
      <c r="BH173" s="203"/>
    </row>
    <row r="174" spans="2:60" ht="16">
      <c r="B174" s="230"/>
      <c r="D174" s="346"/>
      <c r="E174" s="488" t="s">
        <v>237</v>
      </c>
      <c r="F174" s="489"/>
      <c r="G174" s="490"/>
      <c r="H174" s="392"/>
      <c r="I174" s="467">
        <f>D174+IF(I172&gt;J172,I172,J172)-IF(J173&lt;I173,I173,J173)</f>
        <v>300</v>
      </c>
      <c r="J174" s="468"/>
      <c r="K174" s="219"/>
      <c r="L174" s="467">
        <f t="shared" ref="L174" si="640">I174+IF(L172&gt;M172,L172,M172)-IF(M173&lt;L173,L173,M173)</f>
        <v>600</v>
      </c>
      <c r="M174" s="468"/>
      <c r="N174" s="219"/>
      <c r="O174" s="467">
        <f t="shared" ref="O174" si="641">L174+IF(O172&gt;P172,O172,P172)-IF(P173&lt;O173,O173,P173)</f>
        <v>900</v>
      </c>
      <c r="P174" s="468"/>
      <c r="Q174" s="219"/>
      <c r="R174" s="467">
        <f t="shared" ref="R174" si="642">O174+IF(R172&gt;S172,R172,S172)-IF(S173&lt;R173,R173,S173)</f>
        <v>1200</v>
      </c>
      <c r="S174" s="468"/>
      <c r="T174" s="219"/>
      <c r="U174" s="467">
        <f t="shared" ref="U174" si="643">R174+IF(U172&gt;V172,U172,V172)-IF(V173&lt;U173,U173,V173)</f>
        <v>1550</v>
      </c>
      <c r="V174" s="468"/>
      <c r="W174" s="219"/>
      <c r="X174" s="467">
        <f t="shared" ref="X174" si="644">U174+IF(X172&gt;Y172,X172,Y172)-IF(Y173&lt;X173,X173,Y173)</f>
        <v>1550</v>
      </c>
      <c r="Y174" s="468"/>
      <c r="Z174" s="219"/>
      <c r="AA174" s="467">
        <f t="shared" ref="AA174" si="645">X174+IF(AA172&gt;AB172,AA172,AB172)-IF(AB173&lt;AA173,AA173,AB173)</f>
        <v>1550</v>
      </c>
      <c r="AB174" s="468"/>
      <c r="AC174" s="219"/>
      <c r="AD174" s="467">
        <f t="shared" ref="AD174" si="646">AA174+IF(AD172&gt;AE172,AD172,AE172)-IF(AE173&lt;AD173,AD173,AE173)</f>
        <v>1550</v>
      </c>
      <c r="AE174" s="468"/>
      <c r="AF174" s="219"/>
      <c r="AG174" s="467">
        <f t="shared" ref="AG174" si="647">AD174+IF(AG172&gt;AH172,AG172,AH172)-IF(AH173&lt;AG173,AG173,AH173)</f>
        <v>1550</v>
      </c>
      <c r="AH174" s="468"/>
      <c r="AI174" s="219"/>
      <c r="AJ174" s="467">
        <f t="shared" ref="AJ174" si="648">AG174+IF(AJ172&gt;AK172,AJ172,AK172)-IF(AK173&lt;AJ173,AJ173,AK173)</f>
        <v>1550</v>
      </c>
      <c r="AK174" s="468"/>
      <c r="AL174" s="219"/>
      <c r="AM174" s="467">
        <f t="shared" ref="AM174" si="649">AJ174+IF(AM172&gt;AN172,AM172,AN172)-IF(AN173&lt;AM173,AM173,AN173)</f>
        <v>1550</v>
      </c>
      <c r="AN174" s="468"/>
      <c r="AO174" s="219"/>
      <c r="AP174" s="467">
        <f t="shared" ref="AP174" si="650">AM174+IF(AP172&gt;AQ172,AP172,AQ172)-IF(AQ173&lt;AP173,AP173,AQ173)</f>
        <v>1550</v>
      </c>
      <c r="AQ174" s="468"/>
      <c r="AR174" s="219"/>
      <c r="AT174" s="361">
        <f t="shared" ref="AT174" si="651">AP174+BB172</f>
        <v>3100</v>
      </c>
      <c r="AU174" s="363">
        <f t="shared" ref="AU174" si="652">AP174+BB172*4</f>
        <v>7750</v>
      </c>
      <c r="AW174" s="203"/>
      <c r="AX174" s="96"/>
      <c r="AY174" s="491" t="str">
        <f>IF(E174="","",E174)</f>
        <v>- compte d'épargne à saisir -</v>
      </c>
      <c r="AZ174" s="492"/>
      <c r="BA174" s="493"/>
      <c r="BB174" s="407">
        <f>AP174</f>
        <v>1550</v>
      </c>
      <c r="BC174" s="392"/>
      <c r="BD174" s="711"/>
      <c r="BE174" s="96"/>
      <c r="BF174" s="96"/>
      <c r="BG174" s="96"/>
      <c r="BH174" s="203"/>
    </row>
    <row r="175" spans="2:60" ht="16">
      <c r="B175" s="230"/>
      <c r="D175" s="347">
        <f>1+D172</f>
        <v>6</v>
      </c>
      <c r="E175" s="479" t="s">
        <v>612</v>
      </c>
      <c r="F175" s="480"/>
      <c r="G175" s="480"/>
      <c r="H175" s="392"/>
      <c r="I175" s="324"/>
      <c r="J175" s="325">
        <v>300</v>
      </c>
      <c r="K175" s="326"/>
      <c r="L175" s="324"/>
      <c r="M175" s="325">
        <v>300</v>
      </c>
      <c r="N175" s="326"/>
      <c r="O175" s="324"/>
      <c r="P175" s="325">
        <v>300</v>
      </c>
      <c r="Q175" s="326"/>
      <c r="R175" s="324"/>
      <c r="S175" s="325">
        <v>300</v>
      </c>
      <c r="T175" s="326"/>
      <c r="U175" s="324"/>
      <c r="V175" s="325">
        <v>350</v>
      </c>
      <c r="W175" s="326"/>
      <c r="X175" s="324"/>
      <c r="Y175" s="325"/>
      <c r="Z175" s="326"/>
      <c r="AA175" s="324"/>
      <c r="AB175" s="325"/>
      <c r="AC175" s="326"/>
      <c r="AD175" s="324"/>
      <c r="AE175" s="325"/>
      <c r="AF175" s="326"/>
      <c r="AG175" s="324"/>
      <c r="AH175" s="325"/>
      <c r="AI175" s="326"/>
      <c r="AJ175" s="324"/>
      <c r="AK175" s="325"/>
      <c r="AL175" s="326"/>
      <c r="AM175" s="324"/>
      <c r="AN175" s="325"/>
      <c r="AO175" s="326"/>
      <c r="AP175" s="324"/>
      <c r="AQ175" s="325"/>
      <c r="AR175" s="326"/>
      <c r="AT175" s="367" t="str">
        <f>CONCATENATE("Moy. de ",INT(BB175/12)," €/mois")</f>
        <v>Moy. de 129 €/mois</v>
      </c>
      <c r="AU175" s="367" t="str">
        <f t="shared" ref="AU175" si="653">CONCATENATE("Moy. de ",INT(BB175/12)," €/mois")</f>
        <v>Moy. de 129 €/mois</v>
      </c>
      <c r="AW175" s="203"/>
      <c r="AX175" s="96"/>
      <c r="AY175" s="481" t="str">
        <f>IF(E175="","",E175)</f>
        <v>Provision - Achat séjour</v>
      </c>
      <c r="AZ175" s="482"/>
      <c r="BA175" s="483"/>
      <c r="BB175" s="404">
        <f>SUM(MAX(I175,J175),MAX(L175,M175),MAX(O175,P175),MAX(R175,S175),MAX(U175,V175),MAX(X175,Y175),MAX(AA175,AB175),MAX(AD175,AE175),MAX(AG175,AH175),MAX(AJ175,AK175),MAX(AM175,AN175),MAX(AP175,AQ175))</f>
        <v>1550</v>
      </c>
      <c r="BC175" s="392"/>
      <c r="BD175" s="405">
        <f t="shared" si="586"/>
        <v>129.16666666666666</v>
      </c>
      <c r="BE175" s="96"/>
      <c r="BF175" s="96"/>
      <c r="BG175" s="96"/>
      <c r="BH175" s="203"/>
    </row>
    <row r="176" spans="2:60" ht="14">
      <c r="B176" s="230"/>
      <c r="D176" s="365" t="s">
        <v>542</v>
      </c>
      <c r="E176" s="437">
        <f>IF(BB175=0,"",INT(SUM(IF(K175="ok",J175,0),IF(N175="ok",M175,0),IF(Q175="ok",P175,0),IF(T175="ok",S175,0),IF(W175="ok",V175,0),IF(Z175="ok",Y175,0),IF(AC175="ok",AB175,0),IF(AF175="ok",AE175,0),IF(AI175="ok",AH175,0),IF(AL175="ok",AK175,0),IF(AO175="ok",AN175,0),IF(AR175="ok",AQ175,0))*100/BB175)/100)</f>
        <v>0</v>
      </c>
      <c r="F176" s="438" t="str">
        <f>IF(BB175=0,"",CONCATENATE("de l'objectif annuel atteint ","(",INT(SUM(IF(K175="ok",J175,0),IF(N175="ok",M175,0),IF(Q175="ok",P175,0),IF(T175="ok",S175,0),IF(W175="ok",V175,0),IF(Z175="ok",Y175,0),IF(AC175="ok",AB175,0),IF(AF175="ok",AE175,0),IF(AI175="ok",AH175,0),IF(AL175="ok",AK175,0),IF(AO175="ok",AN175,0),IF(AR175="ok",AQ175,0)))," € / ",BB175,")",IF(BB175=INT(SUM(IF(K175="ok",J175,0),IF(N175="ok",M175,0),IF(Q175="ok",P175,0),IF(T175="ok",S175,0),IF(W175="ok",V175,0),IF(Z175="ok",Y175,0),IF(AC175="ok",AB175,0),IF(AF175="ok",AE175,0),IF(AI175="ok",AH175,0),IF(AL175="ok",AK175,0),IF(AO175="ok",AN175,0),IF(AR175="ok",AQ175,0))),"",CONCATENATE(" : manque ",BB175-INT(SUM(IF(K175="ok",J175,0),IF(N175="ok",M175,0),IF(Q175="ok",P175,0),IF(T175="ok",S175,0),IF(W175="ok",V175,0),IF(Z175="ok",Y175,0),IF(AC175="ok",AB175,0),IF(AF175="ok",AE175,0),IF(AI175="ok",AH175,0),IF(AL175="ok",AK175,0),IF(AO175="ok",AN175,0),IF(AR175="ok",AQ175,0)))," €"))))</f>
        <v>de l'objectif annuel atteint (0 € / 1550) : manque 1550 €</v>
      </c>
      <c r="G176" s="357" t="s">
        <v>536</v>
      </c>
      <c r="H176" s="392"/>
      <c r="I176" s="327"/>
      <c r="J176" s="328"/>
      <c r="K176" s="329"/>
      <c r="L176" s="327"/>
      <c r="M176" s="328"/>
      <c r="N176" s="329"/>
      <c r="O176" s="327"/>
      <c r="P176" s="328"/>
      <c r="Q176" s="329"/>
      <c r="R176" s="327"/>
      <c r="S176" s="328"/>
      <c r="T176" s="329"/>
      <c r="U176" s="327"/>
      <c r="V176" s="328"/>
      <c r="W176" s="329"/>
      <c r="X176" s="327"/>
      <c r="Y176" s="328"/>
      <c r="Z176" s="329"/>
      <c r="AA176" s="327"/>
      <c r="AB176" s="328"/>
      <c r="AC176" s="329"/>
      <c r="AD176" s="327"/>
      <c r="AE176" s="328"/>
      <c r="AF176" s="329"/>
      <c r="AG176" s="327"/>
      <c r="AH176" s="328"/>
      <c r="AI176" s="329"/>
      <c r="AJ176" s="327"/>
      <c r="AK176" s="328"/>
      <c r="AL176" s="329"/>
      <c r="AM176" s="327"/>
      <c r="AN176" s="328"/>
      <c r="AO176" s="329"/>
      <c r="AP176" s="327"/>
      <c r="AQ176" s="328"/>
      <c r="AR176" s="329"/>
      <c r="AT176" s="366"/>
      <c r="AU176" s="366"/>
      <c r="AW176" s="203"/>
      <c r="AX176" s="96"/>
      <c r="AY176" s="484" t="s">
        <v>245</v>
      </c>
      <c r="AZ176" s="485"/>
      <c r="BA176" s="486"/>
      <c r="BB176" s="406">
        <f>SUM(MAX(I176,J176),MAX(L176,M176),MAX(O176,P176),MAX(R176,S176),MAX(U176,V176),MAX(X176,Y176),MAX(AA176,AB176),MAX(AD176,AE176),MAX(AG176,AH176),MAX(AJ176,AK176),MAX(AM176,AN176),MAX(AP176,AQ176))</f>
        <v>0</v>
      </c>
      <c r="BC176" s="392"/>
      <c r="BD176" s="487" t="s">
        <v>574</v>
      </c>
      <c r="BE176" s="96"/>
      <c r="BF176" s="96"/>
      <c r="BG176" s="96"/>
      <c r="BH176" s="203"/>
    </row>
    <row r="177" spans="2:60" ht="16">
      <c r="B177" s="230"/>
      <c r="D177" s="346"/>
      <c r="E177" s="488" t="s">
        <v>237</v>
      </c>
      <c r="F177" s="489"/>
      <c r="G177" s="490"/>
      <c r="H177" s="392"/>
      <c r="I177" s="467">
        <f>D177+IF(I175&gt;J175,I175,J175)-IF(J176&lt;I176,I176,J176)</f>
        <v>300</v>
      </c>
      <c r="J177" s="468"/>
      <c r="K177" s="219"/>
      <c r="L177" s="467">
        <f t="shared" ref="L177" si="654">I177+IF(L175&gt;M175,L175,M175)-IF(M176&lt;L176,L176,M176)</f>
        <v>600</v>
      </c>
      <c r="M177" s="468"/>
      <c r="N177" s="219"/>
      <c r="O177" s="467">
        <f t="shared" ref="O177" si="655">L177+IF(O175&gt;P175,O175,P175)-IF(P176&lt;O176,O176,P176)</f>
        <v>900</v>
      </c>
      <c r="P177" s="468"/>
      <c r="Q177" s="219"/>
      <c r="R177" s="467">
        <f t="shared" ref="R177" si="656">O177+IF(R175&gt;S175,R175,S175)-IF(S176&lt;R176,R176,S176)</f>
        <v>1200</v>
      </c>
      <c r="S177" s="468"/>
      <c r="T177" s="219"/>
      <c r="U177" s="467">
        <f t="shared" ref="U177" si="657">R177+IF(U175&gt;V175,U175,V175)-IF(V176&lt;U176,U176,V176)</f>
        <v>1550</v>
      </c>
      <c r="V177" s="468"/>
      <c r="W177" s="219"/>
      <c r="X177" s="467">
        <f t="shared" ref="X177" si="658">U177+IF(X175&gt;Y175,X175,Y175)-IF(Y176&lt;X176,X176,Y176)</f>
        <v>1550</v>
      </c>
      <c r="Y177" s="468"/>
      <c r="Z177" s="219"/>
      <c r="AA177" s="467">
        <f t="shared" ref="AA177" si="659">X177+IF(AA175&gt;AB175,AA175,AB175)-IF(AB176&lt;AA176,AA176,AB176)</f>
        <v>1550</v>
      </c>
      <c r="AB177" s="468"/>
      <c r="AC177" s="219"/>
      <c r="AD177" s="467">
        <f t="shared" ref="AD177" si="660">AA177+IF(AD175&gt;AE175,AD175,AE175)-IF(AE176&lt;AD176,AD176,AE176)</f>
        <v>1550</v>
      </c>
      <c r="AE177" s="468"/>
      <c r="AF177" s="219"/>
      <c r="AG177" s="467">
        <f t="shared" ref="AG177" si="661">AD177+IF(AG175&gt;AH175,AG175,AH175)-IF(AH176&lt;AG176,AG176,AH176)</f>
        <v>1550</v>
      </c>
      <c r="AH177" s="468"/>
      <c r="AI177" s="219"/>
      <c r="AJ177" s="467">
        <f t="shared" ref="AJ177" si="662">AG177+IF(AJ175&gt;AK175,AJ175,AK175)-IF(AK176&lt;AJ176,AJ176,AK176)</f>
        <v>1550</v>
      </c>
      <c r="AK177" s="468"/>
      <c r="AL177" s="219"/>
      <c r="AM177" s="467">
        <f t="shared" ref="AM177" si="663">AJ177+IF(AM175&gt;AN175,AM175,AN175)-IF(AN176&lt;AM176,AM176,AN176)</f>
        <v>1550</v>
      </c>
      <c r="AN177" s="468"/>
      <c r="AO177" s="219"/>
      <c r="AP177" s="467">
        <f>AM177+IF(AP175&gt;AQ175,AP175,AQ175)-IF(AQ176&lt;AP176,AP176,AQ176)</f>
        <v>1550</v>
      </c>
      <c r="AQ177" s="468"/>
      <c r="AR177" s="219"/>
      <c r="AT177" s="361">
        <f t="shared" ref="AT177" si="664">AP177+BB175</f>
        <v>3100</v>
      </c>
      <c r="AU177" s="363">
        <f t="shared" ref="AU177" si="665">AP177+BB175*4</f>
        <v>7750</v>
      </c>
      <c r="AW177" s="203"/>
      <c r="AX177" s="96"/>
      <c r="AY177" s="491" t="str">
        <f>IF(E177="","",E177)</f>
        <v>- compte d'épargne à saisir -</v>
      </c>
      <c r="AZ177" s="492"/>
      <c r="BA177" s="493"/>
      <c r="BB177" s="407">
        <f>AP177</f>
        <v>1550</v>
      </c>
      <c r="BC177" s="392"/>
      <c r="BD177" s="711"/>
      <c r="BE177" s="96"/>
      <c r="BF177" s="96"/>
      <c r="BG177" s="96"/>
      <c r="BH177" s="203"/>
    </row>
    <row r="178" spans="2:60" ht="16">
      <c r="B178" s="230"/>
      <c r="D178" s="347">
        <f>1+D175</f>
        <v>7</v>
      </c>
      <c r="E178" s="479" t="s">
        <v>182</v>
      </c>
      <c r="F178" s="480"/>
      <c r="G178" s="480"/>
      <c r="H178" s="392"/>
      <c r="I178" s="324"/>
      <c r="J178" s="325">
        <v>10</v>
      </c>
      <c r="K178" s="326"/>
      <c r="L178" s="324"/>
      <c r="M178" s="325">
        <v>10</v>
      </c>
      <c r="N178" s="326"/>
      <c r="O178" s="324"/>
      <c r="P178" s="325">
        <v>10</v>
      </c>
      <c r="Q178" s="326"/>
      <c r="R178" s="324"/>
      <c r="S178" s="325">
        <v>10</v>
      </c>
      <c r="T178" s="326"/>
      <c r="U178" s="324"/>
      <c r="V178" s="325"/>
      <c r="W178" s="326"/>
      <c r="X178" s="324"/>
      <c r="Y178" s="325"/>
      <c r="Z178" s="326"/>
      <c r="AA178" s="324"/>
      <c r="AB178" s="325"/>
      <c r="AC178" s="326"/>
      <c r="AD178" s="324"/>
      <c r="AE178" s="325"/>
      <c r="AF178" s="326"/>
      <c r="AG178" s="324"/>
      <c r="AH178" s="325"/>
      <c r="AI178" s="326"/>
      <c r="AJ178" s="324"/>
      <c r="AK178" s="325"/>
      <c r="AL178" s="326"/>
      <c r="AM178" s="324"/>
      <c r="AN178" s="325"/>
      <c r="AO178" s="326"/>
      <c r="AP178" s="324"/>
      <c r="AQ178" s="325"/>
      <c r="AR178" s="326"/>
      <c r="AT178" s="367" t="str">
        <f>CONCATENATE("Moy. de ",INT(BB178/12)," €/mois")</f>
        <v>Moy. de 3 €/mois</v>
      </c>
      <c r="AU178" s="367" t="str">
        <f t="shared" ref="AU178" si="666">CONCATENATE("Moy. de ",INT(BB178/12)," €/mois")</f>
        <v>Moy. de 3 €/mois</v>
      </c>
      <c r="AW178" s="203"/>
      <c r="AX178" s="96"/>
      <c r="AY178" s="519" t="str">
        <f>IF(E178="","",E178)</f>
        <v>Provision - Cadeaux (Anniversaires, événements, etc.)</v>
      </c>
      <c r="AZ178" s="520"/>
      <c r="BA178" s="521"/>
      <c r="BB178" s="404">
        <f>SUM(MAX(I178,J178),MAX(L178,M178),MAX(O178,P178),MAX(R178,S178),MAX(U178,V178),MAX(X178,Y178),MAX(AA178,AB178),MAX(AD178,AE178),MAX(AG178,AH178),MAX(AJ178,AK178),MAX(AM178,AN178),MAX(AP178,AQ178))</f>
        <v>40</v>
      </c>
      <c r="BC178" s="392"/>
      <c r="BD178" s="405">
        <f t="shared" si="586"/>
        <v>3.3333333333333335</v>
      </c>
      <c r="BE178" s="96"/>
      <c r="BF178" s="96"/>
      <c r="BG178" s="96"/>
      <c r="BH178" s="203"/>
    </row>
    <row r="179" spans="2:60" ht="14">
      <c r="B179" s="230"/>
      <c r="D179" s="365" t="s">
        <v>542</v>
      </c>
      <c r="E179" s="437">
        <f>IF(BB178=0,"",INT(SUM(IF(K178="ok",J178,0),IF(N178="ok",M178,0),IF(Q178="ok",P178,0),IF(T178="ok",S178,0),IF(W178="ok",V178,0),IF(Z178="ok",Y178,0),IF(AC178="ok",AB178,0),IF(AF178="ok",AE178,0),IF(AI178="ok",AH178,0),IF(AL178="ok",AK178,0),IF(AO178="ok",AN178,0),IF(AR178="ok",AQ178,0))*100/BB178)/100)</f>
        <v>0</v>
      </c>
      <c r="F179" s="438" t="str">
        <f>IF(BB178=0,"",CONCATENATE("de l'objectif annuel atteint ","(",INT(SUM(IF(K178="ok",J178,0),IF(N178="ok",M178,0),IF(Q178="ok",P178,0),IF(T178="ok",S178,0),IF(W178="ok",V178,0),IF(Z178="ok",Y178,0),IF(AC178="ok",AB178,0),IF(AF178="ok",AE178,0),IF(AI178="ok",AH178,0),IF(AL178="ok",AK178,0),IF(AO178="ok",AN178,0),IF(AR178="ok",AQ178,0)))," € / ",BB178,")",IF(BB178=INT(SUM(IF(K178="ok",J178,0),IF(N178="ok",M178,0),IF(Q178="ok",P178,0),IF(T178="ok",S178,0),IF(W178="ok",V178,0),IF(Z178="ok",Y178,0),IF(AC178="ok",AB178,0),IF(AF178="ok",AE178,0),IF(AI178="ok",AH178,0),IF(AL178="ok",AK178,0),IF(AO178="ok",AN178,0),IF(AR178="ok",AQ178,0))),"",CONCATENATE(" : manque ",BB178-INT(SUM(IF(K178="ok",J178,0),IF(N178="ok",M178,0),IF(Q178="ok",P178,0),IF(T178="ok",S178,0),IF(W178="ok",V178,0),IF(Z178="ok",Y178,0),IF(AC178="ok",AB178,0),IF(AF178="ok",AE178,0),IF(AI178="ok",AH178,0),IF(AL178="ok",AK178,0),IF(AO178="ok",AN178,0),IF(AR178="ok",AQ178,0)))," €"))))</f>
        <v>de l'objectif annuel atteint (0 € / 40) : manque 40 €</v>
      </c>
      <c r="G179" s="357" t="s">
        <v>536</v>
      </c>
      <c r="H179" s="392"/>
      <c r="I179" s="327"/>
      <c r="J179" s="328"/>
      <c r="K179" s="329"/>
      <c r="L179" s="327"/>
      <c r="M179" s="328"/>
      <c r="N179" s="329"/>
      <c r="O179" s="327"/>
      <c r="P179" s="328"/>
      <c r="Q179" s="329"/>
      <c r="R179" s="327"/>
      <c r="S179" s="328"/>
      <c r="T179" s="329"/>
      <c r="U179" s="327"/>
      <c r="V179" s="328"/>
      <c r="W179" s="329"/>
      <c r="X179" s="327"/>
      <c r="Y179" s="328"/>
      <c r="Z179" s="329"/>
      <c r="AA179" s="327"/>
      <c r="AB179" s="328"/>
      <c r="AC179" s="329"/>
      <c r="AD179" s="327"/>
      <c r="AE179" s="328"/>
      <c r="AF179" s="329"/>
      <c r="AG179" s="327"/>
      <c r="AH179" s="328"/>
      <c r="AI179" s="329"/>
      <c r="AJ179" s="327"/>
      <c r="AK179" s="328"/>
      <c r="AL179" s="329"/>
      <c r="AM179" s="327"/>
      <c r="AN179" s="328"/>
      <c r="AO179" s="329"/>
      <c r="AP179" s="327"/>
      <c r="AQ179" s="328"/>
      <c r="AR179" s="329"/>
      <c r="AT179" s="366"/>
      <c r="AU179" s="366"/>
      <c r="AW179" s="203"/>
      <c r="AX179" s="96"/>
      <c r="AY179" s="484" t="s">
        <v>245</v>
      </c>
      <c r="AZ179" s="485"/>
      <c r="BA179" s="486"/>
      <c r="BB179" s="406">
        <f>SUM(MAX(I179,J179),MAX(L179,M179),MAX(O179,P179),MAX(R179,S179),MAX(U179,V179),MAX(X179,Y179),MAX(AA179,AB179),MAX(AD179,AE179),MAX(AG179,AH179),MAX(AJ179,AK179),MAX(AM179,AN179),MAX(AP179,AQ179))</f>
        <v>0</v>
      </c>
      <c r="BC179" s="392"/>
      <c r="BD179" s="487" t="s">
        <v>574</v>
      </c>
      <c r="BE179" s="96"/>
      <c r="BF179" s="96"/>
      <c r="BG179" s="96"/>
      <c r="BH179" s="203"/>
    </row>
    <row r="180" spans="2:60" ht="16">
      <c r="B180" s="230"/>
      <c r="D180" s="346"/>
      <c r="E180" s="488" t="s">
        <v>237</v>
      </c>
      <c r="F180" s="489"/>
      <c r="G180" s="490"/>
      <c r="H180" s="392"/>
      <c r="I180" s="467">
        <f>D180+IF(I178&gt;J178,I178,J178)-IF(J179&lt;I179,I179,J179)</f>
        <v>10</v>
      </c>
      <c r="J180" s="468"/>
      <c r="K180" s="219"/>
      <c r="L180" s="467">
        <f t="shared" ref="L180" si="667">I180+IF(L178&gt;M178,L178,M178)-IF(M179&lt;L179,L179,M179)</f>
        <v>20</v>
      </c>
      <c r="M180" s="468"/>
      <c r="N180" s="219"/>
      <c r="O180" s="467">
        <f t="shared" ref="O180" si="668">L180+IF(O178&gt;P178,O178,P178)-IF(P179&lt;O179,O179,P179)</f>
        <v>30</v>
      </c>
      <c r="P180" s="468"/>
      <c r="Q180" s="219"/>
      <c r="R180" s="467">
        <f t="shared" ref="R180" si="669">O180+IF(R178&gt;S178,R178,S178)-IF(S179&lt;R179,R179,S179)</f>
        <v>40</v>
      </c>
      <c r="S180" s="468"/>
      <c r="T180" s="219"/>
      <c r="U180" s="467">
        <f t="shared" ref="U180" si="670">R180+IF(U178&gt;V178,U178,V178)-IF(V179&lt;U179,U179,V179)</f>
        <v>40</v>
      </c>
      <c r="V180" s="468"/>
      <c r="W180" s="219"/>
      <c r="X180" s="467">
        <f t="shared" ref="X180" si="671">U180+IF(X178&gt;Y178,X178,Y178)-IF(Y179&lt;X179,X179,Y179)</f>
        <v>40</v>
      </c>
      <c r="Y180" s="468"/>
      <c r="Z180" s="219"/>
      <c r="AA180" s="467">
        <f t="shared" ref="AA180" si="672">X180+IF(AA178&gt;AB178,AA178,AB178)-IF(AB179&lt;AA179,AA179,AB179)</f>
        <v>40</v>
      </c>
      <c r="AB180" s="468"/>
      <c r="AC180" s="219"/>
      <c r="AD180" s="467">
        <f t="shared" ref="AD180" si="673">AA180+IF(AD178&gt;AE178,AD178,AE178)-IF(AE179&lt;AD179,AD179,AE179)</f>
        <v>40</v>
      </c>
      <c r="AE180" s="468"/>
      <c r="AF180" s="219"/>
      <c r="AG180" s="467">
        <f t="shared" ref="AG180" si="674">AD180+IF(AG178&gt;AH178,AG178,AH178)-IF(AH179&lt;AG179,AG179,AH179)</f>
        <v>40</v>
      </c>
      <c r="AH180" s="468"/>
      <c r="AI180" s="219"/>
      <c r="AJ180" s="467">
        <f t="shared" ref="AJ180" si="675">AG180+IF(AJ178&gt;AK178,AJ178,AK178)-IF(AK179&lt;AJ179,AJ179,AK179)</f>
        <v>40</v>
      </c>
      <c r="AK180" s="468"/>
      <c r="AL180" s="219"/>
      <c r="AM180" s="467">
        <f t="shared" ref="AM180" si="676">AJ180+IF(AM178&gt;AN178,AM178,AN178)-IF(AN179&lt;AM179,AM179,AN179)</f>
        <v>40</v>
      </c>
      <c r="AN180" s="468"/>
      <c r="AO180" s="219"/>
      <c r="AP180" s="467">
        <f t="shared" ref="AP180" si="677">AM180+IF(AP178&gt;AQ178,AP178,AQ178)-IF(AQ179&lt;AP179,AP179,AQ179)</f>
        <v>40</v>
      </c>
      <c r="AQ180" s="468"/>
      <c r="AR180" s="219"/>
      <c r="AT180" s="361">
        <f t="shared" ref="AT180" si="678">AP180+BB178</f>
        <v>80</v>
      </c>
      <c r="AU180" s="363">
        <f t="shared" ref="AU180" si="679">AP180+BB178*4</f>
        <v>200</v>
      </c>
      <c r="AW180" s="203"/>
      <c r="AX180" s="96"/>
      <c r="AY180" s="491" t="str">
        <f>IF(E180="","",E180)</f>
        <v>- compte d'épargne à saisir -</v>
      </c>
      <c r="AZ180" s="492"/>
      <c r="BA180" s="493"/>
      <c r="BB180" s="407">
        <f>AP180</f>
        <v>40</v>
      </c>
      <c r="BC180" s="392"/>
      <c r="BD180" s="711"/>
      <c r="BE180" s="96"/>
      <c r="BF180" s="96"/>
      <c r="BG180" s="96"/>
      <c r="BH180" s="203"/>
    </row>
    <row r="181" spans="2:60" ht="16">
      <c r="B181" s="230"/>
      <c r="D181" s="347">
        <f>1+D178</f>
        <v>8</v>
      </c>
      <c r="E181" s="479" t="s">
        <v>174</v>
      </c>
      <c r="F181" s="480"/>
      <c r="G181" s="480"/>
      <c r="H181" s="392"/>
      <c r="I181" s="324"/>
      <c r="J181" s="325">
        <v>200</v>
      </c>
      <c r="K181" s="326"/>
      <c r="L181" s="324"/>
      <c r="M181" s="325">
        <v>200</v>
      </c>
      <c r="N181" s="326"/>
      <c r="O181" s="324"/>
      <c r="P181" s="325">
        <v>200</v>
      </c>
      <c r="Q181" s="326"/>
      <c r="R181" s="324"/>
      <c r="S181" s="325">
        <v>200</v>
      </c>
      <c r="T181" s="326"/>
      <c r="U181" s="324"/>
      <c r="V181" s="325">
        <v>200</v>
      </c>
      <c r="W181" s="326"/>
      <c r="X181" s="324"/>
      <c r="Y181" s="325">
        <v>200</v>
      </c>
      <c r="Z181" s="326"/>
      <c r="AA181" s="324"/>
      <c r="AB181" s="325">
        <v>200</v>
      </c>
      <c r="AC181" s="326"/>
      <c r="AD181" s="324"/>
      <c r="AE181" s="325">
        <v>200</v>
      </c>
      <c r="AF181" s="326"/>
      <c r="AG181" s="324"/>
      <c r="AH181" s="325">
        <v>200</v>
      </c>
      <c r="AI181" s="326"/>
      <c r="AJ181" s="324"/>
      <c r="AK181" s="325">
        <v>200</v>
      </c>
      <c r="AL181" s="326"/>
      <c r="AM181" s="324"/>
      <c r="AN181" s="325">
        <v>200</v>
      </c>
      <c r="AO181" s="326"/>
      <c r="AP181" s="324"/>
      <c r="AQ181" s="325">
        <v>200</v>
      </c>
      <c r="AR181" s="326"/>
      <c r="AT181" s="367" t="str">
        <f>CONCATENATE("Moy. de ",INT(BB181/12)," €/mois")</f>
        <v>Moy. de 200 €/mois</v>
      </c>
      <c r="AU181" s="367" t="str">
        <f t="shared" ref="AU181" si="680">CONCATENATE("Moy. de ",INT(BB181/12)," €/mois")</f>
        <v>Moy. de 200 €/mois</v>
      </c>
      <c r="AW181" s="203"/>
      <c r="AX181" s="96"/>
      <c r="AY181" s="481" t="str">
        <f>IF(E181="","",E181)</f>
        <v>Provision - Charges de Co-propriété</v>
      </c>
      <c r="AZ181" s="482"/>
      <c r="BA181" s="483"/>
      <c r="BB181" s="404">
        <f>SUM(MAX(I181,J181),MAX(L181,M181),MAX(O181,P181),MAX(R181,S181),MAX(U181,V181),MAX(X181,Y181),MAX(AA181,AB181),MAX(AD181,AE181),MAX(AG181,AH181),MAX(AJ181,AK181),MAX(AM181,AN181),MAX(AP181,AQ181))</f>
        <v>2400</v>
      </c>
      <c r="BC181" s="392"/>
      <c r="BD181" s="405">
        <f t="shared" si="586"/>
        <v>200</v>
      </c>
      <c r="BE181" s="96"/>
      <c r="BF181" s="96"/>
      <c r="BG181" s="96"/>
      <c r="BH181" s="203"/>
    </row>
    <row r="182" spans="2:60" ht="14">
      <c r="B182" s="230"/>
      <c r="D182" s="365" t="s">
        <v>542</v>
      </c>
      <c r="E182" s="437">
        <f>IF(BB181=0,"",INT(SUM(IF(K181="ok",J181,0),IF(N181="ok",M181,0),IF(Q181="ok",P181,0),IF(T181="ok",S181,0),IF(W181="ok",V181,0),IF(Z181="ok",Y181,0),IF(AC181="ok",AB181,0),IF(AF181="ok",AE181,0),IF(AI181="ok",AH181,0),IF(AL181="ok",AK181,0),IF(AO181="ok",AN181,0),IF(AR181="ok",AQ181,0))*100/BB181)/100)</f>
        <v>0</v>
      </c>
      <c r="F182" s="438" t="str">
        <f>IF(BB181=0,"",CONCATENATE("de l'objectif annuel atteint ","(",INT(SUM(IF(K181="ok",J181,0),IF(N181="ok",M181,0),IF(Q181="ok",P181,0),IF(T181="ok",S181,0),IF(W181="ok",V181,0),IF(Z181="ok",Y181,0),IF(AC181="ok",AB181,0),IF(AF181="ok",AE181,0),IF(AI181="ok",AH181,0),IF(AL181="ok",AK181,0),IF(AO181="ok",AN181,0),IF(AR181="ok",AQ181,0)))," € / ",BB181,")",IF(BB181=INT(SUM(IF(K181="ok",J181,0),IF(N181="ok",M181,0),IF(Q181="ok",P181,0),IF(T181="ok",S181,0),IF(W181="ok",V181,0),IF(Z181="ok",Y181,0),IF(AC181="ok",AB181,0),IF(AF181="ok",AE181,0),IF(AI181="ok",AH181,0),IF(AL181="ok",AK181,0),IF(AO181="ok",AN181,0),IF(AR181="ok",AQ181,0))),"",CONCATENATE(" : manque ",BB181-INT(SUM(IF(K181="ok",J181,0),IF(N181="ok",M181,0),IF(Q181="ok",P181,0),IF(T181="ok",S181,0),IF(W181="ok",V181,0),IF(Z181="ok",Y181,0),IF(AC181="ok",AB181,0),IF(AF181="ok",AE181,0),IF(AI181="ok",AH181,0),IF(AL181="ok",AK181,0),IF(AO181="ok",AN181,0),IF(AR181="ok",AQ181,0)))," €"))))</f>
        <v>de l'objectif annuel atteint (0 € / 2400) : manque 2400 €</v>
      </c>
      <c r="G182" s="357" t="s">
        <v>536</v>
      </c>
      <c r="H182" s="392"/>
      <c r="I182" s="327"/>
      <c r="J182" s="328">
        <v>200</v>
      </c>
      <c r="K182" s="329" t="s">
        <v>585</v>
      </c>
      <c r="L182" s="327"/>
      <c r="M182" s="328">
        <v>200</v>
      </c>
      <c r="N182" s="329" t="s">
        <v>585</v>
      </c>
      <c r="O182" s="327"/>
      <c r="P182" s="328">
        <v>200</v>
      </c>
      <c r="Q182" s="329" t="s">
        <v>585</v>
      </c>
      <c r="R182" s="327"/>
      <c r="S182" s="328">
        <v>200</v>
      </c>
      <c r="T182" s="329" t="s">
        <v>585</v>
      </c>
      <c r="U182" s="327"/>
      <c r="V182" s="328">
        <v>200</v>
      </c>
      <c r="W182" s="329" t="s">
        <v>585</v>
      </c>
      <c r="X182" s="327"/>
      <c r="Y182" s="328">
        <v>200</v>
      </c>
      <c r="Z182" s="329" t="s">
        <v>585</v>
      </c>
      <c r="AA182" s="327"/>
      <c r="AB182" s="328">
        <v>200</v>
      </c>
      <c r="AC182" s="329" t="s">
        <v>585</v>
      </c>
      <c r="AD182" s="327"/>
      <c r="AE182" s="328">
        <v>200</v>
      </c>
      <c r="AF182" s="329" t="s">
        <v>585</v>
      </c>
      <c r="AG182" s="327"/>
      <c r="AH182" s="328">
        <v>200</v>
      </c>
      <c r="AI182" s="329" t="s">
        <v>585</v>
      </c>
      <c r="AJ182" s="327"/>
      <c r="AK182" s="328">
        <v>200</v>
      </c>
      <c r="AL182" s="329" t="s">
        <v>585</v>
      </c>
      <c r="AM182" s="327"/>
      <c r="AN182" s="328">
        <v>200</v>
      </c>
      <c r="AO182" s="329" t="s">
        <v>585</v>
      </c>
      <c r="AP182" s="327"/>
      <c r="AQ182" s="328">
        <v>200</v>
      </c>
      <c r="AR182" s="329" t="s">
        <v>585</v>
      </c>
      <c r="AT182" s="366"/>
      <c r="AU182" s="366"/>
      <c r="AW182" s="203"/>
      <c r="AX182" s="96"/>
      <c r="AY182" s="484" t="s">
        <v>245</v>
      </c>
      <c r="AZ182" s="485"/>
      <c r="BA182" s="486"/>
      <c r="BB182" s="406">
        <f>SUM(MAX(I182,J182),MAX(L182,M182),MAX(O182,P182),MAX(R182,S182),MAX(U182,V182),MAX(X182,Y182),MAX(AA182,AB182),MAX(AD182,AE182),MAX(AG182,AH182),MAX(AJ182,AK182),MAX(AM182,AN182),MAX(AP182,AQ182))</f>
        <v>2400</v>
      </c>
      <c r="BC182" s="392"/>
      <c r="BD182" s="487" t="s">
        <v>574</v>
      </c>
      <c r="BE182" s="96"/>
      <c r="BF182" s="96"/>
      <c r="BG182" s="96"/>
      <c r="BH182" s="203"/>
    </row>
    <row r="183" spans="2:60" ht="16">
      <c r="B183" s="230"/>
      <c r="D183" s="346"/>
      <c r="E183" s="488" t="s">
        <v>237</v>
      </c>
      <c r="F183" s="489"/>
      <c r="G183" s="490"/>
      <c r="H183" s="392"/>
      <c r="I183" s="467">
        <f>D183+IF(I181&gt;J181,I181,J181)-IF(J182&lt;I182,I182,J182)</f>
        <v>0</v>
      </c>
      <c r="J183" s="468"/>
      <c r="K183" s="219"/>
      <c r="L183" s="467">
        <f t="shared" ref="L183" si="681">I183+IF(L181&gt;M181,L181,M181)-IF(M182&lt;L182,L182,M182)</f>
        <v>0</v>
      </c>
      <c r="M183" s="468"/>
      <c r="N183" s="219"/>
      <c r="O183" s="467">
        <f t="shared" ref="O183" si="682">L183+IF(O181&gt;P181,O181,P181)-IF(P182&lt;O182,O182,P182)</f>
        <v>0</v>
      </c>
      <c r="P183" s="468"/>
      <c r="Q183" s="219"/>
      <c r="R183" s="467">
        <f t="shared" ref="R183" si="683">O183+IF(R181&gt;S181,R181,S181)-IF(S182&lt;R182,R182,S182)</f>
        <v>0</v>
      </c>
      <c r="S183" s="468"/>
      <c r="T183" s="219"/>
      <c r="U183" s="467">
        <f t="shared" ref="U183" si="684">R183+IF(U181&gt;V181,U181,V181)-IF(V182&lt;U182,U182,V182)</f>
        <v>0</v>
      </c>
      <c r="V183" s="468"/>
      <c r="W183" s="219"/>
      <c r="X183" s="467">
        <f t="shared" ref="X183" si="685">U183+IF(X181&gt;Y181,X181,Y181)-IF(Y182&lt;X182,X182,Y182)</f>
        <v>0</v>
      </c>
      <c r="Y183" s="468"/>
      <c r="Z183" s="219"/>
      <c r="AA183" s="467">
        <f t="shared" ref="AA183" si="686">X183+IF(AA181&gt;AB181,AA181,AB181)-IF(AB182&lt;AA182,AA182,AB182)</f>
        <v>0</v>
      </c>
      <c r="AB183" s="468"/>
      <c r="AC183" s="219"/>
      <c r="AD183" s="467">
        <f t="shared" ref="AD183" si="687">AA183+IF(AD181&gt;AE181,AD181,AE181)-IF(AE182&lt;AD182,AD182,AE182)</f>
        <v>0</v>
      </c>
      <c r="AE183" s="468"/>
      <c r="AF183" s="219"/>
      <c r="AG183" s="467">
        <f t="shared" ref="AG183" si="688">AD183+IF(AG181&gt;AH181,AG181,AH181)-IF(AH182&lt;AG182,AG182,AH182)</f>
        <v>0</v>
      </c>
      <c r="AH183" s="468"/>
      <c r="AI183" s="219"/>
      <c r="AJ183" s="467">
        <f t="shared" ref="AJ183" si="689">AG183+IF(AJ181&gt;AK181,AJ181,AK181)-IF(AK182&lt;AJ182,AJ182,AK182)</f>
        <v>0</v>
      </c>
      <c r="AK183" s="468"/>
      <c r="AL183" s="219"/>
      <c r="AM183" s="467">
        <f t="shared" ref="AM183" si="690">AJ183+IF(AM181&gt;AN181,AM181,AN181)-IF(AN182&lt;AM182,AM182,AN182)</f>
        <v>0</v>
      </c>
      <c r="AN183" s="468"/>
      <c r="AO183" s="219"/>
      <c r="AP183" s="467">
        <f t="shared" ref="AP183" si="691">AM183+IF(AP181&gt;AQ181,AP181,AQ181)-IF(AQ182&lt;AP182,AP182,AQ182)</f>
        <v>0</v>
      </c>
      <c r="AQ183" s="468"/>
      <c r="AR183" s="219"/>
      <c r="AT183" s="361">
        <f t="shared" ref="AT183" si="692">AP183+BB181</f>
        <v>2400</v>
      </c>
      <c r="AU183" s="363">
        <f t="shared" ref="AU183" si="693">AP183+BB181*4</f>
        <v>9600</v>
      </c>
      <c r="AW183" s="203"/>
      <c r="AX183" s="96"/>
      <c r="AY183" s="491" t="str">
        <f>IF(E183="","",E183)</f>
        <v>- compte d'épargne à saisir -</v>
      </c>
      <c r="AZ183" s="492"/>
      <c r="BA183" s="493"/>
      <c r="BB183" s="407">
        <f>AP183</f>
        <v>0</v>
      </c>
      <c r="BC183" s="392"/>
      <c r="BD183" s="711"/>
      <c r="BE183" s="96"/>
      <c r="BF183" s="96"/>
      <c r="BG183" s="96"/>
      <c r="BH183" s="203"/>
    </row>
    <row r="184" spans="2:60" ht="16">
      <c r="B184" s="230"/>
      <c r="D184" s="347">
        <f>1+D181</f>
        <v>9</v>
      </c>
      <c r="E184" s="479" t="s">
        <v>172</v>
      </c>
      <c r="F184" s="480"/>
      <c r="G184" s="480"/>
      <c r="H184" s="392"/>
      <c r="I184" s="324"/>
      <c r="J184" s="325"/>
      <c r="K184" s="326"/>
      <c r="L184" s="324"/>
      <c r="M184" s="325"/>
      <c r="N184" s="326"/>
      <c r="O184" s="324"/>
      <c r="P184" s="325"/>
      <c r="Q184" s="326"/>
      <c r="R184" s="324"/>
      <c r="S184" s="325"/>
      <c r="T184" s="326"/>
      <c r="U184" s="324"/>
      <c r="V184" s="325"/>
      <c r="W184" s="326"/>
      <c r="X184" s="324"/>
      <c r="Y184" s="325"/>
      <c r="Z184" s="326"/>
      <c r="AA184" s="324"/>
      <c r="AB184" s="325"/>
      <c r="AC184" s="326"/>
      <c r="AD184" s="324"/>
      <c r="AE184" s="325"/>
      <c r="AF184" s="326"/>
      <c r="AG184" s="324"/>
      <c r="AH184" s="325"/>
      <c r="AI184" s="326"/>
      <c r="AJ184" s="324"/>
      <c r="AK184" s="325"/>
      <c r="AL184" s="326"/>
      <c r="AM184" s="324"/>
      <c r="AN184" s="325"/>
      <c r="AO184" s="326"/>
      <c r="AP184" s="324"/>
      <c r="AQ184" s="325"/>
      <c r="AR184" s="326"/>
      <c r="AT184" s="367" t="str">
        <f>CONCATENATE("Moy. de ",INT(BB184/12)," €/mois")</f>
        <v>Moy. de 0 €/mois</v>
      </c>
      <c r="AU184" s="367" t="str">
        <f t="shared" ref="AU184" si="694">CONCATENATE("Moy. de ",INT(BB184/12)," €/mois")</f>
        <v>Moy. de 0 €/mois</v>
      </c>
      <c r="AW184" s="203"/>
      <c r="AX184" s="96"/>
      <c r="AY184" s="519" t="str">
        <f>IF(E184="","",E184)</f>
        <v>Provision - Taxe d'Habitation + Taxe Foncière</v>
      </c>
      <c r="AZ184" s="520"/>
      <c r="BA184" s="521"/>
      <c r="BB184" s="404">
        <f>SUM(MAX(I184,J184),MAX(L184,M184),MAX(O184,P184),MAX(R184,S184),MAX(U184,V184),MAX(X184,Y184),MAX(AA184,AB184),MAX(AD184,AE184),MAX(AG184,AH184),MAX(AJ184,AK184),MAX(AM184,AN184),MAX(AP184,AQ184))</f>
        <v>0</v>
      </c>
      <c r="BC184" s="392"/>
      <c r="BD184" s="405">
        <f t="shared" si="586"/>
        <v>0</v>
      </c>
      <c r="BE184" s="96"/>
      <c r="BF184" s="96"/>
      <c r="BG184" s="96"/>
      <c r="BH184" s="203"/>
    </row>
    <row r="185" spans="2:60" ht="14">
      <c r="B185" s="230"/>
      <c r="D185" s="365" t="s">
        <v>542</v>
      </c>
      <c r="E185" s="437" t="str">
        <f>IF(BB184=0,"",INT(SUM(IF(K184="ok",J184,0),IF(N184="ok",M184,0),IF(Q184="ok",P184,0),IF(T184="ok",S184,0),IF(W184="ok",V184,0),IF(Z184="ok",Y184,0),IF(AC184="ok",AB184,0),IF(AF184="ok",AE184,0),IF(AI184="ok",AH184,0),IF(AL184="ok",AK184,0),IF(AO184="ok",AN184,0),IF(AR184="ok",AQ184,0))*100/BB184)/100)</f>
        <v/>
      </c>
      <c r="F185" s="438" t="str">
        <f>IF(BB184=0,"",CONCATENATE("de l'objectif annuel atteint ","(",INT(SUM(IF(K184="ok",J184,0),IF(N184="ok",M184,0),IF(Q184="ok",P184,0),IF(T184="ok",S184,0),IF(W184="ok",V184,0),IF(Z184="ok",Y184,0),IF(AC184="ok",AB184,0),IF(AF184="ok",AE184,0),IF(AI184="ok",AH184,0),IF(AL184="ok",AK184,0),IF(AO184="ok",AN184,0),IF(AR184="ok",AQ184,0)))," € / ",BB184,")",IF(BB184=INT(SUM(IF(K184="ok",J184,0),IF(N184="ok",M184,0),IF(Q184="ok",P184,0),IF(T184="ok",S184,0),IF(W184="ok",V184,0),IF(Z184="ok",Y184,0),IF(AC184="ok",AB184,0),IF(AF184="ok",AE184,0),IF(AI184="ok",AH184,0),IF(AL184="ok",AK184,0),IF(AO184="ok",AN184,0),IF(AR184="ok",AQ184,0))),"",CONCATENATE(" : manque ",BB184-INT(SUM(IF(K184="ok",J184,0),IF(N184="ok",M184,0),IF(Q184="ok",P184,0),IF(T184="ok",S184,0),IF(W184="ok",V184,0),IF(Z184="ok",Y184,0),IF(AC184="ok",AB184,0),IF(AF184="ok",AE184,0),IF(AI184="ok",AH184,0),IF(AL184="ok",AK184,0),IF(AO184="ok",AN184,0),IF(AR184="ok",AQ184,0)))," €"))))</f>
        <v/>
      </c>
      <c r="G185" s="357" t="s">
        <v>536</v>
      </c>
      <c r="H185" s="392"/>
      <c r="I185" s="327"/>
      <c r="J185" s="328"/>
      <c r="K185" s="329"/>
      <c r="L185" s="327"/>
      <c r="M185" s="328"/>
      <c r="N185" s="329"/>
      <c r="O185" s="327"/>
      <c r="P185" s="328"/>
      <c r="Q185" s="329"/>
      <c r="R185" s="327"/>
      <c r="S185" s="328"/>
      <c r="T185" s="329"/>
      <c r="U185" s="327"/>
      <c r="V185" s="328"/>
      <c r="W185" s="329"/>
      <c r="X185" s="327"/>
      <c r="Y185" s="328"/>
      <c r="Z185" s="329"/>
      <c r="AA185" s="327"/>
      <c r="AB185" s="328"/>
      <c r="AC185" s="329"/>
      <c r="AD185" s="327"/>
      <c r="AE185" s="328"/>
      <c r="AF185" s="329"/>
      <c r="AG185" s="327"/>
      <c r="AH185" s="328"/>
      <c r="AI185" s="329"/>
      <c r="AJ185" s="327"/>
      <c r="AK185" s="328"/>
      <c r="AL185" s="329"/>
      <c r="AM185" s="327"/>
      <c r="AN185" s="328"/>
      <c r="AO185" s="329"/>
      <c r="AP185" s="327"/>
      <c r="AQ185" s="328"/>
      <c r="AR185" s="329"/>
      <c r="AT185" s="366"/>
      <c r="AU185" s="366"/>
      <c r="AW185" s="203"/>
      <c r="AX185" s="96"/>
      <c r="AY185" s="484" t="s">
        <v>245</v>
      </c>
      <c r="AZ185" s="485"/>
      <c r="BA185" s="486"/>
      <c r="BB185" s="406">
        <f>SUM(MAX(I185,J185),MAX(L185,M185),MAX(O185,P185),MAX(R185,S185),MAX(U185,V185),MAX(X185,Y185),MAX(AA185,AB185),MAX(AD185,AE185),MAX(AG185,AH185),MAX(AJ185,AK185),MAX(AM185,AN185),MAX(AP185,AQ185))</f>
        <v>0</v>
      </c>
      <c r="BC185" s="392"/>
      <c r="BD185" s="487" t="s">
        <v>574</v>
      </c>
      <c r="BE185" s="96"/>
      <c r="BF185" s="96"/>
      <c r="BG185" s="96"/>
      <c r="BH185" s="203"/>
    </row>
    <row r="186" spans="2:60" ht="16">
      <c r="B186" s="230"/>
      <c r="D186" s="346"/>
      <c r="E186" s="488" t="s">
        <v>237</v>
      </c>
      <c r="F186" s="489"/>
      <c r="G186" s="490"/>
      <c r="H186" s="392"/>
      <c r="I186" s="467">
        <f>D186+IF(I184&gt;J184,I184,J184)-IF(J185&lt;I185,I185,J185)</f>
        <v>0</v>
      </c>
      <c r="J186" s="468"/>
      <c r="K186" s="219"/>
      <c r="L186" s="467">
        <f t="shared" ref="L186" si="695">I186+IF(L184&gt;M184,L184,M184)-IF(M185&lt;L185,L185,M185)</f>
        <v>0</v>
      </c>
      <c r="M186" s="468"/>
      <c r="N186" s="219"/>
      <c r="O186" s="467">
        <f t="shared" ref="O186" si="696">L186+IF(O184&gt;P184,O184,P184)-IF(P185&lt;O185,O185,P185)</f>
        <v>0</v>
      </c>
      <c r="P186" s="468"/>
      <c r="Q186" s="219"/>
      <c r="R186" s="467">
        <f t="shared" ref="R186" si="697">O186+IF(R184&gt;S184,R184,S184)-IF(S185&lt;R185,R185,S185)</f>
        <v>0</v>
      </c>
      <c r="S186" s="468"/>
      <c r="T186" s="219"/>
      <c r="U186" s="467">
        <f t="shared" ref="U186" si="698">R186+IF(U184&gt;V184,U184,V184)-IF(V185&lt;U185,U185,V185)</f>
        <v>0</v>
      </c>
      <c r="V186" s="468"/>
      <c r="W186" s="219"/>
      <c r="X186" s="467">
        <f t="shared" ref="X186" si="699">U186+IF(X184&gt;Y184,X184,Y184)-IF(Y185&lt;X185,X185,Y185)</f>
        <v>0</v>
      </c>
      <c r="Y186" s="468"/>
      <c r="Z186" s="219"/>
      <c r="AA186" s="467">
        <f t="shared" ref="AA186" si="700">X186+IF(AA184&gt;AB184,AA184,AB184)-IF(AB185&lt;AA185,AA185,AB185)</f>
        <v>0</v>
      </c>
      <c r="AB186" s="468"/>
      <c r="AC186" s="219"/>
      <c r="AD186" s="467">
        <f t="shared" ref="AD186" si="701">AA186+IF(AD184&gt;AE184,AD184,AE184)-IF(AE185&lt;AD185,AD185,AE185)</f>
        <v>0</v>
      </c>
      <c r="AE186" s="468"/>
      <c r="AF186" s="219"/>
      <c r="AG186" s="467">
        <f t="shared" ref="AG186" si="702">AD186+IF(AG184&gt;AH184,AG184,AH184)-IF(AH185&lt;AG185,AG185,AH185)</f>
        <v>0</v>
      </c>
      <c r="AH186" s="468"/>
      <c r="AI186" s="219"/>
      <c r="AJ186" s="467">
        <f t="shared" ref="AJ186" si="703">AG186+IF(AJ184&gt;AK184,AJ184,AK184)-IF(AK185&lt;AJ185,AJ185,AK185)</f>
        <v>0</v>
      </c>
      <c r="AK186" s="468"/>
      <c r="AL186" s="219"/>
      <c r="AM186" s="467">
        <f t="shared" ref="AM186" si="704">AJ186+IF(AM184&gt;AN184,AM184,AN184)-IF(AN185&lt;AM185,AM185,AN185)</f>
        <v>0</v>
      </c>
      <c r="AN186" s="468"/>
      <c r="AO186" s="219"/>
      <c r="AP186" s="467">
        <f t="shared" ref="AP186" si="705">AM186+IF(AP184&gt;AQ184,AP184,AQ184)-IF(AQ185&lt;AP185,AP185,AQ185)</f>
        <v>0</v>
      </c>
      <c r="AQ186" s="468"/>
      <c r="AR186" s="219"/>
      <c r="AT186" s="361">
        <f t="shared" ref="AT186" si="706">AP186+BB184</f>
        <v>0</v>
      </c>
      <c r="AU186" s="363">
        <f t="shared" ref="AU186" si="707">AP186+BB184*4</f>
        <v>0</v>
      </c>
      <c r="AW186" s="203"/>
      <c r="AX186" s="96"/>
      <c r="AY186" s="491" t="str">
        <f>IF(E186="","",E186)</f>
        <v>- compte d'épargne à saisir -</v>
      </c>
      <c r="AZ186" s="492"/>
      <c r="BA186" s="493"/>
      <c r="BB186" s="407">
        <f>AP186</f>
        <v>0</v>
      </c>
      <c r="BC186" s="392"/>
      <c r="BD186" s="711"/>
      <c r="BE186" s="96"/>
      <c r="BF186" s="96"/>
      <c r="BG186" s="96"/>
      <c r="BH186" s="203"/>
    </row>
    <row r="187" spans="2:60" ht="16">
      <c r="B187" s="230"/>
      <c r="D187" s="347">
        <f>1+D184</f>
        <v>10</v>
      </c>
      <c r="E187" s="479" t="s">
        <v>570</v>
      </c>
      <c r="F187" s="480"/>
      <c r="G187" s="480"/>
      <c r="H187" s="392"/>
      <c r="I187" s="324"/>
      <c r="J187" s="325"/>
      <c r="K187" s="326"/>
      <c r="L187" s="324"/>
      <c r="M187" s="325"/>
      <c r="N187" s="326"/>
      <c r="O187" s="324"/>
      <c r="P187" s="325"/>
      <c r="Q187" s="326"/>
      <c r="R187" s="324"/>
      <c r="S187" s="325"/>
      <c r="T187" s="326"/>
      <c r="U187" s="324"/>
      <c r="V187" s="325"/>
      <c r="W187" s="326"/>
      <c r="X187" s="324"/>
      <c r="Y187" s="325"/>
      <c r="Z187" s="326"/>
      <c r="AA187" s="324"/>
      <c r="AB187" s="325"/>
      <c r="AC187" s="326"/>
      <c r="AD187" s="324"/>
      <c r="AE187" s="325"/>
      <c r="AF187" s="326"/>
      <c r="AG187" s="324"/>
      <c r="AH187" s="325"/>
      <c r="AI187" s="326"/>
      <c r="AJ187" s="324"/>
      <c r="AK187" s="325"/>
      <c r="AL187" s="326"/>
      <c r="AM187" s="324"/>
      <c r="AN187" s="325"/>
      <c r="AO187" s="326"/>
      <c r="AP187" s="324"/>
      <c r="AQ187" s="325"/>
      <c r="AR187" s="326"/>
      <c r="AT187" s="367" t="str">
        <f>CONCATENATE("Moy. de ",INT(BB187/12)," €/mois")</f>
        <v>Moy. de 0 €/mois</v>
      </c>
      <c r="AU187" s="367" t="str">
        <f t="shared" ref="AU187" si="708">CONCATENATE("Moy. de ",INT(BB187/12)," €/mois")</f>
        <v>Moy. de 0 €/mois</v>
      </c>
      <c r="AW187" s="203"/>
      <c r="AX187" s="96"/>
      <c r="AY187" s="481" t="str">
        <f>IF(E187="","",E187)</f>
        <v>Indiquer le nom de la provision à financer</v>
      </c>
      <c r="AZ187" s="482"/>
      <c r="BA187" s="483"/>
      <c r="BB187" s="404">
        <f>SUM(MAX(I187,J187),MAX(L187,M187),MAX(O187,P187),MAX(R187,S187),MAX(U187,V187),MAX(X187,Y187),MAX(AA187,AB187),MAX(AD187,AE187),MAX(AG187,AH187),MAX(AJ187,AK187),MAX(AM187,AN187),MAX(AP187,AQ187))</f>
        <v>0</v>
      </c>
      <c r="BC187" s="392"/>
      <c r="BD187" s="405">
        <f t="shared" si="586"/>
        <v>0</v>
      </c>
      <c r="BE187" s="96"/>
      <c r="BF187" s="96"/>
      <c r="BG187" s="96"/>
      <c r="BH187" s="203"/>
    </row>
    <row r="188" spans="2:60" ht="14">
      <c r="B188" s="230"/>
      <c r="D188" s="365" t="s">
        <v>542</v>
      </c>
      <c r="E188" s="437" t="str">
        <f>IF(BB187=0,"",INT(SUM(IF(K187="ok",J187,0),IF(N187="ok",M187,0),IF(Q187="ok",P187,0),IF(T187="ok",S187,0),IF(W187="ok",V187,0),IF(Z187="ok",Y187,0),IF(AC187="ok",AB187,0),IF(AF187="ok",AE187,0),IF(AI187="ok",AH187,0),IF(AL187="ok",AK187,0),IF(AO187="ok",AN187,0),IF(AR187="ok",AQ187,0))*100/BB187)/100)</f>
        <v/>
      </c>
      <c r="F188" s="438" t="str">
        <f>IF(BB187=0,"",CONCATENATE("de l'objectif annuel atteint ","(",INT(SUM(IF(K187="ok",J187,0),IF(N187="ok",M187,0),IF(Q187="ok",P187,0),IF(T187="ok",S187,0),IF(W187="ok",V187,0),IF(Z187="ok",Y187,0),IF(AC187="ok",AB187,0),IF(AF187="ok",AE187,0),IF(AI187="ok",AH187,0),IF(AL187="ok",AK187,0),IF(AO187="ok",AN187,0),IF(AR187="ok",AQ187,0)))," € / ",BB187,")",IF(BB187=INT(SUM(IF(K187="ok",J187,0),IF(N187="ok",M187,0),IF(Q187="ok",P187,0),IF(T187="ok",S187,0),IF(W187="ok",V187,0),IF(Z187="ok",Y187,0),IF(AC187="ok",AB187,0),IF(AF187="ok",AE187,0),IF(AI187="ok",AH187,0),IF(AL187="ok",AK187,0),IF(AO187="ok",AN187,0),IF(AR187="ok",AQ187,0))),"",CONCATENATE(" : manque ",BB187-INT(SUM(IF(K187="ok",J187,0),IF(N187="ok",M187,0),IF(Q187="ok",P187,0),IF(T187="ok",S187,0),IF(W187="ok",V187,0),IF(Z187="ok",Y187,0),IF(AC187="ok",AB187,0),IF(AF187="ok",AE187,0),IF(AI187="ok",AH187,0),IF(AL187="ok",AK187,0),IF(AO187="ok",AN187,0),IF(AR187="ok",AQ187,0)))," €"))))</f>
        <v/>
      </c>
      <c r="G188" s="357" t="s">
        <v>536</v>
      </c>
      <c r="H188" s="392"/>
      <c r="I188" s="327"/>
      <c r="J188" s="328"/>
      <c r="K188" s="329"/>
      <c r="L188" s="327"/>
      <c r="M188" s="328"/>
      <c r="N188" s="329"/>
      <c r="O188" s="327"/>
      <c r="P188" s="328"/>
      <c r="Q188" s="329"/>
      <c r="R188" s="327"/>
      <c r="S188" s="328"/>
      <c r="T188" s="329"/>
      <c r="U188" s="327"/>
      <c r="V188" s="328"/>
      <c r="W188" s="329"/>
      <c r="X188" s="327"/>
      <c r="Y188" s="328"/>
      <c r="Z188" s="329"/>
      <c r="AA188" s="327"/>
      <c r="AB188" s="328"/>
      <c r="AC188" s="329"/>
      <c r="AD188" s="327"/>
      <c r="AE188" s="328"/>
      <c r="AF188" s="329"/>
      <c r="AG188" s="327"/>
      <c r="AH188" s="328"/>
      <c r="AI188" s="329"/>
      <c r="AJ188" s="327"/>
      <c r="AK188" s="328"/>
      <c r="AL188" s="329"/>
      <c r="AM188" s="327"/>
      <c r="AN188" s="328"/>
      <c r="AO188" s="329"/>
      <c r="AP188" s="327"/>
      <c r="AQ188" s="328"/>
      <c r="AR188" s="329"/>
      <c r="AT188" s="366"/>
      <c r="AU188" s="366"/>
      <c r="AW188" s="203"/>
      <c r="AX188" s="96"/>
      <c r="AY188" s="484" t="s">
        <v>245</v>
      </c>
      <c r="AZ188" s="485"/>
      <c r="BA188" s="486"/>
      <c r="BB188" s="406">
        <f>SUM(MAX(I188,J188),MAX(L188,M188),MAX(O188,P188),MAX(R188,S188),MAX(U188,V188),MAX(X188,Y188),MAX(AA188,AB188),MAX(AD188,AE188),MAX(AG188,AH188),MAX(AJ188,AK188),MAX(AM188,AN188),MAX(AP188,AQ188))</f>
        <v>0</v>
      </c>
      <c r="BC188" s="392"/>
      <c r="BD188" s="487" t="s">
        <v>574</v>
      </c>
      <c r="BE188" s="96"/>
      <c r="BF188" s="96"/>
      <c r="BG188" s="96"/>
      <c r="BH188" s="203"/>
    </row>
    <row r="189" spans="2:60" ht="16">
      <c r="B189" s="230"/>
      <c r="D189" s="346"/>
      <c r="E189" s="488" t="s">
        <v>237</v>
      </c>
      <c r="F189" s="489"/>
      <c r="G189" s="490"/>
      <c r="H189" s="392"/>
      <c r="I189" s="467">
        <f>D189+IF(I187&gt;J187,I187,J187)-IF(J188&lt;I188,I188,J188)</f>
        <v>0</v>
      </c>
      <c r="J189" s="468"/>
      <c r="K189" s="219"/>
      <c r="L189" s="467">
        <f t="shared" ref="L189" si="709">I189+IF(L187&gt;M187,L187,M187)-IF(M188&lt;L188,L188,M188)</f>
        <v>0</v>
      </c>
      <c r="M189" s="468"/>
      <c r="N189" s="219"/>
      <c r="O189" s="467">
        <f t="shared" ref="O189" si="710">L189+IF(O187&gt;P187,O187,P187)-IF(P188&lt;O188,O188,P188)</f>
        <v>0</v>
      </c>
      <c r="P189" s="468"/>
      <c r="Q189" s="219"/>
      <c r="R189" s="467">
        <f t="shared" ref="R189" si="711">O189+IF(R187&gt;S187,R187,S187)-IF(S188&lt;R188,R188,S188)</f>
        <v>0</v>
      </c>
      <c r="S189" s="468"/>
      <c r="T189" s="219"/>
      <c r="U189" s="467">
        <f t="shared" ref="U189" si="712">R189+IF(U187&gt;V187,U187,V187)-IF(V188&lt;U188,U188,V188)</f>
        <v>0</v>
      </c>
      <c r="V189" s="468"/>
      <c r="W189" s="219"/>
      <c r="X189" s="467">
        <f t="shared" ref="X189" si="713">U189+IF(X187&gt;Y187,X187,Y187)-IF(Y188&lt;X188,X188,Y188)</f>
        <v>0</v>
      </c>
      <c r="Y189" s="468"/>
      <c r="Z189" s="219"/>
      <c r="AA189" s="467">
        <f t="shared" ref="AA189" si="714">X189+IF(AA187&gt;AB187,AA187,AB187)-IF(AB188&lt;AA188,AA188,AB188)</f>
        <v>0</v>
      </c>
      <c r="AB189" s="468"/>
      <c r="AC189" s="219"/>
      <c r="AD189" s="467">
        <f t="shared" ref="AD189" si="715">AA189+IF(AD187&gt;AE187,AD187,AE187)-IF(AE188&lt;AD188,AD188,AE188)</f>
        <v>0</v>
      </c>
      <c r="AE189" s="468"/>
      <c r="AF189" s="219"/>
      <c r="AG189" s="467">
        <f t="shared" ref="AG189" si="716">AD189+IF(AG187&gt;AH187,AG187,AH187)-IF(AH188&lt;AG188,AG188,AH188)</f>
        <v>0</v>
      </c>
      <c r="AH189" s="468"/>
      <c r="AI189" s="219"/>
      <c r="AJ189" s="467">
        <f t="shared" ref="AJ189" si="717">AG189+IF(AJ187&gt;AK187,AJ187,AK187)-IF(AK188&lt;AJ188,AJ188,AK188)</f>
        <v>0</v>
      </c>
      <c r="AK189" s="468"/>
      <c r="AL189" s="219"/>
      <c r="AM189" s="467">
        <f t="shared" ref="AM189" si="718">AJ189+IF(AM187&gt;AN187,AM187,AN187)-IF(AN188&lt;AM188,AM188,AN188)</f>
        <v>0</v>
      </c>
      <c r="AN189" s="468"/>
      <c r="AO189" s="219"/>
      <c r="AP189" s="467">
        <f t="shared" ref="AP189" si="719">AM189+IF(AP187&gt;AQ187,AP187,AQ187)-IF(AQ188&lt;AP188,AP188,AQ188)</f>
        <v>0</v>
      </c>
      <c r="AQ189" s="468"/>
      <c r="AR189" s="219"/>
      <c r="AT189" s="361">
        <f t="shared" ref="AT189" si="720">AP189+BB187</f>
        <v>0</v>
      </c>
      <c r="AU189" s="363">
        <f t="shared" ref="AU189" si="721">AP189+BB187*4</f>
        <v>0</v>
      </c>
      <c r="AW189" s="203"/>
      <c r="AX189" s="96"/>
      <c r="AY189" s="491" t="str">
        <f>IF(E189="","",E189)</f>
        <v>- compte d'épargne à saisir -</v>
      </c>
      <c r="AZ189" s="492"/>
      <c r="BA189" s="493"/>
      <c r="BB189" s="407">
        <f>AP189</f>
        <v>0</v>
      </c>
      <c r="BC189" s="392"/>
      <c r="BD189" s="711"/>
      <c r="BE189" s="96"/>
      <c r="BF189" s="96"/>
      <c r="BG189" s="96"/>
      <c r="BH189" s="203"/>
    </row>
    <row r="190" spans="2:60" ht="16">
      <c r="B190" s="230"/>
      <c r="D190" s="347">
        <f>1+D187</f>
        <v>11</v>
      </c>
      <c r="E190" s="479" t="s">
        <v>570</v>
      </c>
      <c r="F190" s="480"/>
      <c r="G190" s="480"/>
      <c r="H190" s="392"/>
      <c r="I190" s="324"/>
      <c r="J190" s="325"/>
      <c r="K190" s="326"/>
      <c r="L190" s="324"/>
      <c r="M190" s="325"/>
      <c r="N190" s="326"/>
      <c r="O190" s="324"/>
      <c r="P190" s="325"/>
      <c r="Q190" s="326"/>
      <c r="R190" s="324"/>
      <c r="S190" s="325"/>
      <c r="T190" s="326"/>
      <c r="U190" s="324"/>
      <c r="V190" s="325"/>
      <c r="W190" s="326"/>
      <c r="X190" s="324"/>
      <c r="Y190" s="325"/>
      <c r="Z190" s="326"/>
      <c r="AA190" s="324"/>
      <c r="AB190" s="325"/>
      <c r="AC190" s="326"/>
      <c r="AD190" s="324"/>
      <c r="AE190" s="325"/>
      <c r="AF190" s="326"/>
      <c r="AG190" s="324"/>
      <c r="AH190" s="325"/>
      <c r="AI190" s="326"/>
      <c r="AJ190" s="324"/>
      <c r="AK190" s="325"/>
      <c r="AL190" s="326"/>
      <c r="AM190" s="324"/>
      <c r="AN190" s="325"/>
      <c r="AO190" s="326"/>
      <c r="AP190" s="324"/>
      <c r="AQ190" s="325"/>
      <c r="AR190" s="326"/>
      <c r="AT190" s="367" t="str">
        <f>CONCATENATE("Moy. de ",INT(BB190/12)," €/mois")</f>
        <v>Moy. de 0 €/mois</v>
      </c>
      <c r="AU190" s="367" t="str">
        <f t="shared" ref="AU190" si="722">CONCATENATE("Moy. de ",INT(BB190/12)," €/mois")</f>
        <v>Moy. de 0 €/mois</v>
      </c>
      <c r="AW190" s="203"/>
      <c r="AX190" s="96"/>
      <c r="AY190" s="519" t="str">
        <f>IF(E190="","",E190)</f>
        <v>Indiquer le nom de la provision à financer</v>
      </c>
      <c r="AZ190" s="520"/>
      <c r="BA190" s="521"/>
      <c r="BB190" s="404">
        <f>SUM(MAX(I190,J190),MAX(L190,M190),MAX(O190,P190),MAX(R190,S190),MAX(U190,V190),MAX(X190,Y190),MAX(AA190,AB190),MAX(AD190,AE190),MAX(AG190,AH190),MAX(AJ190,AK190),MAX(AM190,AN190),MAX(AP190,AQ190))</f>
        <v>0</v>
      </c>
      <c r="BC190" s="392"/>
      <c r="BD190" s="405">
        <f t="shared" si="586"/>
        <v>0</v>
      </c>
      <c r="BE190" s="96"/>
      <c r="BF190" s="96"/>
      <c r="BG190" s="96"/>
      <c r="BH190" s="203"/>
    </row>
    <row r="191" spans="2:60" ht="14">
      <c r="B191" s="230"/>
      <c r="D191" s="365" t="s">
        <v>542</v>
      </c>
      <c r="E191" s="437" t="str">
        <f>IF(BB190=0,"",INT(SUM(IF(K190="ok",J190,0),IF(N190="ok",M190,0),IF(Q190="ok",P190,0),IF(T190="ok",S190,0),IF(W190="ok",V190,0),IF(Z190="ok",Y190,0),IF(AC190="ok",AB190,0),IF(AF190="ok",AE190,0),IF(AI190="ok",AH190,0),IF(AL190="ok",AK190,0),IF(AO190="ok",AN190,0),IF(AR190="ok",AQ190,0))*100/BB190)/100)</f>
        <v/>
      </c>
      <c r="F191" s="438" t="str">
        <f>IF(BB190=0,"",CONCATENATE("de l'objectif annuel atteint ","(",INT(SUM(IF(K190="ok",J190,0),IF(N190="ok",M190,0),IF(Q190="ok",P190,0),IF(T190="ok",S190,0),IF(W190="ok",V190,0),IF(Z190="ok",Y190,0),IF(AC190="ok",AB190,0),IF(AF190="ok",AE190,0),IF(AI190="ok",AH190,0),IF(AL190="ok",AK190,0),IF(AO190="ok",AN190,0),IF(AR190="ok",AQ190,0)))," € / ",BB190,")",IF(BB190=INT(SUM(IF(K190="ok",J190,0),IF(N190="ok",M190,0),IF(Q190="ok",P190,0),IF(T190="ok",S190,0),IF(W190="ok",V190,0),IF(Z190="ok",Y190,0),IF(AC190="ok",AB190,0),IF(AF190="ok",AE190,0),IF(AI190="ok",AH190,0),IF(AL190="ok",AK190,0),IF(AO190="ok",AN190,0),IF(AR190="ok",AQ190,0))),"",CONCATENATE(" : manque ",BB190-INT(SUM(IF(K190="ok",J190,0),IF(N190="ok",M190,0),IF(Q190="ok",P190,0),IF(T190="ok",S190,0),IF(W190="ok",V190,0),IF(Z190="ok",Y190,0),IF(AC190="ok",AB190,0),IF(AF190="ok",AE190,0),IF(AI190="ok",AH190,0),IF(AL190="ok",AK190,0),IF(AO190="ok",AN190,0),IF(AR190="ok",AQ190,0)))," €"))))</f>
        <v/>
      </c>
      <c r="G191" s="357" t="s">
        <v>536</v>
      </c>
      <c r="H191" s="392"/>
      <c r="I191" s="327"/>
      <c r="J191" s="328"/>
      <c r="K191" s="329"/>
      <c r="L191" s="327"/>
      <c r="M191" s="328"/>
      <c r="N191" s="329"/>
      <c r="O191" s="327"/>
      <c r="P191" s="328"/>
      <c r="Q191" s="329"/>
      <c r="R191" s="327"/>
      <c r="S191" s="328"/>
      <c r="T191" s="329"/>
      <c r="U191" s="327"/>
      <c r="V191" s="328"/>
      <c r="W191" s="329"/>
      <c r="X191" s="327"/>
      <c r="Y191" s="328"/>
      <c r="Z191" s="329"/>
      <c r="AA191" s="327"/>
      <c r="AB191" s="328"/>
      <c r="AC191" s="329"/>
      <c r="AD191" s="327"/>
      <c r="AE191" s="328"/>
      <c r="AF191" s="329"/>
      <c r="AG191" s="327"/>
      <c r="AH191" s="328"/>
      <c r="AI191" s="329"/>
      <c r="AJ191" s="327"/>
      <c r="AK191" s="328"/>
      <c r="AL191" s="329"/>
      <c r="AM191" s="327"/>
      <c r="AN191" s="328"/>
      <c r="AO191" s="329"/>
      <c r="AP191" s="327"/>
      <c r="AQ191" s="328"/>
      <c r="AR191" s="329"/>
      <c r="AT191" s="366"/>
      <c r="AU191" s="366"/>
      <c r="AW191" s="203"/>
      <c r="AX191" s="96"/>
      <c r="AY191" s="484" t="s">
        <v>245</v>
      </c>
      <c r="AZ191" s="485"/>
      <c r="BA191" s="486"/>
      <c r="BB191" s="406">
        <f>SUM(MAX(I191,J191),MAX(L191,M191),MAX(O191,P191),MAX(R191,S191),MAX(U191,V191),MAX(X191,Y191),MAX(AA191,AB191),MAX(AD191,AE191),MAX(AG191,AH191),MAX(AJ191,AK191),MAX(AM191,AN191),MAX(AP191,AQ191))</f>
        <v>0</v>
      </c>
      <c r="BC191" s="392"/>
      <c r="BD191" s="487" t="s">
        <v>574</v>
      </c>
      <c r="BE191" s="96"/>
      <c r="BF191" s="96"/>
      <c r="BG191" s="96"/>
      <c r="BH191" s="203"/>
    </row>
    <row r="192" spans="2:60" ht="16">
      <c r="B192" s="230"/>
      <c r="D192" s="346"/>
      <c r="E192" s="488" t="s">
        <v>237</v>
      </c>
      <c r="F192" s="489"/>
      <c r="G192" s="490"/>
      <c r="H192" s="392"/>
      <c r="I192" s="467">
        <f>D192+IF(I190&gt;J190,I190,J190)-IF(J191&lt;I191,I191,J191)</f>
        <v>0</v>
      </c>
      <c r="J192" s="468"/>
      <c r="K192" s="219"/>
      <c r="L192" s="467">
        <f t="shared" ref="L192" si="723">I192+IF(L190&gt;M190,L190,M190)-IF(M191&lt;L191,L191,M191)</f>
        <v>0</v>
      </c>
      <c r="M192" s="468"/>
      <c r="N192" s="219"/>
      <c r="O192" s="467">
        <f t="shared" ref="O192" si="724">L192+IF(O190&gt;P190,O190,P190)-IF(P191&lt;O191,O191,P191)</f>
        <v>0</v>
      </c>
      <c r="P192" s="468"/>
      <c r="Q192" s="219"/>
      <c r="R192" s="467">
        <f t="shared" ref="R192" si="725">O192+IF(R190&gt;S190,R190,S190)-IF(S191&lt;R191,R191,S191)</f>
        <v>0</v>
      </c>
      <c r="S192" s="468"/>
      <c r="T192" s="219"/>
      <c r="U192" s="467">
        <f t="shared" ref="U192" si="726">R192+IF(U190&gt;V190,U190,V190)-IF(V191&lt;U191,U191,V191)</f>
        <v>0</v>
      </c>
      <c r="V192" s="468"/>
      <c r="W192" s="219"/>
      <c r="X192" s="467">
        <f t="shared" ref="X192" si="727">U192+IF(X190&gt;Y190,X190,Y190)-IF(Y191&lt;X191,X191,Y191)</f>
        <v>0</v>
      </c>
      <c r="Y192" s="468"/>
      <c r="Z192" s="219"/>
      <c r="AA192" s="467">
        <f t="shared" ref="AA192" si="728">X192+IF(AA190&gt;AB190,AA190,AB190)-IF(AB191&lt;AA191,AA191,AB191)</f>
        <v>0</v>
      </c>
      <c r="AB192" s="468"/>
      <c r="AC192" s="219"/>
      <c r="AD192" s="467">
        <f t="shared" ref="AD192" si="729">AA192+IF(AD190&gt;AE190,AD190,AE190)-IF(AE191&lt;AD191,AD191,AE191)</f>
        <v>0</v>
      </c>
      <c r="AE192" s="468"/>
      <c r="AF192" s="219"/>
      <c r="AG192" s="467">
        <f t="shared" ref="AG192" si="730">AD192+IF(AG190&gt;AH190,AG190,AH190)-IF(AH191&lt;AG191,AG191,AH191)</f>
        <v>0</v>
      </c>
      <c r="AH192" s="468"/>
      <c r="AI192" s="219"/>
      <c r="AJ192" s="467">
        <f>AG192+IF(AJ190&gt;AK190,AJ190,AK190)-IF(AK191&lt;AJ191,AJ191,AK191)</f>
        <v>0</v>
      </c>
      <c r="AK192" s="468"/>
      <c r="AL192" s="219"/>
      <c r="AM192" s="467">
        <f>AJ192+IF(AM190&gt;AN190,AM190,AN190)-IF(AN191&lt;AM191,AM191,AN191)</f>
        <v>0</v>
      </c>
      <c r="AN192" s="468"/>
      <c r="AO192" s="219"/>
      <c r="AP192" s="467">
        <f t="shared" ref="AP192" si="731">AM192+IF(AP190&gt;AQ190,AP190,AQ190)-IF(AQ191&lt;AP191,AP191,AQ191)</f>
        <v>0</v>
      </c>
      <c r="AQ192" s="468"/>
      <c r="AR192" s="219"/>
      <c r="AT192" s="361">
        <f t="shared" ref="AT192" si="732">AP192+BB190</f>
        <v>0</v>
      </c>
      <c r="AU192" s="363">
        <f t="shared" ref="AU192" si="733">AP192+BB190*4</f>
        <v>0</v>
      </c>
      <c r="AW192" s="203"/>
      <c r="AX192" s="96"/>
      <c r="AY192" s="491" t="str">
        <f>IF(E192="","",E192)</f>
        <v>- compte d'épargne à saisir -</v>
      </c>
      <c r="AZ192" s="492"/>
      <c r="BA192" s="493"/>
      <c r="BB192" s="407">
        <f>AP192</f>
        <v>0</v>
      </c>
      <c r="BC192" s="392"/>
      <c r="BD192" s="711"/>
      <c r="BE192" s="96"/>
      <c r="BF192" s="96"/>
      <c r="BG192" s="96"/>
      <c r="BH192" s="203"/>
    </row>
    <row r="193" spans="2:60" ht="16">
      <c r="B193" s="230"/>
      <c r="D193" s="347">
        <f>1+D190</f>
        <v>12</v>
      </c>
      <c r="E193" s="479" t="s">
        <v>570</v>
      </c>
      <c r="F193" s="480"/>
      <c r="G193" s="480"/>
      <c r="H193" s="392"/>
      <c r="I193" s="324"/>
      <c r="J193" s="325"/>
      <c r="K193" s="326"/>
      <c r="L193" s="324"/>
      <c r="M193" s="325"/>
      <c r="N193" s="326"/>
      <c r="O193" s="324"/>
      <c r="P193" s="325"/>
      <c r="Q193" s="326"/>
      <c r="R193" s="324"/>
      <c r="S193" s="325"/>
      <c r="T193" s="326"/>
      <c r="U193" s="324"/>
      <c r="V193" s="325"/>
      <c r="W193" s="326"/>
      <c r="X193" s="324"/>
      <c r="Y193" s="325"/>
      <c r="Z193" s="326"/>
      <c r="AA193" s="324"/>
      <c r="AB193" s="325"/>
      <c r="AC193" s="326"/>
      <c r="AD193" s="324"/>
      <c r="AE193" s="325"/>
      <c r="AF193" s="326"/>
      <c r="AG193" s="324"/>
      <c r="AH193" s="325"/>
      <c r="AI193" s="326"/>
      <c r="AJ193" s="324"/>
      <c r="AK193" s="325"/>
      <c r="AL193" s="326"/>
      <c r="AM193" s="324"/>
      <c r="AN193" s="325"/>
      <c r="AO193" s="326"/>
      <c r="AP193" s="324"/>
      <c r="AQ193" s="325"/>
      <c r="AR193" s="326"/>
      <c r="AT193" s="367" t="str">
        <f>CONCATENATE("Moy. de ",INT(BB193/12)," €/mois")</f>
        <v>Moy. de 0 €/mois</v>
      </c>
      <c r="AU193" s="367" t="str">
        <f t="shared" ref="AU193" si="734">CONCATENATE("Moy. de ",INT(BB193/12)," €/mois")</f>
        <v>Moy. de 0 €/mois</v>
      </c>
      <c r="AW193" s="203"/>
      <c r="AX193" s="96"/>
      <c r="AY193" s="481" t="str">
        <f>IF(E193="","",E193)</f>
        <v>Indiquer le nom de la provision à financer</v>
      </c>
      <c r="AZ193" s="482"/>
      <c r="BA193" s="483"/>
      <c r="BB193" s="404">
        <f>SUM(MAX(I193,J193),MAX(L193,M193),MAX(O193,P193),MAX(R193,S193),MAX(U193,V193),MAX(X193,Y193),MAX(AA193,AB193),MAX(AD193,AE193),MAX(AG193,AH193),MAX(AJ193,AK193),MAX(AM193,AN193),MAX(AP193,AQ193))</f>
        <v>0</v>
      </c>
      <c r="BC193" s="392"/>
      <c r="BD193" s="405">
        <f t="shared" si="586"/>
        <v>0</v>
      </c>
      <c r="BE193" s="96"/>
      <c r="BF193" s="96"/>
      <c r="BG193" s="96"/>
      <c r="BH193" s="203"/>
    </row>
    <row r="194" spans="2:60" ht="14">
      <c r="B194" s="230"/>
      <c r="D194" s="365" t="s">
        <v>542</v>
      </c>
      <c r="E194" s="437" t="str">
        <f>IF(BB193=0,"",INT(SUM(IF(K193="ok",J193,0),IF(N193="ok",M193,0),IF(Q193="ok",P193,0),IF(T193="ok",S193,0),IF(W193="ok",V193,0),IF(Z193="ok",Y193,0),IF(AC193="ok",AB193,0),IF(AF193="ok",AE193,0),IF(AI193="ok",AH193,0),IF(AL193="ok",AK193,0),IF(AO193="ok",AN193,0),IF(AR193="ok",AQ193,0))*100/BB193)/100)</f>
        <v/>
      </c>
      <c r="F194" s="438" t="str">
        <f>IF(BB193=0,"",CONCATENATE("de l'objectif annuel atteint ","(",INT(SUM(IF(K193="ok",J193,0),IF(N193="ok",M193,0),IF(Q193="ok",P193,0),IF(T193="ok",S193,0),IF(W193="ok",V193,0),IF(Z193="ok",Y193,0),IF(AC193="ok",AB193,0),IF(AF193="ok",AE193,0),IF(AI193="ok",AH193,0),IF(AL193="ok",AK193,0),IF(AO193="ok",AN193,0),IF(AR193="ok",AQ193,0)))," € / ",BB193,")",IF(BB193=INT(SUM(IF(K193="ok",J193,0),IF(N193="ok",M193,0),IF(Q193="ok",P193,0),IF(T193="ok",S193,0),IF(W193="ok",V193,0),IF(Z193="ok",Y193,0),IF(AC193="ok",AB193,0),IF(AF193="ok",AE193,0),IF(AI193="ok",AH193,0),IF(AL193="ok",AK193,0),IF(AO193="ok",AN193,0),IF(AR193="ok",AQ193,0))),"",CONCATENATE(" : manque ",BB193-INT(SUM(IF(K193="ok",J193,0),IF(N193="ok",M193,0),IF(Q193="ok",P193,0),IF(T193="ok",S193,0),IF(W193="ok",V193,0),IF(Z193="ok",Y193,0),IF(AC193="ok",AB193,0),IF(AF193="ok",AE193,0),IF(AI193="ok",AH193,0),IF(AL193="ok",AK193,0),IF(AO193="ok",AN193,0),IF(AR193="ok",AQ193,0)))," €"))))</f>
        <v/>
      </c>
      <c r="G194" s="357" t="s">
        <v>536</v>
      </c>
      <c r="H194" s="392"/>
      <c r="I194" s="327"/>
      <c r="J194" s="328"/>
      <c r="K194" s="329"/>
      <c r="L194" s="327"/>
      <c r="M194" s="328"/>
      <c r="N194" s="329"/>
      <c r="O194" s="327"/>
      <c r="P194" s="328"/>
      <c r="Q194" s="329"/>
      <c r="R194" s="327"/>
      <c r="S194" s="328"/>
      <c r="T194" s="329"/>
      <c r="U194" s="327"/>
      <c r="V194" s="328"/>
      <c r="W194" s="329"/>
      <c r="X194" s="327"/>
      <c r="Y194" s="328"/>
      <c r="Z194" s="329"/>
      <c r="AA194" s="327"/>
      <c r="AB194" s="328"/>
      <c r="AC194" s="329"/>
      <c r="AD194" s="327"/>
      <c r="AE194" s="328"/>
      <c r="AF194" s="329"/>
      <c r="AG194" s="327"/>
      <c r="AH194" s="328"/>
      <c r="AI194" s="329"/>
      <c r="AJ194" s="327"/>
      <c r="AK194" s="328"/>
      <c r="AL194" s="329"/>
      <c r="AM194" s="327"/>
      <c r="AN194" s="328"/>
      <c r="AO194" s="329"/>
      <c r="AP194" s="327"/>
      <c r="AQ194" s="328"/>
      <c r="AR194" s="329"/>
      <c r="AT194" s="366"/>
      <c r="AU194" s="366"/>
      <c r="AW194" s="203"/>
      <c r="AX194" s="96"/>
      <c r="AY194" s="484" t="s">
        <v>245</v>
      </c>
      <c r="AZ194" s="485"/>
      <c r="BA194" s="486"/>
      <c r="BB194" s="406">
        <f>SUM(MAX(I194,J194),MAX(L194,M194),MAX(O194,P194),MAX(R194,S194),MAX(U194,V194),MAX(X194,Y194),MAX(AA194,AB194),MAX(AD194,AE194),MAX(AG194,AH194),MAX(AJ194,AK194),MAX(AM194,AN194),MAX(AP194,AQ194))</f>
        <v>0</v>
      </c>
      <c r="BC194" s="392"/>
      <c r="BD194" s="487" t="s">
        <v>574</v>
      </c>
      <c r="BE194" s="96"/>
      <c r="BF194" s="96"/>
      <c r="BG194" s="96"/>
      <c r="BH194" s="203"/>
    </row>
    <row r="195" spans="2:60" ht="16">
      <c r="B195" s="230"/>
      <c r="D195" s="346"/>
      <c r="E195" s="488" t="s">
        <v>237</v>
      </c>
      <c r="F195" s="489"/>
      <c r="G195" s="490"/>
      <c r="H195" s="393"/>
      <c r="I195" s="467">
        <f>D195+IF(I193&gt;J193,I193,J193)-IF(J194&lt;I194,I194,J194)</f>
        <v>0</v>
      </c>
      <c r="J195" s="468"/>
      <c r="K195" s="219"/>
      <c r="L195" s="467">
        <f t="shared" ref="L195" si="735">I195+IF(L193&gt;M193,L193,M193)-IF(M194&lt;L194,L194,M194)</f>
        <v>0</v>
      </c>
      <c r="M195" s="468"/>
      <c r="N195" s="219"/>
      <c r="O195" s="467">
        <f t="shared" ref="O195" si="736">L195+IF(O193&gt;P193,O193,P193)-IF(P194&lt;O194,O194,P194)</f>
        <v>0</v>
      </c>
      <c r="P195" s="468"/>
      <c r="Q195" s="219"/>
      <c r="R195" s="467">
        <f t="shared" ref="R195" si="737">O195+IF(R193&gt;S193,R193,S193)-IF(S194&lt;R194,R194,S194)</f>
        <v>0</v>
      </c>
      <c r="S195" s="468"/>
      <c r="T195" s="219"/>
      <c r="U195" s="467">
        <f t="shared" ref="U195" si="738">R195+IF(U193&gt;V193,U193,V193)-IF(V194&lt;U194,U194,V194)</f>
        <v>0</v>
      </c>
      <c r="V195" s="468"/>
      <c r="W195" s="219"/>
      <c r="X195" s="467">
        <f t="shared" ref="X195" si="739">U195+IF(X193&gt;Y193,X193,Y193)-IF(Y194&lt;X194,X194,Y194)</f>
        <v>0</v>
      </c>
      <c r="Y195" s="468"/>
      <c r="Z195" s="219"/>
      <c r="AA195" s="467">
        <f t="shared" ref="AA195" si="740">X195+IF(AA193&gt;AB193,AA193,AB193)-IF(AB194&lt;AA194,AA194,AB194)</f>
        <v>0</v>
      </c>
      <c r="AB195" s="468"/>
      <c r="AC195" s="219"/>
      <c r="AD195" s="467">
        <f t="shared" ref="AD195" si="741">AA195+IF(AD193&gt;AE193,AD193,AE193)-IF(AE194&lt;AD194,AD194,AE194)</f>
        <v>0</v>
      </c>
      <c r="AE195" s="468"/>
      <c r="AF195" s="219"/>
      <c r="AG195" s="467">
        <f t="shared" ref="AG195" si="742">AD195+IF(AG193&gt;AH193,AG193,AH193)-IF(AH194&lt;AG194,AG194,AH194)</f>
        <v>0</v>
      </c>
      <c r="AH195" s="468"/>
      <c r="AI195" s="219"/>
      <c r="AJ195" s="467">
        <f t="shared" ref="AJ195" si="743">AG195+IF(AJ193&gt;AK193,AJ193,AK193)-IF(AK194&lt;AJ194,AJ194,AK194)</f>
        <v>0</v>
      </c>
      <c r="AK195" s="468"/>
      <c r="AL195" s="219"/>
      <c r="AM195" s="467">
        <f t="shared" ref="AM195" si="744">AJ195+IF(AM193&gt;AN193,AM193,AN193)-IF(AN194&lt;AM194,AM194,AN194)</f>
        <v>0</v>
      </c>
      <c r="AN195" s="468"/>
      <c r="AO195" s="219"/>
      <c r="AP195" s="467">
        <f t="shared" ref="AP195" si="745">AM195+IF(AP193&gt;AQ193,AP193,AQ193)-IF(AQ194&lt;AP194,AP194,AQ194)</f>
        <v>0</v>
      </c>
      <c r="AQ195" s="468"/>
      <c r="AR195" s="219"/>
      <c r="AT195" s="361">
        <f t="shared" ref="AT195" si="746">AP195+BB193</f>
        <v>0</v>
      </c>
      <c r="AU195" s="363">
        <f t="shared" ref="AU195" si="747">AP195+BB193*4</f>
        <v>0</v>
      </c>
      <c r="AW195" s="203"/>
      <c r="AX195" s="96"/>
      <c r="AY195" s="491" t="str">
        <f>IF(E195="","",E195)</f>
        <v>- compte d'épargne à saisir -</v>
      </c>
      <c r="AZ195" s="492"/>
      <c r="BA195" s="493"/>
      <c r="BB195" s="407">
        <f>AP195</f>
        <v>0</v>
      </c>
      <c r="BC195" s="392"/>
      <c r="BD195" s="711"/>
      <c r="BE195" s="96"/>
      <c r="BF195" s="96"/>
      <c r="BG195" s="96"/>
      <c r="BH195" s="203"/>
    </row>
    <row r="196" spans="2:60" ht="16">
      <c r="B196" s="230"/>
      <c r="D196" s="347">
        <f>1+D193</f>
        <v>13</v>
      </c>
      <c r="E196" s="479" t="s">
        <v>570</v>
      </c>
      <c r="F196" s="480"/>
      <c r="G196" s="480"/>
      <c r="H196" s="392"/>
      <c r="I196" s="324"/>
      <c r="J196" s="325"/>
      <c r="K196" s="326"/>
      <c r="L196" s="324"/>
      <c r="M196" s="325"/>
      <c r="N196" s="326"/>
      <c r="O196" s="324"/>
      <c r="P196" s="325"/>
      <c r="Q196" s="326"/>
      <c r="R196" s="324"/>
      <c r="S196" s="325"/>
      <c r="T196" s="326"/>
      <c r="U196" s="324"/>
      <c r="V196" s="325"/>
      <c r="W196" s="326"/>
      <c r="X196" s="324"/>
      <c r="Y196" s="325"/>
      <c r="Z196" s="326"/>
      <c r="AA196" s="324"/>
      <c r="AB196" s="325"/>
      <c r="AC196" s="326"/>
      <c r="AD196" s="324"/>
      <c r="AE196" s="325"/>
      <c r="AF196" s="326"/>
      <c r="AG196" s="324"/>
      <c r="AH196" s="325"/>
      <c r="AI196" s="326"/>
      <c r="AJ196" s="324"/>
      <c r="AK196" s="325"/>
      <c r="AL196" s="326"/>
      <c r="AM196" s="324"/>
      <c r="AN196" s="325"/>
      <c r="AO196" s="326"/>
      <c r="AP196" s="324"/>
      <c r="AQ196" s="325"/>
      <c r="AR196" s="326"/>
      <c r="AT196" s="367" t="str">
        <f t="shared" ref="AT196" si="748">CONCATENATE("Moy. de ",INT(BB196/12)," €/mois")</f>
        <v>Moy. de 0 €/mois</v>
      </c>
      <c r="AU196" s="367" t="str">
        <f t="shared" ref="AU196" si="749">CONCATENATE("Moy. de ",INT(BB196/12)," €/mois")</f>
        <v>Moy. de 0 €/mois</v>
      </c>
      <c r="AW196" s="203"/>
      <c r="AX196" s="96"/>
      <c r="AY196" s="519" t="str">
        <f>IF(E196="","",E196)</f>
        <v>Indiquer le nom de la provision à financer</v>
      </c>
      <c r="AZ196" s="520"/>
      <c r="BA196" s="521"/>
      <c r="BB196" s="404">
        <f>SUM(MAX(I196,J196),MAX(L196,M196),MAX(O196,P196),MAX(R196,S196),MAX(U196,V196),MAX(X196,Y196),MAX(AA196,AB196),MAX(AD196,AE196),MAX(AG196,AH196),MAX(AJ196,AK196),MAX(AM196,AN196),MAX(AP196,AQ196))</f>
        <v>0</v>
      </c>
      <c r="BC196" s="392"/>
      <c r="BD196" s="405">
        <f t="shared" ref="BD196" si="750">BB196/12</f>
        <v>0</v>
      </c>
      <c r="BE196" s="96"/>
      <c r="BF196" s="96"/>
      <c r="BG196" s="96"/>
      <c r="BH196" s="203"/>
    </row>
    <row r="197" spans="2:60" ht="14">
      <c r="B197" s="230"/>
      <c r="D197" s="365" t="s">
        <v>542</v>
      </c>
      <c r="E197" s="437" t="str">
        <f>IF(BB196=0,"",INT(SUM(IF(K196="ok",J196,0),IF(N196="ok",M196,0),IF(Q196="ok",P196,0),IF(T196="ok",S196,0),IF(W196="ok",V196,0),IF(Z196="ok",Y196,0),IF(AC196="ok",AB196,0),IF(AF196="ok",AE196,0),IF(AI196="ok",AH196,0),IF(AL196="ok",AK196,0),IF(AO196="ok",AN196,0),IF(AR196="ok",AQ196,0))*100/BB196)/100)</f>
        <v/>
      </c>
      <c r="F197" s="438" t="str">
        <f>IF(BB196=0,"",CONCATENATE("de l'objectif annuel atteint ","(",INT(SUM(IF(K196="ok",J196,0),IF(N196="ok",M196,0),IF(Q196="ok",P196,0),IF(T196="ok",S196,0),IF(W196="ok",V196,0),IF(Z196="ok",Y196,0),IF(AC196="ok",AB196,0),IF(AF196="ok",AE196,0),IF(AI196="ok",AH196,0),IF(AL196="ok",AK196,0),IF(AO196="ok",AN196,0),IF(AR196="ok",AQ196,0)))," € / ",BB196,")",IF(BB196=INT(SUM(IF(K196="ok",J196,0),IF(N196="ok",M196,0),IF(Q196="ok",P196,0),IF(T196="ok",S196,0),IF(W196="ok",V196,0),IF(Z196="ok",Y196,0),IF(AC196="ok",AB196,0),IF(AF196="ok",AE196,0),IF(AI196="ok",AH196,0),IF(AL196="ok",AK196,0),IF(AO196="ok",AN196,0),IF(AR196="ok",AQ196,0))),"",CONCATENATE(" : manque ",BB196-INT(SUM(IF(K196="ok",J196,0),IF(N196="ok",M196,0),IF(Q196="ok",P196,0),IF(T196="ok",S196,0),IF(W196="ok",V196,0),IF(Z196="ok",Y196,0),IF(AC196="ok",AB196,0),IF(AF196="ok",AE196,0),IF(AI196="ok",AH196,0),IF(AL196="ok",AK196,0),IF(AO196="ok",AN196,0),IF(AR196="ok",AQ196,0)))," €"))))</f>
        <v/>
      </c>
      <c r="G197" s="357" t="s">
        <v>536</v>
      </c>
      <c r="H197" s="392"/>
      <c r="I197" s="327"/>
      <c r="J197" s="328"/>
      <c r="K197" s="329"/>
      <c r="L197" s="327"/>
      <c r="M197" s="328"/>
      <c r="N197" s="329"/>
      <c r="O197" s="327"/>
      <c r="P197" s="328"/>
      <c r="Q197" s="329"/>
      <c r="R197" s="327"/>
      <c r="S197" s="328"/>
      <c r="T197" s="329"/>
      <c r="U197" s="327"/>
      <c r="V197" s="328"/>
      <c r="W197" s="329"/>
      <c r="X197" s="327"/>
      <c r="Y197" s="328"/>
      <c r="Z197" s="329"/>
      <c r="AA197" s="327"/>
      <c r="AB197" s="328"/>
      <c r="AC197" s="329"/>
      <c r="AD197" s="327"/>
      <c r="AE197" s="328"/>
      <c r="AF197" s="329"/>
      <c r="AG197" s="327"/>
      <c r="AH197" s="328"/>
      <c r="AI197" s="329"/>
      <c r="AJ197" s="327"/>
      <c r="AK197" s="328"/>
      <c r="AL197" s="329"/>
      <c r="AM197" s="327"/>
      <c r="AN197" s="328"/>
      <c r="AO197" s="329"/>
      <c r="AP197" s="327"/>
      <c r="AQ197" s="328"/>
      <c r="AR197" s="329"/>
      <c r="AT197" s="366"/>
      <c r="AU197" s="366"/>
      <c r="AW197" s="203"/>
      <c r="AX197" s="96"/>
      <c r="AY197" s="484" t="s">
        <v>245</v>
      </c>
      <c r="AZ197" s="485"/>
      <c r="BA197" s="486"/>
      <c r="BB197" s="406">
        <f>SUM(MAX(I197,J197),MAX(L197,M197),MAX(O197,P197),MAX(R197,S197),MAX(U197,V197),MAX(X197,Y197),MAX(AA197,AB197),MAX(AD197,AE197),MAX(AG197,AH197),MAX(AJ197,AK197),MAX(AM197,AN197),MAX(AP197,AQ197))</f>
        <v>0</v>
      </c>
      <c r="BC197" s="392"/>
      <c r="BD197" s="487" t="s">
        <v>574</v>
      </c>
      <c r="BE197" s="96"/>
      <c r="BF197" s="96"/>
      <c r="BG197" s="96"/>
      <c r="BH197" s="203"/>
    </row>
    <row r="198" spans="2:60" ht="16">
      <c r="B198" s="230"/>
      <c r="D198" s="346"/>
      <c r="E198" s="488" t="s">
        <v>237</v>
      </c>
      <c r="F198" s="489"/>
      <c r="G198" s="490"/>
      <c r="H198" s="392"/>
      <c r="I198" s="467">
        <f>D198+IF(I196&gt;J196,I196,J196)-IF(J197&lt;I197,I197,J197)</f>
        <v>0</v>
      </c>
      <c r="J198" s="468"/>
      <c r="K198" s="219"/>
      <c r="L198" s="467">
        <f t="shared" ref="L198" si="751">I198+IF(L196&gt;M196,L196,M196)-IF(M197&lt;L197,L197,M197)</f>
        <v>0</v>
      </c>
      <c r="M198" s="468"/>
      <c r="N198" s="219"/>
      <c r="O198" s="467">
        <f t="shared" ref="O198" si="752">L198+IF(O196&gt;P196,O196,P196)-IF(P197&lt;O197,O197,P197)</f>
        <v>0</v>
      </c>
      <c r="P198" s="468"/>
      <c r="Q198" s="219"/>
      <c r="R198" s="467">
        <f t="shared" ref="R198" si="753">O198+IF(R196&gt;S196,R196,S196)-IF(S197&lt;R197,R197,S197)</f>
        <v>0</v>
      </c>
      <c r="S198" s="468"/>
      <c r="T198" s="219"/>
      <c r="U198" s="467">
        <f t="shared" ref="U198" si="754">R198+IF(U196&gt;V196,U196,V196)-IF(V197&lt;U197,U197,V197)</f>
        <v>0</v>
      </c>
      <c r="V198" s="468"/>
      <c r="W198" s="219"/>
      <c r="X198" s="467">
        <f t="shared" ref="X198" si="755">U198+IF(X196&gt;Y196,X196,Y196)-IF(Y197&lt;X197,X197,Y197)</f>
        <v>0</v>
      </c>
      <c r="Y198" s="468"/>
      <c r="Z198" s="219"/>
      <c r="AA198" s="467">
        <f t="shared" ref="AA198" si="756">X198+IF(AA196&gt;AB196,AA196,AB196)-IF(AB197&lt;AA197,AA197,AB197)</f>
        <v>0</v>
      </c>
      <c r="AB198" s="468"/>
      <c r="AC198" s="219"/>
      <c r="AD198" s="467">
        <f t="shared" ref="AD198" si="757">AA198+IF(AD196&gt;AE196,AD196,AE196)-IF(AE197&lt;AD197,AD197,AE197)</f>
        <v>0</v>
      </c>
      <c r="AE198" s="468"/>
      <c r="AF198" s="219"/>
      <c r="AG198" s="467">
        <f t="shared" ref="AG198" si="758">AD198+IF(AG196&gt;AH196,AG196,AH196)-IF(AH197&lt;AG197,AG197,AH197)</f>
        <v>0</v>
      </c>
      <c r="AH198" s="468"/>
      <c r="AI198" s="219"/>
      <c r="AJ198" s="467">
        <f t="shared" ref="AJ198" si="759">AG198+IF(AJ196&gt;AK196,AJ196,AK196)-IF(AK197&lt;AJ197,AJ197,AK197)</f>
        <v>0</v>
      </c>
      <c r="AK198" s="468"/>
      <c r="AL198" s="219"/>
      <c r="AM198" s="467">
        <f t="shared" ref="AM198" si="760">AJ198+IF(AM196&gt;AN196,AM196,AN196)-IF(AN197&lt;AM197,AM197,AN197)</f>
        <v>0</v>
      </c>
      <c r="AN198" s="468"/>
      <c r="AO198" s="219"/>
      <c r="AP198" s="467">
        <f t="shared" ref="AP198" si="761">AM198+IF(AP196&gt;AQ196,AP196,AQ196)-IF(AQ197&lt;AP197,AP197,AQ197)</f>
        <v>0</v>
      </c>
      <c r="AQ198" s="468"/>
      <c r="AR198" s="219"/>
      <c r="AT198" s="361">
        <f t="shared" ref="AT198" si="762">AP198+BB196</f>
        <v>0</v>
      </c>
      <c r="AU198" s="363">
        <f t="shared" ref="AU198" si="763">AP198+BB196*4</f>
        <v>0</v>
      </c>
      <c r="AW198" s="203"/>
      <c r="AX198" s="96"/>
      <c r="AY198" s="491" t="str">
        <f>IF(E198="","",E198)</f>
        <v>- compte d'épargne à saisir -</v>
      </c>
      <c r="AZ198" s="492"/>
      <c r="BA198" s="493"/>
      <c r="BB198" s="407">
        <f>AP198</f>
        <v>0</v>
      </c>
      <c r="BC198" s="392"/>
      <c r="BD198" s="711"/>
      <c r="BE198" s="96"/>
      <c r="BF198" s="96"/>
      <c r="BG198" s="96"/>
      <c r="BH198" s="203"/>
    </row>
    <row r="199" spans="2:60" ht="16">
      <c r="B199" s="230"/>
      <c r="D199" s="347">
        <f>1+D196</f>
        <v>14</v>
      </c>
      <c r="E199" s="479" t="s">
        <v>570</v>
      </c>
      <c r="F199" s="480"/>
      <c r="G199" s="480"/>
      <c r="H199" s="392"/>
      <c r="I199" s="324"/>
      <c r="J199" s="325"/>
      <c r="K199" s="326"/>
      <c r="L199" s="324"/>
      <c r="M199" s="325"/>
      <c r="N199" s="326"/>
      <c r="O199" s="324"/>
      <c r="P199" s="325"/>
      <c r="Q199" s="326"/>
      <c r="R199" s="324"/>
      <c r="S199" s="325"/>
      <c r="T199" s="326"/>
      <c r="U199" s="324"/>
      <c r="V199" s="325"/>
      <c r="W199" s="326"/>
      <c r="X199" s="324"/>
      <c r="Y199" s="325"/>
      <c r="Z199" s="326"/>
      <c r="AA199" s="324"/>
      <c r="AB199" s="325"/>
      <c r="AC199" s="326"/>
      <c r="AD199" s="324"/>
      <c r="AE199" s="325"/>
      <c r="AF199" s="326"/>
      <c r="AG199" s="324"/>
      <c r="AH199" s="325"/>
      <c r="AI199" s="326"/>
      <c r="AJ199" s="324"/>
      <c r="AK199" s="325"/>
      <c r="AL199" s="326"/>
      <c r="AM199" s="324"/>
      <c r="AN199" s="325"/>
      <c r="AO199" s="326"/>
      <c r="AP199" s="324"/>
      <c r="AQ199" s="325"/>
      <c r="AR199" s="326"/>
      <c r="AT199" s="367" t="str">
        <f t="shared" ref="AT199" si="764">CONCATENATE("Moy. de ",INT(BB199/12)," €/mois")</f>
        <v>Moy. de 0 €/mois</v>
      </c>
      <c r="AU199" s="367" t="str">
        <f t="shared" ref="AU199" si="765">CONCATENATE("Moy. de ",INT(BB199/12)," €/mois")</f>
        <v>Moy. de 0 €/mois</v>
      </c>
      <c r="AW199" s="203"/>
      <c r="AX199" s="96"/>
      <c r="AY199" s="481" t="str">
        <f>IF(E199="","",E199)</f>
        <v>Indiquer le nom de la provision à financer</v>
      </c>
      <c r="AZ199" s="482"/>
      <c r="BA199" s="483"/>
      <c r="BB199" s="404">
        <f>SUM(MAX(I199,J199),MAX(L199,M199),MAX(O199,P199),MAX(R199,S199),MAX(U199,V199),MAX(X199,Y199),MAX(AA199,AB199),MAX(AD199,AE199),MAX(AG199,AH199),MAX(AJ199,AK199),MAX(AM199,AN199),MAX(AP199,AQ199))</f>
        <v>0</v>
      </c>
      <c r="BC199" s="392"/>
      <c r="BD199" s="405">
        <f t="shared" ref="BD199" si="766">BB199/12</f>
        <v>0</v>
      </c>
      <c r="BE199" s="96"/>
      <c r="BF199" s="96"/>
      <c r="BG199" s="96"/>
      <c r="BH199" s="203"/>
    </row>
    <row r="200" spans="2:60" ht="14">
      <c r="B200" s="230"/>
      <c r="D200" s="365" t="s">
        <v>542</v>
      </c>
      <c r="E200" s="437" t="str">
        <f>IF(BB199=0,"",INT(SUM(IF(K199="ok",J199,0),IF(N199="ok",M199,0),IF(Q199="ok",P199,0),IF(T199="ok",S199,0),IF(W199="ok",V199,0),IF(Z199="ok",Y199,0),IF(AC199="ok",AB199,0),IF(AF199="ok",AE199,0),IF(AI199="ok",AH199,0),IF(AL199="ok",AK199,0),IF(AO199="ok",AN199,0),IF(AR199="ok",AQ199,0))*100/BB199)/100)</f>
        <v/>
      </c>
      <c r="F200" s="438" t="str">
        <f>IF(BB199=0,"",CONCATENATE("de l'objectif annuel atteint ","(",INT(SUM(IF(K199="ok",J199,0),IF(N199="ok",M199,0),IF(Q199="ok",P199,0),IF(T199="ok",S199,0),IF(W199="ok",V199,0),IF(Z199="ok",Y199,0),IF(AC199="ok",AB199,0),IF(AF199="ok",AE199,0),IF(AI199="ok",AH199,0),IF(AL199="ok",AK199,0),IF(AO199="ok",AN199,0),IF(AR199="ok",AQ199,0)))," € / ",BB199,")",IF(BB199=INT(SUM(IF(K199="ok",J199,0),IF(N199="ok",M199,0),IF(Q199="ok",P199,0),IF(T199="ok",S199,0),IF(W199="ok",V199,0),IF(Z199="ok",Y199,0),IF(AC199="ok",AB199,0),IF(AF199="ok",AE199,0),IF(AI199="ok",AH199,0),IF(AL199="ok",AK199,0),IF(AO199="ok",AN199,0),IF(AR199="ok",AQ199,0))),"",CONCATENATE(" : manque ",BB199-INT(SUM(IF(K199="ok",J199,0),IF(N199="ok",M199,0),IF(Q199="ok",P199,0),IF(T199="ok",S199,0),IF(W199="ok",V199,0),IF(Z199="ok",Y199,0),IF(AC199="ok",AB199,0),IF(AF199="ok",AE199,0),IF(AI199="ok",AH199,0),IF(AL199="ok",AK199,0),IF(AO199="ok",AN199,0),IF(AR199="ok",AQ199,0)))," €"))))</f>
        <v/>
      </c>
      <c r="G200" s="357" t="s">
        <v>536</v>
      </c>
      <c r="H200" s="392"/>
      <c r="I200" s="327"/>
      <c r="J200" s="328"/>
      <c r="K200" s="329"/>
      <c r="L200" s="327"/>
      <c r="M200" s="328"/>
      <c r="N200" s="329"/>
      <c r="O200" s="327"/>
      <c r="P200" s="328"/>
      <c r="Q200" s="329"/>
      <c r="R200" s="327"/>
      <c r="S200" s="328"/>
      <c r="T200" s="329"/>
      <c r="U200" s="327"/>
      <c r="V200" s="328"/>
      <c r="W200" s="329"/>
      <c r="X200" s="327"/>
      <c r="Y200" s="328"/>
      <c r="Z200" s="329"/>
      <c r="AA200" s="327"/>
      <c r="AB200" s="328"/>
      <c r="AC200" s="329"/>
      <c r="AD200" s="327"/>
      <c r="AE200" s="328"/>
      <c r="AF200" s="329"/>
      <c r="AG200" s="327"/>
      <c r="AH200" s="328"/>
      <c r="AI200" s="329"/>
      <c r="AJ200" s="327"/>
      <c r="AK200" s="328"/>
      <c r="AL200" s="329"/>
      <c r="AM200" s="327"/>
      <c r="AN200" s="328"/>
      <c r="AO200" s="329"/>
      <c r="AP200" s="327"/>
      <c r="AQ200" s="328"/>
      <c r="AR200" s="329"/>
      <c r="AT200" s="366"/>
      <c r="AU200" s="366"/>
      <c r="AW200" s="203"/>
      <c r="AX200" s="96"/>
      <c r="AY200" s="484" t="s">
        <v>245</v>
      </c>
      <c r="AZ200" s="485"/>
      <c r="BA200" s="486"/>
      <c r="BB200" s="406">
        <f>SUM(MAX(I200,J200),MAX(L200,M200),MAX(O200,P200),MAX(R200,S200),MAX(U200,V200),MAX(X200,Y200),MAX(AA200,AB200),MAX(AD200,AE200),MAX(AG200,AH200),MAX(AJ200,AK200),MAX(AM200,AN200),MAX(AP200,AQ200))</f>
        <v>0</v>
      </c>
      <c r="BC200" s="392"/>
      <c r="BD200" s="487" t="s">
        <v>574</v>
      </c>
      <c r="BE200" s="96"/>
      <c r="BF200" s="96"/>
      <c r="BG200" s="96"/>
      <c r="BH200" s="203"/>
    </row>
    <row r="201" spans="2:60" ht="16">
      <c r="B201" s="230"/>
      <c r="D201" s="346"/>
      <c r="E201" s="488" t="s">
        <v>237</v>
      </c>
      <c r="F201" s="489"/>
      <c r="G201" s="490"/>
      <c r="H201" s="392"/>
      <c r="I201" s="467">
        <f>D201+IF(I199&gt;J199,I199,J199)-IF(J200&lt;I200,I200,J200)</f>
        <v>0</v>
      </c>
      <c r="J201" s="468"/>
      <c r="K201" s="219"/>
      <c r="L201" s="467">
        <f t="shared" ref="L201" si="767">I201+IF(L199&gt;M199,L199,M199)-IF(M200&lt;L200,L200,M200)</f>
        <v>0</v>
      </c>
      <c r="M201" s="468"/>
      <c r="N201" s="219"/>
      <c r="O201" s="467">
        <f t="shared" ref="O201" si="768">L201+IF(O199&gt;P199,O199,P199)-IF(P200&lt;O200,O200,P200)</f>
        <v>0</v>
      </c>
      <c r="P201" s="468"/>
      <c r="Q201" s="219"/>
      <c r="R201" s="467">
        <f t="shared" ref="R201" si="769">O201+IF(R199&gt;S199,R199,S199)-IF(S200&lt;R200,R200,S200)</f>
        <v>0</v>
      </c>
      <c r="S201" s="468"/>
      <c r="T201" s="219"/>
      <c r="U201" s="467">
        <f t="shared" ref="U201" si="770">R201+IF(U199&gt;V199,U199,V199)-IF(V200&lt;U200,U200,V200)</f>
        <v>0</v>
      </c>
      <c r="V201" s="468"/>
      <c r="W201" s="219"/>
      <c r="X201" s="467">
        <f t="shared" ref="X201" si="771">U201+IF(X199&gt;Y199,X199,Y199)-IF(Y200&lt;X200,X200,Y200)</f>
        <v>0</v>
      </c>
      <c r="Y201" s="468"/>
      <c r="Z201" s="219"/>
      <c r="AA201" s="467">
        <f t="shared" ref="AA201" si="772">X201+IF(AA199&gt;AB199,AA199,AB199)-IF(AB200&lt;AA200,AA200,AB200)</f>
        <v>0</v>
      </c>
      <c r="AB201" s="468"/>
      <c r="AC201" s="219"/>
      <c r="AD201" s="467">
        <f t="shared" ref="AD201" si="773">AA201+IF(AD199&gt;AE199,AD199,AE199)-IF(AE200&lt;AD200,AD200,AE200)</f>
        <v>0</v>
      </c>
      <c r="AE201" s="468"/>
      <c r="AF201" s="219"/>
      <c r="AG201" s="467">
        <f t="shared" ref="AG201" si="774">AD201+IF(AG199&gt;AH199,AG199,AH199)-IF(AH200&lt;AG200,AG200,AH200)</f>
        <v>0</v>
      </c>
      <c r="AH201" s="468"/>
      <c r="AI201" s="219"/>
      <c r="AJ201" s="467">
        <f t="shared" ref="AJ201" si="775">AG201+IF(AJ199&gt;AK199,AJ199,AK199)-IF(AK200&lt;AJ200,AJ200,AK200)</f>
        <v>0</v>
      </c>
      <c r="AK201" s="468"/>
      <c r="AL201" s="219"/>
      <c r="AM201" s="467">
        <f t="shared" ref="AM201" si="776">AJ201+IF(AM199&gt;AN199,AM199,AN199)-IF(AN200&lt;AM200,AM200,AN200)</f>
        <v>0</v>
      </c>
      <c r="AN201" s="468"/>
      <c r="AO201" s="219"/>
      <c r="AP201" s="467">
        <f t="shared" ref="AP201" si="777">AM201+IF(AP199&gt;AQ199,AP199,AQ199)-IF(AQ200&lt;AP200,AP200,AQ200)</f>
        <v>0</v>
      </c>
      <c r="AQ201" s="468"/>
      <c r="AR201" s="219"/>
      <c r="AT201" s="361">
        <f t="shared" ref="AT201" si="778">AP201+BB199</f>
        <v>0</v>
      </c>
      <c r="AU201" s="363">
        <f t="shared" ref="AU201" si="779">AP201+BB199*4</f>
        <v>0</v>
      </c>
      <c r="AW201" s="203"/>
      <c r="AX201" s="96"/>
      <c r="AY201" s="491" t="str">
        <f>IF(E201="","",E201)</f>
        <v>- compte d'épargne à saisir -</v>
      </c>
      <c r="AZ201" s="492"/>
      <c r="BA201" s="493"/>
      <c r="BB201" s="407">
        <f>AP201</f>
        <v>0</v>
      </c>
      <c r="BC201" s="392"/>
      <c r="BD201" s="711"/>
      <c r="BE201" s="96"/>
      <c r="BF201" s="96"/>
      <c r="BG201" s="96"/>
      <c r="BH201" s="203"/>
    </row>
    <row r="202" spans="2:60" ht="16">
      <c r="B202" s="230"/>
      <c r="D202" s="347">
        <f>1+D199</f>
        <v>15</v>
      </c>
      <c r="E202" s="479" t="s">
        <v>570</v>
      </c>
      <c r="F202" s="480"/>
      <c r="G202" s="480"/>
      <c r="H202" s="392"/>
      <c r="I202" s="324"/>
      <c r="J202" s="325"/>
      <c r="K202" s="326"/>
      <c r="L202" s="324"/>
      <c r="M202" s="325"/>
      <c r="N202" s="326"/>
      <c r="O202" s="324"/>
      <c r="P202" s="325"/>
      <c r="Q202" s="326"/>
      <c r="R202" s="324"/>
      <c r="S202" s="325"/>
      <c r="T202" s="326"/>
      <c r="U202" s="324"/>
      <c r="V202" s="325"/>
      <c r="W202" s="326"/>
      <c r="X202" s="324"/>
      <c r="Y202" s="325"/>
      <c r="Z202" s="326"/>
      <c r="AA202" s="324"/>
      <c r="AB202" s="325"/>
      <c r="AC202" s="326"/>
      <c r="AD202" s="324"/>
      <c r="AE202" s="325"/>
      <c r="AF202" s="326"/>
      <c r="AG202" s="324"/>
      <c r="AH202" s="325"/>
      <c r="AI202" s="326"/>
      <c r="AJ202" s="324"/>
      <c r="AK202" s="325"/>
      <c r="AL202" s="326"/>
      <c r="AM202" s="324"/>
      <c r="AN202" s="325"/>
      <c r="AO202" s="326"/>
      <c r="AP202" s="324"/>
      <c r="AQ202" s="325"/>
      <c r="AR202" s="326"/>
      <c r="AT202" s="367" t="str">
        <f t="shared" ref="AT202" si="780">CONCATENATE("Moy. de ",INT(BB202/12)," €/mois")</f>
        <v>Moy. de 0 €/mois</v>
      </c>
      <c r="AU202" s="367" t="str">
        <f t="shared" ref="AU202" si="781">CONCATENATE("Moy. de ",INT(BB202/12)," €/mois")</f>
        <v>Moy. de 0 €/mois</v>
      </c>
      <c r="AW202" s="203"/>
      <c r="AX202" s="96"/>
      <c r="AY202" s="519" t="str">
        <f>IF(E202="","",E202)</f>
        <v>Indiquer le nom de la provision à financer</v>
      </c>
      <c r="AZ202" s="520"/>
      <c r="BA202" s="521"/>
      <c r="BB202" s="404">
        <f>SUM(MAX(I202,J202),MAX(L202,M202),MAX(O202,P202),MAX(R202,S202),MAX(U202,V202),MAX(X202,Y202),MAX(AA202,AB202),MAX(AD202,AE202),MAX(AG202,AH202),MAX(AJ202,AK202),MAX(AM202,AN202),MAX(AP202,AQ202))</f>
        <v>0</v>
      </c>
      <c r="BC202" s="392"/>
      <c r="BD202" s="405">
        <f t="shared" ref="BD202" si="782">BB202/12</f>
        <v>0</v>
      </c>
      <c r="BE202" s="96"/>
      <c r="BF202" s="96"/>
      <c r="BG202" s="96"/>
      <c r="BH202" s="203"/>
    </row>
    <row r="203" spans="2:60" ht="14">
      <c r="B203" s="230"/>
      <c r="D203" s="365" t="s">
        <v>542</v>
      </c>
      <c r="E203" s="437" t="str">
        <f>IF(BB202=0,"",INT(SUM(IF(K202="ok",J202,0),IF(N202="ok",M202,0),IF(Q202="ok",P202,0),IF(T202="ok",S202,0),IF(W202="ok",V202,0),IF(Z202="ok",Y202,0),IF(AC202="ok",AB202,0),IF(AF202="ok",AE202,0),IF(AI202="ok",AH202,0),IF(AL202="ok",AK202,0),IF(AO202="ok",AN202,0),IF(AR202="ok",AQ202,0))*100/BB202)/100)</f>
        <v/>
      </c>
      <c r="F203" s="438" t="str">
        <f>IF(BB202=0,"",CONCATENATE("de l'objectif annuel atteint ","(",INT(SUM(IF(K202="ok",J202,0),IF(N202="ok",M202,0),IF(Q202="ok",P202,0),IF(T202="ok",S202,0),IF(W202="ok",V202,0),IF(Z202="ok",Y202,0),IF(AC202="ok",AB202,0),IF(AF202="ok",AE202,0),IF(AI202="ok",AH202,0),IF(AL202="ok",AK202,0),IF(AO202="ok",AN202,0),IF(AR202="ok",AQ202,0)))," € / ",BB202,")",IF(BB202=INT(SUM(IF(K202="ok",J202,0),IF(N202="ok",M202,0),IF(Q202="ok",P202,0),IF(T202="ok",S202,0),IF(W202="ok",V202,0),IF(Z202="ok",Y202,0),IF(AC202="ok",AB202,0),IF(AF202="ok",AE202,0),IF(AI202="ok",AH202,0),IF(AL202="ok",AK202,0),IF(AO202="ok",AN202,0),IF(AR202="ok",AQ202,0))),"",CONCATENATE(" : manque ",BB202-INT(SUM(IF(K202="ok",J202,0),IF(N202="ok",M202,0),IF(Q202="ok",P202,0),IF(T202="ok",S202,0),IF(W202="ok",V202,0),IF(Z202="ok",Y202,0),IF(AC202="ok",AB202,0),IF(AF202="ok",AE202,0),IF(AI202="ok",AH202,0),IF(AL202="ok",AK202,0),IF(AO202="ok",AN202,0),IF(AR202="ok",AQ202,0)))," €"))))</f>
        <v/>
      </c>
      <c r="G203" s="357" t="s">
        <v>536</v>
      </c>
      <c r="H203" s="392"/>
      <c r="I203" s="327"/>
      <c r="J203" s="328"/>
      <c r="K203" s="329"/>
      <c r="L203" s="327"/>
      <c r="M203" s="328"/>
      <c r="N203" s="329"/>
      <c r="O203" s="327"/>
      <c r="P203" s="328"/>
      <c r="Q203" s="329"/>
      <c r="R203" s="327"/>
      <c r="S203" s="328"/>
      <c r="T203" s="329"/>
      <c r="U203" s="327"/>
      <c r="V203" s="328"/>
      <c r="W203" s="329"/>
      <c r="X203" s="327"/>
      <c r="Y203" s="328"/>
      <c r="Z203" s="329"/>
      <c r="AA203" s="327"/>
      <c r="AB203" s="328"/>
      <c r="AC203" s="329"/>
      <c r="AD203" s="327"/>
      <c r="AE203" s="328"/>
      <c r="AF203" s="329"/>
      <c r="AG203" s="327"/>
      <c r="AH203" s="328"/>
      <c r="AI203" s="329"/>
      <c r="AJ203" s="327"/>
      <c r="AK203" s="328"/>
      <c r="AL203" s="329"/>
      <c r="AM203" s="327"/>
      <c r="AN203" s="328"/>
      <c r="AO203" s="329"/>
      <c r="AP203" s="327"/>
      <c r="AQ203" s="328"/>
      <c r="AR203" s="329"/>
      <c r="AT203" s="366"/>
      <c r="AU203" s="366"/>
      <c r="AW203" s="203"/>
      <c r="AX203" s="96"/>
      <c r="AY203" s="484" t="s">
        <v>245</v>
      </c>
      <c r="AZ203" s="485"/>
      <c r="BA203" s="486"/>
      <c r="BB203" s="406">
        <f>SUM(MAX(I203,J203),MAX(L203,M203),MAX(O203,P203),MAX(R203,S203),MAX(U203,V203),MAX(X203,Y203),MAX(AA203,AB203),MAX(AD203,AE203),MAX(AG203,AH203),MAX(AJ203,AK203),MAX(AM203,AN203),MAX(AP203,AQ203))</f>
        <v>0</v>
      </c>
      <c r="BC203" s="392"/>
      <c r="BD203" s="487" t="s">
        <v>574</v>
      </c>
      <c r="BE203" s="96"/>
      <c r="BF203" s="96"/>
      <c r="BG203" s="96"/>
      <c r="BH203" s="203"/>
    </row>
    <row r="204" spans="2:60" ht="16">
      <c r="B204" s="230"/>
      <c r="D204" s="346"/>
      <c r="E204" s="488" t="s">
        <v>237</v>
      </c>
      <c r="F204" s="489"/>
      <c r="G204" s="490"/>
      <c r="H204" s="392"/>
      <c r="I204" s="467">
        <f>D204+IF(I202&gt;J202,I202,J202)-IF(J203&lt;I203,I203,J203)</f>
        <v>0</v>
      </c>
      <c r="J204" s="468"/>
      <c r="K204" s="219"/>
      <c r="L204" s="467">
        <f t="shared" ref="L204" si="783">I204+IF(L202&gt;M202,L202,M202)-IF(M203&lt;L203,L203,M203)</f>
        <v>0</v>
      </c>
      <c r="M204" s="468"/>
      <c r="N204" s="219"/>
      <c r="O204" s="467">
        <f t="shared" ref="O204" si="784">L204+IF(O202&gt;P202,O202,P202)-IF(P203&lt;O203,O203,P203)</f>
        <v>0</v>
      </c>
      <c r="P204" s="468"/>
      <c r="Q204" s="219"/>
      <c r="R204" s="467">
        <f t="shared" ref="R204" si="785">O204+IF(R202&gt;S202,R202,S202)-IF(S203&lt;R203,R203,S203)</f>
        <v>0</v>
      </c>
      <c r="S204" s="468"/>
      <c r="T204" s="219"/>
      <c r="U204" s="467">
        <f t="shared" ref="U204" si="786">R204+IF(U202&gt;V202,U202,V202)-IF(V203&lt;U203,U203,V203)</f>
        <v>0</v>
      </c>
      <c r="V204" s="468"/>
      <c r="W204" s="219"/>
      <c r="X204" s="467">
        <f t="shared" ref="X204" si="787">U204+IF(X202&gt;Y202,X202,Y202)-IF(Y203&lt;X203,X203,Y203)</f>
        <v>0</v>
      </c>
      <c r="Y204" s="468"/>
      <c r="Z204" s="219"/>
      <c r="AA204" s="467">
        <f t="shared" ref="AA204" si="788">X204+IF(AA202&gt;AB202,AA202,AB202)-IF(AB203&lt;AA203,AA203,AB203)</f>
        <v>0</v>
      </c>
      <c r="AB204" s="468"/>
      <c r="AC204" s="219"/>
      <c r="AD204" s="467">
        <f t="shared" ref="AD204" si="789">AA204+IF(AD202&gt;AE202,AD202,AE202)-IF(AE203&lt;AD203,AD203,AE203)</f>
        <v>0</v>
      </c>
      <c r="AE204" s="468"/>
      <c r="AF204" s="219"/>
      <c r="AG204" s="467">
        <f t="shared" ref="AG204" si="790">AD204+IF(AG202&gt;AH202,AG202,AH202)-IF(AH203&lt;AG203,AG203,AH203)</f>
        <v>0</v>
      </c>
      <c r="AH204" s="468"/>
      <c r="AI204" s="219"/>
      <c r="AJ204" s="467">
        <f>AG204+IF(AJ202&gt;AK202,AJ202,AK202)-IF(AK203&lt;AJ203,AJ203,AK203)</f>
        <v>0</v>
      </c>
      <c r="AK204" s="468"/>
      <c r="AL204" s="219"/>
      <c r="AM204" s="467">
        <f>AJ204+IF(AM202&gt;AN202,AM202,AN202)-IF(AN203&lt;AM203,AM203,AN203)</f>
        <v>0</v>
      </c>
      <c r="AN204" s="468"/>
      <c r="AO204" s="219"/>
      <c r="AP204" s="467">
        <f t="shared" ref="AP204" si="791">AM204+IF(AP202&gt;AQ202,AP202,AQ202)-IF(AQ203&lt;AP203,AP203,AQ203)</f>
        <v>0</v>
      </c>
      <c r="AQ204" s="468"/>
      <c r="AR204" s="219"/>
      <c r="AT204" s="361">
        <f t="shared" ref="AT204" si="792">AP204+BB202</f>
        <v>0</v>
      </c>
      <c r="AU204" s="363">
        <f t="shared" ref="AU204" si="793">AP204+BB202*4</f>
        <v>0</v>
      </c>
      <c r="AW204" s="203"/>
      <c r="AX204" s="96"/>
      <c r="AY204" s="491" t="str">
        <f>IF(E204="","",E204)</f>
        <v>- compte d'épargne à saisir -</v>
      </c>
      <c r="AZ204" s="492"/>
      <c r="BA204" s="493"/>
      <c r="BB204" s="407">
        <f>AP204</f>
        <v>0</v>
      </c>
      <c r="BC204" s="392"/>
      <c r="BD204" s="711"/>
      <c r="BE204" s="96"/>
      <c r="BF204" s="96"/>
      <c r="BG204" s="96"/>
      <c r="BH204" s="203"/>
    </row>
    <row r="205" spans="2:60" ht="16">
      <c r="B205" s="230"/>
      <c r="D205" s="347">
        <f>1+D202</f>
        <v>16</v>
      </c>
      <c r="E205" s="479" t="s">
        <v>570</v>
      </c>
      <c r="F205" s="480"/>
      <c r="G205" s="480"/>
      <c r="H205" s="392"/>
      <c r="I205" s="324"/>
      <c r="J205" s="325"/>
      <c r="K205" s="326"/>
      <c r="L205" s="324"/>
      <c r="M205" s="325"/>
      <c r="N205" s="326"/>
      <c r="O205" s="324"/>
      <c r="P205" s="325"/>
      <c r="Q205" s="326"/>
      <c r="R205" s="324"/>
      <c r="S205" s="325"/>
      <c r="T205" s="326"/>
      <c r="U205" s="324"/>
      <c r="V205" s="325"/>
      <c r="W205" s="326"/>
      <c r="X205" s="324"/>
      <c r="Y205" s="325"/>
      <c r="Z205" s="326"/>
      <c r="AA205" s="324"/>
      <c r="AB205" s="325"/>
      <c r="AC205" s="326"/>
      <c r="AD205" s="324"/>
      <c r="AE205" s="325"/>
      <c r="AF205" s="326"/>
      <c r="AG205" s="324"/>
      <c r="AH205" s="325"/>
      <c r="AI205" s="326"/>
      <c r="AJ205" s="324"/>
      <c r="AK205" s="325"/>
      <c r="AL205" s="326"/>
      <c r="AM205" s="324"/>
      <c r="AN205" s="325"/>
      <c r="AO205" s="326"/>
      <c r="AP205" s="324"/>
      <c r="AQ205" s="325"/>
      <c r="AR205" s="326"/>
      <c r="AT205" s="367" t="str">
        <f t="shared" ref="AT205" si="794">CONCATENATE("Moy. de ",INT(BB205/12)," €/mois")</f>
        <v>Moy. de 0 €/mois</v>
      </c>
      <c r="AU205" s="367" t="str">
        <f t="shared" ref="AU205" si="795">CONCATENATE("Moy. de ",INT(BB205/12)," €/mois")</f>
        <v>Moy. de 0 €/mois</v>
      </c>
      <c r="AW205" s="203"/>
      <c r="AX205" s="96"/>
      <c r="AY205" s="481" t="str">
        <f>IF(E205="","",E205)</f>
        <v>Indiquer le nom de la provision à financer</v>
      </c>
      <c r="AZ205" s="482"/>
      <c r="BA205" s="483"/>
      <c r="BB205" s="404">
        <f>SUM(MAX(I205,J205),MAX(L205,M205),MAX(O205,P205),MAX(R205,S205),MAX(U205,V205),MAX(X205,Y205),MAX(AA205,AB205),MAX(AD205,AE205),MAX(AG205,AH205),MAX(AJ205,AK205),MAX(AM205,AN205),MAX(AP205,AQ205))</f>
        <v>0</v>
      </c>
      <c r="BC205" s="392"/>
      <c r="BD205" s="405">
        <f t="shared" ref="BD205" si="796">BB205/12</f>
        <v>0</v>
      </c>
      <c r="BE205" s="96"/>
      <c r="BF205" s="96"/>
      <c r="BG205" s="96"/>
      <c r="BH205" s="203"/>
    </row>
    <row r="206" spans="2:60" ht="14">
      <c r="B206" s="230"/>
      <c r="D206" s="365" t="s">
        <v>542</v>
      </c>
      <c r="E206" s="437" t="str">
        <f>IF(BB205=0,"",INT(SUM(IF(K205="ok",J205,0),IF(N205="ok",M205,0),IF(Q205="ok",P205,0),IF(T205="ok",S205,0),IF(W205="ok",V205,0),IF(Z205="ok",Y205,0),IF(AC205="ok",AB205,0),IF(AF205="ok",AE205,0),IF(AI205="ok",AH205,0),IF(AL205="ok",AK205,0),IF(AO205="ok",AN205,0),IF(AR205="ok",AQ205,0))*100/BB205)/100)</f>
        <v/>
      </c>
      <c r="F206" s="438" t="str">
        <f>IF(BB205=0,"",CONCATENATE("de l'objectif annuel atteint ","(",INT(SUM(IF(K205="ok",J205,0),IF(N205="ok",M205,0),IF(Q205="ok",P205,0),IF(T205="ok",S205,0),IF(W205="ok",V205,0),IF(Z205="ok",Y205,0),IF(AC205="ok",AB205,0),IF(AF205="ok",AE205,0),IF(AI205="ok",AH205,0),IF(AL205="ok",AK205,0),IF(AO205="ok",AN205,0),IF(AR205="ok",AQ205,0)))," € / ",BB205,")",IF(BB205=INT(SUM(IF(K205="ok",J205,0),IF(N205="ok",M205,0),IF(Q205="ok",P205,0),IF(T205="ok",S205,0),IF(W205="ok",V205,0),IF(Z205="ok",Y205,0),IF(AC205="ok",AB205,0),IF(AF205="ok",AE205,0),IF(AI205="ok",AH205,0),IF(AL205="ok",AK205,0),IF(AO205="ok",AN205,0),IF(AR205="ok",AQ205,0))),"",CONCATENATE(" : manque ",BB205-INT(SUM(IF(K205="ok",J205,0),IF(N205="ok",M205,0),IF(Q205="ok",P205,0),IF(T205="ok",S205,0),IF(W205="ok",V205,0),IF(Z205="ok",Y205,0),IF(AC205="ok",AB205,0),IF(AF205="ok",AE205,0),IF(AI205="ok",AH205,0),IF(AL205="ok",AK205,0),IF(AO205="ok",AN205,0),IF(AR205="ok",AQ205,0)))," €"))))</f>
        <v/>
      </c>
      <c r="G206" s="357" t="s">
        <v>536</v>
      </c>
      <c r="H206" s="392"/>
      <c r="I206" s="327"/>
      <c r="J206" s="328"/>
      <c r="K206" s="329"/>
      <c r="L206" s="327"/>
      <c r="M206" s="328"/>
      <c r="N206" s="329"/>
      <c r="O206" s="327"/>
      <c r="P206" s="328"/>
      <c r="Q206" s="329"/>
      <c r="R206" s="327"/>
      <c r="S206" s="328"/>
      <c r="T206" s="329"/>
      <c r="U206" s="327"/>
      <c r="V206" s="328"/>
      <c r="W206" s="329"/>
      <c r="X206" s="327"/>
      <c r="Y206" s="328"/>
      <c r="Z206" s="329"/>
      <c r="AA206" s="327"/>
      <c r="AB206" s="328"/>
      <c r="AC206" s="329"/>
      <c r="AD206" s="327"/>
      <c r="AE206" s="328"/>
      <c r="AF206" s="329"/>
      <c r="AG206" s="327"/>
      <c r="AH206" s="328"/>
      <c r="AI206" s="329"/>
      <c r="AJ206" s="327"/>
      <c r="AK206" s="328"/>
      <c r="AL206" s="329"/>
      <c r="AM206" s="327"/>
      <c r="AN206" s="328"/>
      <c r="AO206" s="329"/>
      <c r="AP206" s="327"/>
      <c r="AQ206" s="328"/>
      <c r="AR206" s="329"/>
      <c r="AT206" s="366"/>
      <c r="AU206" s="366"/>
      <c r="AW206" s="203"/>
      <c r="AX206" s="96"/>
      <c r="AY206" s="484" t="s">
        <v>245</v>
      </c>
      <c r="AZ206" s="485"/>
      <c r="BA206" s="486"/>
      <c r="BB206" s="406">
        <f>SUM(MAX(I206,J206),MAX(L206,M206),MAX(O206,P206),MAX(R206,S206),MAX(U206,V206),MAX(X206,Y206),MAX(AA206,AB206),MAX(AD206,AE206),MAX(AG206,AH206),MAX(AJ206,AK206),MAX(AM206,AN206),MAX(AP206,AQ206))</f>
        <v>0</v>
      </c>
      <c r="BC206" s="392"/>
      <c r="BD206" s="487" t="s">
        <v>574</v>
      </c>
      <c r="BE206" s="96"/>
      <c r="BF206" s="96"/>
      <c r="BG206" s="96"/>
      <c r="BH206" s="203"/>
    </row>
    <row r="207" spans="2:60" ht="16">
      <c r="B207" s="230"/>
      <c r="D207" s="346"/>
      <c r="E207" s="488" t="s">
        <v>237</v>
      </c>
      <c r="F207" s="489"/>
      <c r="G207" s="490"/>
      <c r="H207" s="393"/>
      <c r="I207" s="467">
        <f>D207+IF(I205&gt;J205,I205,J205)-IF(J206&lt;I206,I206,J206)</f>
        <v>0</v>
      </c>
      <c r="J207" s="468"/>
      <c r="K207" s="219"/>
      <c r="L207" s="467">
        <f t="shared" ref="L207" si="797">I207+IF(L205&gt;M205,L205,M205)-IF(M206&lt;L206,L206,M206)</f>
        <v>0</v>
      </c>
      <c r="M207" s="468"/>
      <c r="N207" s="219"/>
      <c r="O207" s="467">
        <f t="shared" ref="O207" si="798">L207+IF(O205&gt;P205,O205,P205)-IF(P206&lt;O206,O206,P206)</f>
        <v>0</v>
      </c>
      <c r="P207" s="468"/>
      <c r="Q207" s="219"/>
      <c r="R207" s="467">
        <f t="shared" ref="R207" si="799">O207+IF(R205&gt;S205,R205,S205)-IF(S206&lt;R206,R206,S206)</f>
        <v>0</v>
      </c>
      <c r="S207" s="468"/>
      <c r="T207" s="219"/>
      <c r="U207" s="467">
        <f t="shared" ref="U207" si="800">R207+IF(U205&gt;V205,U205,V205)-IF(V206&lt;U206,U206,V206)</f>
        <v>0</v>
      </c>
      <c r="V207" s="468"/>
      <c r="W207" s="219"/>
      <c r="X207" s="467">
        <f t="shared" ref="X207" si="801">U207+IF(X205&gt;Y205,X205,Y205)-IF(Y206&lt;X206,X206,Y206)</f>
        <v>0</v>
      </c>
      <c r="Y207" s="468"/>
      <c r="Z207" s="219"/>
      <c r="AA207" s="467">
        <f t="shared" ref="AA207" si="802">X207+IF(AA205&gt;AB205,AA205,AB205)-IF(AB206&lt;AA206,AA206,AB206)</f>
        <v>0</v>
      </c>
      <c r="AB207" s="468"/>
      <c r="AC207" s="219"/>
      <c r="AD207" s="467">
        <f t="shared" ref="AD207" si="803">AA207+IF(AD205&gt;AE205,AD205,AE205)-IF(AE206&lt;AD206,AD206,AE206)</f>
        <v>0</v>
      </c>
      <c r="AE207" s="468"/>
      <c r="AF207" s="219"/>
      <c r="AG207" s="467">
        <f t="shared" ref="AG207" si="804">AD207+IF(AG205&gt;AH205,AG205,AH205)-IF(AH206&lt;AG206,AG206,AH206)</f>
        <v>0</v>
      </c>
      <c r="AH207" s="468"/>
      <c r="AI207" s="219"/>
      <c r="AJ207" s="467">
        <f t="shared" ref="AJ207" si="805">AG207+IF(AJ205&gt;AK205,AJ205,AK205)-IF(AK206&lt;AJ206,AJ206,AK206)</f>
        <v>0</v>
      </c>
      <c r="AK207" s="468"/>
      <c r="AL207" s="219"/>
      <c r="AM207" s="467">
        <f t="shared" ref="AM207" si="806">AJ207+IF(AM205&gt;AN205,AM205,AN205)-IF(AN206&lt;AM206,AM206,AN206)</f>
        <v>0</v>
      </c>
      <c r="AN207" s="468"/>
      <c r="AO207" s="219"/>
      <c r="AP207" s="467">
        <f t="shared" ref="AP207" si="807">AM207+IF(AP205&gt;AQ205,AP205,AQ205)-IF(AQ206&lt;AP206,AP206,AQ206)</f>
        <v>0</v>
      </c>
      <c r="AQ207" s="468"/>
      <c r="AR207" s="219"/>
      <c r="AT207" s="361">
        <f t="shared" ref="AT207" si="808">AP207+BB205</f>
        <v>0</v>
      </c>
      <c r="AU207" s="363">
        <f t="shared" ref="AU207" si="809">AP207+BB205*4</f>
        <v>0</v>
      </c>
      <c r="AW207" s="203"/>
      <c r="AX207" s="96"/>
      <c r="AY207" s="491" t="str">
        <f>IF(E207="","",E207)</f>
        <v>- compte d'épargne à saisir -</v>
      </c>
      <c r="AZ207" s="492"/>
      <c r="BA207" s="493"/>
      <c r="BB207" s="420">
        <f>AP207</f>
        <v>0</v>
      </c>
      <c r="BC207" s="392"/>
      <c r="BD207" s="487"/>
      <c r="BE207" s="96"/>
      <c r="BF207" s="96"/>
      <c r="BG207" s="96"/>
      <c r="BH207" s="203"/>
    </row>
    <row r="208" spans="2:60" ht="16">
      <c r="B208" s="230"/>
      <c r="D208" s="347">
        <f>1+D205</f>
        <v>17</v>
      </c>
      <c r="E208" s="479" t="s">
        <v>570</v>
      </c>
      <c r="F208" s="480"/>
      <c r="G208" s="480"/>
      <c r="H208" s="392"/>
      <c r="I208" s="324"/>
      <c r="J208" s="325"/>
      <c r="K208" s="326"/>
      <c r="L208" s="324"/>
      <c r="M208" s="325"/>
      <c r="N208" s="326"/>
      <c r="O208" s="324"/>
      <c r="P208" s="325"/>
      <c r="Q208" s="326"/>
      <c r="R208" s="324"/>
      <c r="S208" s="325"/>
      <c r="T208" s="326"/>
      <c r="U208" s="324"/>
      <c r="V208" s="325"/>
      <c r="W208" s="326"/>
      <c r="X208" s="324"/>
      <c r="Y208" s="325"/>
      <c r="Z208" s="326"/>
      <c r="AA208" s="324"/>
      <c r="AB208" s="325"/>
      <c r="AC208" s="326"/>
      <c r="AD208" s="324"/>
      <c r="AE208" s="325"/>
      <c r="AF208" s="326"/>
      <c r="AG208" s="324"/>
      <c r="AH208" s="325"/>
      <c r="AI208" s="326"/>
      <c r="AJ208" s="324"/>
      <c r="AK208" s="325"/>
      <c r="AL208" s="326"/>
      <c r="AM208" s="324"/>
      <c r="AN208" s="325"/>
      <c r="AO208" s="326"/>
      <c r="AP208" s="324"/>
      <c r="AQ208" s="325"/>
      <c r="AR208" s="326"/>
      <c r="AT208" s="367" t="str">
        <f t="shared" ref="AT208" si="810">CONCATENATE("Moy. de ",INT(BB208/12)," €/mois")</f>
        <v>Moy. de 0 €/mois</v>
      </c>
      <c r="AU208" s="367" t="str">
        <f t="shared" ref="AU208" si="811">CONCATENATE("Moy. de ",INT(BB208/12)," €/mois")</f>
        <v>Moy. de 0 €/mois</v>
      </c>
      <c r="AW208" s="203"/>
      <c r="AX208" s="96"/>
      <c r="AY208" s="481" t="str">
        <f>IF(E208="","",E208)</f>
        <v>Indiquer le nom de la provision à financer</v>
      </c>
      <c r="AZ208" s="482"/>
      <c r="BA208" s="483"/>
      <c r="BB208" s="404">
        <f>SUM(MAX(I208,J208),MAX(L208,M208),MAX(O208,P208),MAX(R208,S208),MAX(U208,V208),MAX(X208,Y208),MAX(AA208,AB208),MAX(AD208,AE208),MAX(AG208,AH208),MAX(AJ208,AK208),MAX(AM208,AN208),MAX(AP208,AQ208))</f>
        <v>0</v>
      </c>
      <c r="BC208" s="392"/>
      <c r="BD208" s="405">
        <f t="shared" ref="BD208" si="812">BB208/12</f>
        <v>0</v>
      </c>
      <c r="BE208" s="96"/>
      <c r="BF208" s="96"/>
      <c r="BG208" s="96"/>
      <c r="BH208" s="203"/>
    </row>
    <row r="209" spans="2:60" ht="14">
      <c r="B209" s="230"/>
      <c r="D209" s="365" t="s">
        <v>542</v>
      </c>
      <c r="E209" s="437" t="str">
        <f>IF(BB208=0,"",INT(SUM(IF(K208="ok",J208,0),IF(N208="ok",M208,0),IF(Q208="ok",P208,0),IF(T208="ok",S208,0),IF(W208="ok",V208,0),IF(Z208="ok",Y208,0),IF(AC208="ok",AB208,0),IF(AF208="ok",AE208,0),IF(AI208="ok",AH208,0),IF(AL208="ok",AK208,0),IF(AO208="ok",AN208,0),IF(AR208="ok",AQ208,0))*100/BB208)/100)</f>
        <v/>
      </c>
      <c r="F209" s="438" t="str">
        <f>IF(BB208=0,"",CONCATENATE("de l'objectif annuel atteint ","(",INT(SUM(IF(K208="ok",J208,0),IF(N208="ok",M208,0),IF(Q208="ok",P208,0),IF(T208="ok",S208,0),IF(W208="ok",V208,0),IF(Z208="ok",Y208,0),IF(AC208="ok",AB208,0),IF(AF208="ok",AE208,0),IF(AI208="ok",AH208,0),IF(AL208="ok",AK208,0),IF(AO208="ok",AN208,0),IF(AR208="ok",AQ208,0)))," € / ",BB208,")",IF(BB208=INT(SUM(IF(K208="ok",J208,0),IF(N208="ok",M208,0),IF(Q208="ok",P208,0),IF(T208="ok",S208,0),IF(W208="ok",V208,0),IF(Z208="ok",Y208,0),IF(AC208="ok",AB208,0),IF(AF208="ok",AE208,0),IF(AI208="ok",AH208,0),IF(AL208="ok",AK208,0),IF(AO208="ok",AN208,0),IF(AR208="ok",AQ208,0))),"",CONCATENATE(" : manque ",BB208-INT(SUM(IF(K208="ok",J208,0),IF(N208="ok",M208,0),IF(Q208="ok",P208,0),IF(T208="ok",S208,0),IF(W208="ok",V208,0),IF(Z208="ok",Y208,0),IF(AC208="ok",AB208,0),IF(AF208="ok",AE208,0),IF(AI208="ok",AH208,0),IF(AL208="ok",AK208,0),IF(AO208="ok",AN208,0),IF(AR208="ok",AQ208,0)))," €"))))</f>
        <v/>
      </c>
      <c r="G209" s="357" t="s">
        <v>536</v>
      </c>
      <c r="H209" s="392"/>
      <c r="I209" s="327"/>
      <c r="J209" s="328"/>
      <c r="K209" s="329"/>
      <c r="L209" s="327"/>
      <c r="M209" s="328"/>
      <c r="N209" s="329"/>
      <c r="O209" s="327"/>
      <c r="P209" s="328"/>
      <c r="Q209" s="329"/>
      <c r="R209" s="327"/>
      <c r="S209" s="328"/>
      <c r="T209" s="329"/>
      <c r="U209" s="327"/>
      <c r="V209" s="328"/>
      <c r="W209" s="329"/>
      <c r="X209" s="327"/>
      <c r="Y209" s="328"/>
      <c r="Z209" s="329"/>
      <c r="AA209" s="327"/>
      <c r="AB209" s="328"/>
      <c r="AC209" s="329"/>
      <c r="AD209" s="327"/>
      <c r="AE209" s="328"/>
      <c r="AF209" s="329"/>
      <c r="AG209" s="327"/>
      <c r="AH209" s="328"/>
      <c r="AI209" s="329"/>
      <c r="AJ209" s="327"/>
      <c r="AK209" s="328"/>
      <c r="AL209" s="329"/>
      <c r="AM209" s="327"/>
      <c r="AN209" s="328"/>
      <c r="AO209" s="329"/>
      <c r="AP209" s="327"/>
      <c r="AQ209" s="328"/>
      <c r="AR209" s="329"/>
      <c r="AT209" s="366"/>
      <c r="AU209" s="366"/>
      <c r="AW209" s="203"/>
      <c r="AX209" s="96"/>
      <c r="AY209" s="484" t="s">
        <v>245</v>
      </c>
      <c r="AZ209" s="485"/>
      <c r="BA209" s="486"/>
      <c r="BB209" s="406">
        <f>SUM(MAX(I209,J209),MAX(L209,M209),MAX(O209,P209),MAX(R209,S209),MAX(U209,V209),MAX(X209,Y209),MAX(AA209,AB209),MAX(AD209,AE209),MAX(AG209,AH209),MAX(AJ209,AK209),MAX(AM209,AN209),MAX(AP209,AQ209))</f>
        <v>0</v>
      </c>
      <c r="BC209" s="392"/>
      <c r="BD209" s="487" t="s">
        <v>574</v>
      </c>
      <c r="BE209" s="96"/>
      <c r="BF209" s="96"/>
      <c r="BG209" s="96"/>
      <c r="BH209" s="203"/>
    </row>
    <row r="210" spans="2:60" ht="16">
      <c r="B210" s="230"/>
      <c r="D210" s="346"/>
      <c r="E210" s="488" t="s">
        <v>237</v>
      </c>
      <c r="F210" s="489"/>
      <c r="G210" s="490"/>
      <c r="H210" s="393"/>
      <c r="I210" s="467">
        <f>D210+IF(I208&gt;J208,I208,J208)-IF(J209&lt;I209,I209,J209)</f>
        <v>0</v>
      </c>
      <c r="J210" s="468"/>
      <c r="K210" s="219"/>
      <c r="L210" s="467">
        <f t="shared" ref="L210" si="813">I210+IF(L208&gt;M208,L208,M208)-IF(M209&lt;L209,L209,M209)</f>
        <v>0</v>
      </c>
      <c r="M210" s="468"/>
      <c r="N210" s="219"/>
      <c r="O210" s="467">
        <f t="shared" ref="O210" si="814">L210+IF(O208&gt;P208,O208,P208)-IF(P209&lt;O209,O209,P209)</f>
        <v>0</v>
      </c>
      <c r="P210" s="468"/>
      <c r="Q210" s="219"/>
      <c r="R210" s="467">
        <f t="shared" ref="R210" si="815">O210+IF(R208&gt;S208,R208,S208)-IF(S209&lt;R209,R209,S209)</f>
        <v>0</v>
      </c>
      <c r="S210" s="468"/>
      <c r="T210" s="219"/>
      <c r="U210" s="467">
        <f t="shared" ref="U210" si="816">R210+IF(U208&gt;V208,U208,V208)-IF(V209&lt;U209,U209,V209)</f>
        <v>0</v>
      </c>
      <c r="V210" s="468"/>
      <c r="W210" s="219"/>
      <c r="X210" s="467">
        <f t="shared" ref="X210" si="817">U210+IF(X208&gt;Y208,X208,Y208)-IF(Y209&lt;X209,X209,Y209)</f>
        <v>0</v>
      </c>
      <c r="Y210" s="468"/>
      <c r="Z210" s="219"/>
      <c r="AA210" s="467">
        <f t="shared" ref="AA210" si="818">X210+IF(AA208&gt;AB208,AA208,AB208)-IF(AB209&lt;AA209,AA209,AB209)</f>
        <v>0</v>
      </c>
      <c r="AB210" s="468"/>
      <c r="AC210" s="219"/>
      <c r="AD210" s="467">
        <f t="shared" ref="AD210" si="819">AA210+IF(AD208&gt;AE208,AD208,AE208)-IF(AE209&lt;AD209,AD209,AE209)</f>
        <v>0</v>
      </c>
      <c r="AE210" s="468"/>
      <c r="AF210" s="219"/>
      <c r="AG210" s="467">
        <f t="shared" ref="AG210" si="820">AD210+IF(AG208&gt;AH208,AG208,AH208)-IF(AH209&lt;AG209,AG209,AH209)</f>
        <v>0</v>
      </c>
      <c r="AH210" s="468"/>
      <c r="AI210" s="219"/>
      <c r="AJ210" s="467">
        <f t="shared" ref="AJ210" si="821">AG210+IF(AJ208&gt;AK208,AJ208,AK208)-IF(AK209&lt;AJ209,AJ209,AK209)</f>
        <v>0</v>
      </c>
      <c r="AK210" s="468"/>
      <c r="AL210" s="219"/>
      <c r="AM210" s="467">
        <f t="shared" ref="AM210" si="822">AJ210+IF(AM208&gt;AN208,AM208,AN208)-IF(AN209&lt;AM209,AM209,AN209)</f>
        <v>0</v>
      </c>
      <c r="AN210" s="468"/>
      <c r="AO210" s="219"/>
      <c r="AP210" s="467">
        <f t="shared" ref="AP210" si="823">AM210+IF(AP208&gt;AQ208,AP208,AQ208)-IF(AQ209&lt;AP209,AP209,AQ209)</f>
        <v>0</v>
      </c>
      <c r="AQ210" s="468"/>
      <c r="AR210" s="219"/>
      <c r="AT210" s="361">
        <f t="shared" ref="AT210" si="824">AP210+BB208</f>
        <v>0</v>
      </c>
      <c r="AU210" s="363">
        <f t="shared" ref="AU210" si="825">AP210+BB208*4</f>
        <v>0</v>
      </c>
      <c r="AW210" s="203"/>
      <c r="AX210" s="96"/>
      <c r="AY210" s="491" t="str">
        <f>IF(E210="","",E210)</f>
        <v>- compte d'épargne à saisir -</v>
      </c>
      <c r="AZ210" s="492"/>
      <c r="BA210" s="493"/>
      <c r="BB210" s="420">
        <f>AP210</f>
        <v>0</v>
      </c>
      <c r="BC210" s="392"/>
      <c r="BD210" s="487"/>
      <c r="BE210" s="96"/>
      <c r="BF210" s="96"/>
      <c r="BG210" s="96"/>
      <c r="BH210" s="203"/>
    </row>
    <row r="211" spans="2:60" ht="16">
      <c r="B211" s="230"/>
      <c r="D211" s="347">
        <f>1+D208</f>
        <v>18</v>
      </c>
      <c r="E211" s="479" t="s">
        <v>570</v>
      </c>
      <c r="F211" s="480"/>
      <c r="G211" s="480"/>
      <c r="H211" s="392"/>
      <c r="I211" s="324"/>
      <c r="J211" s="325"/>
      <c r="K211" s="326"/>
      <c r="L211" s="324"/>
      <c r="M211" s="325"/>
      <c r="N211" s="326"/>
      <c r="O211" s="324"/>
      <c r="P211" s="325"/>
      <c r="Q211" s="326"/>
      <c r="R211" s="324"/>
      <c r="S211" s="325"/>
      <c r="T211" s="326"/>
      <c r="U211" s="324"/>
      <c r="V211" s="325"/>
      <c r="W211" s="326"/>
      <c r="X211" s="324"/>
      <c r="Y211" s="325"/>
      <c r="Z211" s="326"/>
      <c r="AA211" s="324"/>
      <c r="AB211" s="325"/>
      <c r="AC211" s="326"/>
      <c r="AD211" s="324"/>
      <c r="AE211" s="325"/>
      <c r="AF211" s="326"/>
      <c r="AG211" s="324"/>
      <c r="AH211" s="325"/>
      <c r="AI211" s="326"/>
      <c r="AJ211" s="324"/>
      <c r="AK211" s="325"/>
      <c r="AL211" s="326"/>
      <c r="AM211" s="324"/>
      <c r="AN211" s="325"/>
      <c r="AO211" s="326"/>
      <c r="AP211" s="324"/>
      <c r="AQ211" s="325"/>
      <c r="AR211" s="326"/>
      <c r="AT211" s="367" t="str">
        <f t="shared" ref="AT211" si="826">CONCATENATE("Moy. de ",INT(BB211/12)," €/mois")</f>
        <v>Moy. de 0 €/mois</v>
      </c>
      <c r="AU211" s="367" t="str">
        <f t="shared" ref="AU211" si="827">CONCATENATE("Moy. de ",INT(BB211/12)," €/mois")</f>
        <v>Moy. de 0 €/mois</v>
      </c>
      <c r="AW211" s="203"/>
      <c r="AX211" s="96"/>
      <c r="AY211" s="481" t="str">
        <f>IF(E211="","",E211)</f>
        <v>Indiquer le nom de la provision à financer</v>
      </c>
      <c r="AZ211" s="482"/>
      <c r="BA211" s="483"/>
      <c r="BB211" s="404">
        <f>SUM(MAX(I211,J211),MAX(L211,M211),MAX(O211,P211),MAX(R211,S211),MAX(U211,V211),MAX(X211,Y211),MAX(AA211,AB211),MAX(AD211,AE211),MAX(AG211,AH211),MAX(AJ211,AK211),MAX(AM211,AN211),MAX(AP211,AQ211))</f>
        <v>0</v>
      </c>
      <c r="BC211" s="392"/>
      <c r="BD211" s="405">
        <f t="shared" ref="BD211" si="828">BB211/12</f>
        <v>0</v>
      </c>
      <c r="BE211" s="96"/>
      <c r="BF211" s="96"/>
      <c r="BG211" s="96"/>
      <c r="BH211" s="203"/>
    </row>
    <row r="212" spans="2:60" ht="14">
      <c r="B212" s="230"/>
      <c r="D212" s="365" t="s">
        <v>542</v>
      </c>
      <c r="E212" s="437" t="str">
        <f>IF(BB211=0,"",INT(SUM(IF(K211="ok",J211,0),IF(N211="ok",M211,0),IF(Q211="ok",P211,0),IF(T211="ok",S211,0),IF(W211="ok",V211,0),IF(Z211="ok",Y211,0),IF(AC211="ok",AB211,0),IF(AF211="ok",AE211,0),IF(AI211="ok",AH211,0),IF(AL211="ok",AK211,0),IF(AO211="ok",AN211,0),IF(AR211="ok",AQ211,0))*100/BB211)/100)</f>
        <v/>
      </c>
      <c r="F212" s="438" t="str">
        <f>IF(BB211=0,"",CONCATENATE("de l'objectif annuel atteint ","(",INT(SUM(IF(K211="ok",J211,0),IF(N211="ok",M211,0),IF(Q211="ok",P211,0),IF(T211="ok",S211,0),IF(W211="ok",V211,0),IF(Z211="ok",Y211,0),IF(AC211="ok",AB211,0),IF(AF211="ok",AE211,0),IF(AI211="ok",AH211,0),IF(AL211="ok",AK211,0),IF(AO211="ok",AN211,0),IF(AR211="ok",AQ211,0)))," € / ",BB211,")",IF(BB211=INT(SUM(IF(K211="ok",J211,0),IF(N211="ok",M211,0),IF(Q211="ok",P211,0),IF(T211="ok",S211,0),IF(W211="ok",V211,0),IF(Z211="ok",Y211,0),IF(AC211="ok",AB211,0),IF(AF211="ok",AE211,0),IF(AI211="ok",AH211,0),IF(AL211="ok",AK211,0),IF(AO211="ok",AN211,0),IF(AR211="ok",AQ211,0))),"",CONCATENATE(" : manque ",BB211-INT(SUM(IF(K211="ok",J211,0),IF(N211="ok",M211,0),IF(Q211="ok",P211,0),IF(T211="ok",S211,0),IF(W211="ok",V211,0),IF(Z211="ok",Y211,0),IF(AC211="ok",AB211,0),IF(AF211="ok",AE211,0),IF(AI211="ok",AH211,0),IF(AL211="ok",AK211,0),IF(AO211="ok",AN211,0),IF(AR211="ok",AQ211,0)))," €"))))</f>
        <v/>
      </c>
      <c r="G212" s="357" t="s">
        <v>536</v>
      </c>
      <c r="H212" s="392"/>
      <c r="I212" s="327"/>
      <c r="J212" s="328"/>
      <c r="K212" s="329"/>
      <c r="L212" s="327"/>
      <c r="M212" s="328"/>
      <c r="N212" s="329"/>
      <c r="O212" s="327"/>
      <c r="P212" s="328"/>
      <c r="Q212" s="329"/>
      <c r="R212" s="327"/>
      <c r="S212" s="328"/>
      <c r="T212" s="329"/>
      <c r="U212" s="327"/>
      <c r="V212" s="328"/>
      <c r="W212" s="329"/>
      <c r="X212" s="327"/>
      <c r="Y212" s="328"/>
      <c r="Z212" s="329"/>
      <c r="AA212" s="327"/>
      <c r="AB212" s="328"/>
      <c r="AC212" s="329"/>
      <c r="AD212" s="327"/>
      <c r="AE212" s="328"/>
      <c r="AF212" s="329"/>
      <c r="AG212" s="327"/>
      <c r="AH212" s="328"/>
      <c r="AI212" s="329"/>
      <c r="AJ212" s="327"/>
      <c r="AK212" s="328"/>
      <c r="AL212" s="329"/>
      <c r="AM212" s="327"/>
      <c r="AN212" s="328"/>
      <c r="AO212" s="329"/>
      <c r="AP212" s="327"/>
      <c r="AQ212" s="328"/>
      <c r="AR212" s="329"/>
      <c r="AT212" s="366"/>
      <c r="AU212" s="366"/>
      <c r="AW212" s="203"/>
      <c r="AX212" s="96"/>
      <c r="AY212" s="484" t="s">
        <v>245</v>
      </c>
      <c r="AZ212" s="485"/>
      <c r="BA212" s="486"/>
      <c r="BB212" s="406">
        <f>SUM(MAX(I212,J212),MAX(L212,M212),MAX(O212,P212),MAX(R212,S212),MAX(U212,V212),MAX(X212,Y212),MAX(AA212,AB212),MAX(AD212,AE212),MAX(AG212,AH212),MAX(AJ212,AK212),MAX(AM212,AN212),MAX(AP212,AQ212))</f>
        <v>0</v>
      </c>
      <c r="BC212" s="392"/>
      <c r="BD212" s="487" t="s">
        <v>574</v>
      </c>
      <c r="BE212" s="96"/>
      <c r="BF212" s="96"/>
      <c r="BG212" s="96"/>
      <c r="BH212" s="203"/>
    </row>
    <row r="213" spans="2:60" ht="16">
      <c r="B213" s="230"/>
      <c r="D213" s="346"/>
      <c r="E213" s="488" t="s">
        <v>237</v>
      </c>
      <c r="F213" s="489"/>
      <c r="G213" s="490"/>
      <c r="H213" s="393"/>
      <c r="I213" s="467">
        <f>D213+IF(I211&gt;J211,I211,J211)-IF(J212&lt;I212,I212,J212)</f>
        <v>0</v>
      </c>
      <c r="J213" s="468"/>
      <c r="K213" s="219"/>
      <c r="L213" s="467">
        <f t="shared" ref="L213" si="829">I213+IF(L211&gt;M211,L211,M211)-IF(M212&lt;L212,L212,M212)</f>
        <v>0</v>
      </c>
      <c r="M213" s="468"/>
      <c r="N213" s="219"/>
      <c r="O213" s="467">
        <f t="shared" ref="O213" si="830">L213+IF(O211&gt;P211,O211,P211)-IF(P212&lt;O212,O212,P212)</f>
        <v>0</v>
      </c>
      <c r="P213" s="468"/>
      <c r="Q213" s="219"/>
      <c r="R213" s="467">
        <f t="shared" ref="R213" si="831">O213+IF(R211&gt;S211,R211,S211)-IF(S212&lt;R212,R212,S212)</f>
        <v>0</v>
      </c>
      <c r="S213" s="468"/>
      <c r="T213" s="219"/>
      <c r="U213" s="467">
        <f t="shared" ref="U213" si="832">R213+IF(U211&gt;V211,U211,V211)-IF(V212&lt;U212,U212,V212)</f>
        <v>0</v>
      </c>
      <c r="V213" s="468"/>
      <c r="W213" s="219"/>
      <c r="X213" s="467">
        <f t="shared" ref="X213" si="833">U213+IF(X211&gt;Y211,X211,Y211)-IF(Y212&lt;X212,X212,Y212)</f>
        <v>0</v>
      </c>
      <c r="Y213" s="468"/>
      <c r="Z213" s="219"/>
      <c r="AA213" s="467">
        <f t="shared" ref="AA213" si="834">X213+IF(AA211&gt;AB211,AA211,AB211)-IF(AB212&lt;AA212,AA212,AB212)</f>
        <v>0</v>
      </c>
      <c r="AB213" s="468"/>
      <c r="AC213" s="219"/>
      <c r="AD213" s="467">
        <f t="shared" ref="AD213" si="835">AA213+IF(AD211&gt;AE211,AD211,AE211)-IF(AE212&lt;AD212,AD212,AE212)</f>
        <v>0</v>
      </c>
      <c r="AE213" s="468"/>
      <c r="AF213" s="219"/>
      <c r="AG213" s="467">
        <f t="shared" ref="AG213" si="836">AD213+IF(AG211&gt;AH211,AG211,AH211)-IF(AH212&lt;AG212,AG212,AH212)</f>
        <v>0</v>
      </c>
      <c r="AH213" s="468"/>
      <c r="AI213" s="219"/>
      <c r="AJ213" s="467">
        <f t="shared" ref="AJ213" si="837">AG213+IF(AJ211&gt;AK211,AJ211,AK211)-IF(AK212&lt;AJ212,AJ212,AK212)</f>
        <v>0</v>
      </c>
      <c r="AK213" s="468"/>
      <c r="AL213" s="219"/>
      <c r="AM213" s="467">
        <f t="shared" ref="AM213" si="838">AJ213+IF(AM211&gt;AN211,AM211,AN211)-IF(AN212&lt;AM212,AM212,AN212)</f>
        <v>0</v>
      </c>
      <c r="AN213" s="468"/>
      <c r="AO213" s="219"/>
      <c r="AP213" s="467">
        <f t="shared" ref="AP213" si="839">AM213+IF(AP211&gt;AQ211,AP211,AQ211)-IF(AQ212&lt;AP212,AP212,AQ212)</f>
        <v>0</v>
      </c>
      <c r="AQ213" s="468"/>
      <c r="AR213" s="219"/>
      <c r="AT213" s="361">
        <f t="shared" ref="AT213" si="840">AP213+BB211</f>
        <v>0</v>
      </c>
      <c r="AU213" s="363">
        <f t="shared" ref="AU213" si="841">AP213+BB211*4</f>
        <v>0</v>
      </c>
      <c r="AW213" s="203"/>
      <c r="AX213" s="96"/>
      <c r="AY213" s="491" t="str">
        <f>IF(E213="","",E213)</f>
        <v>- compte d'épargne à saisir -</v>
      </c>
      <c r="AZ213" s="492"/>
      <c r="BA213" s="493"/>
      <c r="BB213" s="420">
        <f>AP213</f>
        <v>0</v>
      </c>
      <c r="BC213" s="392"/>
      <c r="BD213" s="487"/>
      <c r="BE213" s="96"/>
      <c r="BF213" s="96"/>
      <c r="BG213" s="96"/>
      <c r="BH213" s="203"/>
    </row>
    <row r="214" spans="2:60" ht="16">
      <c r="B214" s="230"/>
      <c r="D214" s="347">
        <f>1+D211</f>
        <v>19</v>
      </c>
      <c r="E214" s="479" t="s">
        <v>570</v>
      </c>
      <c r="F214" s="480"/>
      <c r="G214" s="480"/>
      <c r="H214" s="392"/>
      <c r="I214" s="324"/>
      <c r="J214" s="325"/>
      <c r="K214" s="326"/>
      <c r="L214" s="324"/>
      <c r="M214" s="325"/>
      <c r="N214" s="326"/>
      <c r="O214" s="324"/>
      <c r="P214" s="325"/>
      <c r="Q214" s="326"/>
      <c r="R214" s="324"/>
      <c r="S214" s="325"/>
      <c r="T214" s="326"/>
      <c r="U214" s="324"/>
      <c r="V214" s="325"/>
      <c r="W214" s="326"/>
      <c r="X214" s="324"/>
      <c r="Y214" s="325"/>
      <c r="Z214" s="326"/>
      <c r="AA214" s="324"/>
      <c r="AB214" s="325"/>
      <c r="AC214" s="326"/>
      <c r="AD214" s="324"/>
      <c r="AE214" s="325"/>
      <c r="AF214" s="326"/>
      <c r="AG214" s="324"/>
      <c r="AH214" s="325"/>
      <c r="AI214" s="326"/>
      <c r="AJ214" s="324"/>
      <c r="AK214" s="325"/>
      <c r="AL214" s="326"/>
      <c r="AM214" s="324"/>
      <c r="AN214" s="325"/>
      <c r="AO214" s="326"/>
      <c r="AP214" s="324"/>
      <c r="AQ214" s="325"/>
      <c r="AR214" s="326"/>
      <c r="AT214" s="367" t="str">
        <f t="shared" ref="AT214" si="842">CONCATENATE("Moy. de ",INT(BB214/12)," €/mois")</f>
        <v>Moy. de 0 €/mois</v>
      </c>
      <c r="AU214" s="367" t="str">
        <f t="shared" ref="AU214" si="843">CONCATENATE("Moy. de ",INT(BB214/12)," €/mois")</f>
        <v>Moy. de 0 €/mois</v>
      </c>
      <c r="AW214" s="203"/>
      <c r="AX214" s="96"/>
      <c r="AY214" s="481" t="str">
        <f>IF(E214="","",E214)</f>
        <v>Indiquer le nom de la provision à financer</v>
      </c>
      <c r="AZ214" s="482"/>
      <c r="BA214" s="483"/>
      <c r="BB214" s="404">
        <f>SUM(MAX(I214,J214),MAX(L214,M214),MAX(O214,P214),MAX(R214,S214),MAX(U214,V214),MAX(X214,Y214),MAX(AA214,AB214),MAX(AD214,AE214),MAX(AG214,AH214),MAX(AJ214,AK214),MAX(AM214,AN214),MAX(AP214,AQ214))</f>
        <v>0</v>
      </c>
      <c r="BC214" s="392"/>
      <c r="BD214" s="405">
        <f t="shared" ref="BD214" si="844">BB214/12</f>
        <v>0</v>
      </c>
      <c r="BE214" s="96"/>
      <c r="BF214" s="96"/>
      <c r="BG214" s="96"/>
      <c r="BH214" s="203"/>
    </row>
    <row r="215" spans="2:60" ht="14">
      <c r="B215" s="230"/>
      <c r="D215" s="365" t="s">
        <v>542</v>
      </c>
      <c r="E215" s="437" t="str">
        <f>IF(BB214=0,"",INT(SUM(IF(K214="ok",J214,0),IF(N214="ok",M214,0),IF(Q214="ok",P214,0),IF(T214="ok",S214,0),IF(W214="ok",V214,0),IF(Z214="ok",Y214,0),IF(AC214="ok",AB214,0),IF(AF214="ok",AE214,0),IF(AI214="ok",AH214,0),IF(AL214="ok",AK214,0),IF(AO214="ok",AN214,0),IF(AR214="ok",AQ214,0))*100/BB214)/100)</f>
        <v/>
      </c>
      <c r="F215" s="438" t="str">
        <f>IF(BB214=0,"",CONCATENATE("de l'objectif annuel atteint ","(",INT(SUM(IF(K214="ok",J214,0),IF(N214="ok",M214,0),IF(Q214="ok",P214,0),IF(T214="ok",S214,0),IF(W214="ok",V214,0),IF(Z214="ok",Y214,0),IF(AC214="ok",AB214,0),IF(AF214="ok",AE214,0),IF(AI214="ok",AH214,0),IF(AL214="ok",AK214,0),IF(AO214="ok",AN214,0),IF(AR214="ok",AQ214,0)))," € / ",BB214,")",IF(BB214=INT(SUM(IF(K214="ok",J214,0),IF(N214="ok",M214,0),IF(Q214="ok",P214,0),IF(T214="ok",S214,0),IF(W214="ok",V214,0),IF(Z214="ok",Y214,0),IF(AC214="ok",AB214,0),IF(AF214="ok",AE214,0),IF(AI214="ok",AH214,0),IF(AL214="ok",AK214,0),IF(AO214="ok",AN214,0),IF(AR214="ok",AQ214,0))),"",CONCATENATE(" : manque ",BB214-INT(SUM(IF(K214="ok",J214,0),IF(N214="ok",M214,0),IF(Q214="ok",P214,0),IF(T214="ok",S214,0),IF(W214="ok",V214,0),IF(Z214="ok",Y214,0),IF(AC214="ok",AB214,0),IF(AF214="ok",AE214,0),IF(AI214="ok",AH214,0),IF(AL214="ok",AK214,0),IF(AO214="ok",AN214,0),IF(AR214="ok",AQ214,0)))," €"))))</f>
        <v/>
      </c>
      <c r="G215" s="357" t="s">
        <v>536</v>
      </c>
      <c r="H215" s="392"/>
      <c r="I215" s="327"/>
      <c r="J215" s="328"/>
      <c r="K215" s="329"/>
      <c r="L215" s="327"/>
      <c r="M215" s="328"/>
      <c r="N215" s="329"/>
      <c r="O215" s="327"/>
      <c r="P215" s="328"/>
      <c r="Q215" s="329"/>
      <c r="R215" s="327"/>
      <c r="S215" s="328"/>
      <c r="T215" s="329"/>
      <c r="U215" s="327"/>
      <c r="V215" s="328"/>
      <c r="W215" s="329"/>
      <c r="X215" s="327"/>
      <c r="Y215" s="328"/>
      <c r="Z215" s="329"/>
      <c r="AA215" s="327"/>
      <c r="AB215" s="328"/>
      <c r="AC215" s="329"/>
      <c r="AD215" s="327"/>
      <c r="AE215" s="328"/>
      <c r="AF215" s="329"/>
      <c r="AG215" s="327"/>
      <c r="AH215" s="328"/>
      <c r="AI215" s="329"/>
      <c r="AJ215" s="327"/>
      <c r="AK215" s="328"/>
      <c r="AL215" s="329"/>
      <c r="AM215" s="327"/>
      <c r="AN215" s="328"/>
      <c r="AO215" s="329"/>
      <c r="AP215" s="327"/>
      <c r="AQ215" s="328"/>
      <c r="AR215" s="329"/>
      <c r="AT215" s="366"/>
      <c r="AU215" s="366"/>
      <c r="AW215" s="203"/>
      <c r="AX215" s="96"/>
      <c r="AY215" s="484" t="s">
        <v>245</v>
      </c>
      <c r="AZ215" s="485"/>
      <c r="BA215" s="486"/>
      <c r="BB215" s="406">
        <f>SUM(MAX(I215,J215),MAX(L215,M215),MAX(O215,P215),MAX(R215,S215),MAX(U215,V215),MAX(X215,Y215),MAX(AA215,AB215),MAX(AD215,AE215),MAX(AG215,AH215),MAX(AJ215,AK215),MAX(AM215,AN215),MAX(AP215,AQ215))</f>
        <v>0</v>
      </c>
      <c r="BC215" s="392"/>
      <c r="BD215" s="487" t="s">
        <v>574</v>
      </c>
      <c r="BE215" s="96"/>
      <c r="BF215" s="96"/>
      <c r="BG215" s="96"/>
      <c r="BH215" s="203"/>
    </row>
    <row r="216" spans="2:60" ht="16">
      <c r="B216" s="230"/>
      <c r="D216" s="346"/>
      <c r="E216" s="488" t="s">
        <v>237</v>
      </c>
      <c r="F216" s="489"/>
      <c r="G216" s="490"/>
      <c r="H216" s="393"/>
      <c r="I216" s="467">
        <f>D216+IF(I214&gt;J214,I214,J214)-IF(J215&lt;I215,I215,J215)</f>
        <v>0</v>
      </c>
      <c r="J216" s="468"/>
      <c r="K216" s="219"/>
      <c r="L216" s="467">
        <f t="shared" ref="L216" si="845">I216+IF(L214&gt;M214,L214,M214)-IF(M215&lt;L215,L215,M215)</f>
        <v>0</v>
      </c>
      <c r="M216" s="468"/>
      <c r="N216" s="219"/>
      <c r="O216" s="467">
        <f t="shared" ref="O216" si="846">L216+IF(O214&gt;P214,O214,P214)-IF(P215&lt;O215,O215,P215)</f>
        <v>0</v>
      </c>
      <c r="P216" s="468"/>
      <c r="Q216" s="219"/>
      <c r="R216" s="467">
        <f t="shared" ref="R216" si="847">O216+IF(R214&gt;S214,R214,S214)-IF(S215&lt;R215,R215,S215)</f>
        <v>0</v>
      </c>
      <c r="S216" s="468"/>
      <c r="T216" s="219"/>
      <c r="U216" s="467">
        <f t="shared" ref="U216" si="848">R216+IF(U214&gt;V214,U214,V214)-IF(V215&lt;U215,U215,V215)</f>
        <v>0</v>
      </c>
      <c r="V216" s="468"/>
      <c r="W216" s="219"/>
      <c r="X216" s="467">
        <f t="shared" ref="X216" si="849">U216+IF(X214&gt;Y214,X214,Y214)-IF(Y215&lt;X215,X215,Y215)</f>
        <v>0</v>
      </c>
      <c r="Y216" s="468"/>
      <c r="Z216" s="219"/>
      <c r="AA216" s="467">
        <f t="shared" ref="AA216" si="850">X216+IF(AA214&gt;AB214,AA214,AB214)-IF(AB215&lt;AA215,AA215,AB215)</f>
        <v>0</v>
      </c>
      <c r="AB216" s="468"/>
      <c r="AC216" s="219"/>
      <c r="AD216" s="467">
        <f t="shared" ref="AD216" si="851">AA216+IF(AD214&gt;AE214,AD214,AE214)-IF(AE215&lt;AD215,AD215,AE215)</f>
        <v>0</v>
      </c>
      <c r="AE216" s="468"/>
      <c r="AF216" s="219"/>
      <c r="AG216" s="467">
        <f t="shared" ref="AG216" si="852">AD216+IF(AG214&gt;AH214,AG214,AH214)-IF(AH215&lt;AG215,AG215,AH215)</f>
        <v>0</v>
      </c>
      <c r="AH216" s="468"/>
      <c r="AI216" s="219"/>
      <c r="AJ216" s="467">
        <f t="shared" ref="AJ216" si="853">AG216+IF(AJ214&gt;AK214,AJ214,AK214)-IF(AK215&lt;AJ215,AJ215,AK215)</f>
        <v>0</v>
      </c>
      <c r="AK216" s="468"/>
      <c r="AL216" s="219"/>
      <c r="AM216" s="467">
        <f t="shared" ref="AM216" si="854">AJ216+IF(AM214&gt;AN214,AM214,AN214)-IF(AN215&lt;AM215,AM215,AN215)</f>
        <v>0</v>
      </c>
      <c r="AN216" s="468"/>
      <c r="AO216" s="219"/>
      <c r="AP216" s="467">
        <f t="shared" ref="AP216" si="855">AM216+IF(AP214&gt;AQ214,AP214,AQ214)-IF(AQ215&lt;AP215,AP215,AQ215)</f>
        <v>0</v>
      </c>
      <c r="AQ216" s="468"/>
      <c r="AR216" s="219"/>
      <c r="AT216" s="361">
        <f t="shared" ref="AT216" si="856">AP216+BB214</f>
        <v>0</v>
      </c>
      <c r="AU216" s="363">
        <f t="shared" ref="AU216" si="857">AP216+BB214*4</f>
        <v>0</v>
      </c>
      <c r="AW216" s="203"/>
      <c r="AX216" s="96"/>
      <c r="AY216" s="491" t="str">
        <f>IF(E216="","",E216)</f>
        <v>- compte d'épargne à saisir -</v>
      </c>
      <c r="AZ216" s="492"/>
      <c r="BA216" s="493"/>
      <c r="BB216" s="420">
        <f>AP216</f>
        <v>0</v>
      </c>
      <c r="BC216" s="392"/>
      <c r="BD216" s="487"/>
      <c r="BE216" s="96"/>
      <c r="BF216" s="96"/>
      <c r="BG216" s="96"/>
      <c r="BH216" s="203"/>
    </row>
    <row r="217" spans="2:60" ht="16">
      <c r="B217" s="230"/>
      <c r="D217" s="347">
        <f>1+D214</f>
        <v>20</v>
      </c>
      <c r="E217" s="479" t="s">
        <v>570</v>
      </c>
      <c r="F217" s="480"/>
      <c r="G217" s="480"/>
      <c r="H217" s="392"/>
      <c r="I217" s="324"/>
      <c r="J217" s="325"/>
      <c r="K217" s="326"/>
      <c r="L217" s="324"/>
      <c r="M217" s="325"/>
      <c r="N217" s="326"/>
      <c r="O217" s="324"/>
      <c r="P217" s="325"/>
      <c r="Q217" s="326"/>
      <c r="R217" s="324"/>
      <c r="S217" s="325"/>
      <c r="T217" s="326"/>
      <c r="U217" s="324"/>
      <c r="V217" s="325"/>
      <c r="W217" s="326"/>
      <c r="X217" s="324"/>
      <c r="Y217" s="325"/>
      <c r="Z217" s="326"/>
      <c r="AA217" s="324"/>
      <c r="AB217" s="325"/>
      <c r="AC217" s="326"/>
      <c r="AD217" s="324"/>
      <c r="AE217" s="325"/>
      <c r="AF217" s="326"/>
      <c r="AG217" s="324"/>
      <c r="AH217" s="325"/>
      <c r="AI217" s="326"/>
      <c r="AJ217" s="324"/>
      <c r="AK217" s="325"/>
      <c r="AL217" s="326"/>
      <c r="AM217" s="324"/>
      <c r="AN217" s="325"/>
      <c r="AO217" s="326"/>
      <c r="AP217" s="324"/>
      <c r="AQ217" s="325"/>
      <c r="AR217" s="326"/>
      <c r="AT217" s="367" t="str">
        <f>CONCATENATE("Moy. de ",INT(BB217/12)," €/mois")</f>
        <v>Moy. de 0 €/mois</v>
      </c>
      <c r="AU217" s="367" t="str">
        <f t="shared" ref="AU217" si="858">CONCATENATE("Moy. de ",INT(BB217/12)," €/mois")</f>
        <v>Moy. de 0 €/mois</v>
      </c>
      <c r="AW217" s="203"/>
      <c r="AX217" s="96"/>
      <c r="AY217" s="481" t="str">
        <f>IF(E217="","",E217)</f>
        <v>Indiquer le nom de la provision à financer</v>
      </c>
      <c r="AZ217" s="482"/>
      <c r="BA217" s="483"/>
      <c r="BB217" s="404">
        <f>SUM(MAX(I217,J217),MAX(L217,M217),MAX(O217,P217),MAX(R217,S217),MAX(U217,V217),MAX(X217,Y217),MAX(AA217,AB217),MAX(AD217,AE217),MAX(AG217,AH217),MAX(AJ217,AK217),MAX(AM217,AN217),MAX(AP217,AQ217))</f>
        <v>0</v>
      </c>
      <c r="BC217" s="392"/>
      <c r="BD217" s="405">
        <f t="shared" ref="BD217" si="859">BB217/12</f>
        <v>0</v>
      </c>
      <c r="BE217" s="96"/>
      <c r="BF217" s="96"/>
      <c r="BG217" s="96"/>
      <c r="BH217" s="203"/>
    </row>
    <row r="218" spans="2:60" ht="14">
      <c r="B218" s="230"/>
      <c r="D218" s="365" t="s">
        <v>542</v>
      </c>
      <c r="E218" s="437" t="str">
        <f>IF(BB217=0,"",INT(SUM(IF(K217="ok",J217,0),IF(N217="ok",M217,0),IF(Q217="ok",P217,0),IF(T217="ok",S217,0),IF(W217="ok",V217,0),IF(Z217="ok",Y217,0),IF(AC217="ok",AB217,0),IF(AF217="ok",AE217,0),IF(AI217="ok",AH217,0),IF(AL217="ok",AK217,0),IF(AO217="ok",AN217,0),IF(AR217="ok",AQ217,0))*100/BB217)/100)</f>
        <v/>
      </c>
      <c r="F218" s="438" t="str">
        <f>IF(BB217=0,"",CONCATENATE("de l'objectif annuel atteint ","(",INT(SUM(IF(K217="ok",J217,0),IF(N217="ok",M217,0),IF(Q217="ok",P217,0),IF(T217="ok",S217,0),IF(W217="ok",V217,0),IF(Z217="ok",Y217,0),IF(AC217="ok",AB217,0),IF(AF217="ok",AE217,0),IF(AI217="ok",AH217,0),IF(AL217="ok",AK217,0),IF(AO217="ok",AN217,0),IF(AR217="ok",AQ217,0)))," € / ",BB217,")",IF(BB217=INT(SUM(IF(K217="ok",J217,0),IF(N217="ok",M217,0),IF(Q217="ok",P217,0),IF(T217="ok",S217,0),IF(W217="ok",V217,0),IF(Z217="ok",Y217,0),IF(AC217="ok",AB217,0),IF(AF217="ok",AE217,0),IF(AI217="ok",AH217,0),IF(AL217="ok",AK217,0),IF(AO217="ok",AN217,0),IF(AR217="ok",AQ217,0))),"",CONCATENATE(" : manque ",BB217-INT(SUM(IF(K217="ok",J217,0),IF(N217="ok",M217,0),IF(Q217="ok",P217,0),IF(T217="ok",S217,0),IF(W217="ok",V217,0),IF(Z217="ok",Y217,0),IF(AC217="ok",AB217,0),IF(AF217="ok",AE217,0),IF(AI217="ok",AH217,0),IF(AL217="ok",AK217,0),IF(AO217="ok",AN217,0),IF(AR217="ok",AQ217,0)))," €"))))</f>
        <v/>
      </c>
      <c r="G218" s="357" t="s">
        <v>536</v>
      </c>
      <c r="H218" s="392"/>
      <c r="I218" s="327"/>
      <c r="J218" s="328"/>
      <c r="K218" s="329"/>
      <c r="L218" s="327"/>
      <c r="M218" s="328"/>
      <c r="N218" s="329"/>
      <c r="O218" s="327"/>
      <c r="P218" s="328"/>
      <c r="Q218" s="329"/>
      <c r="R218" s="327"/>
      <c r="S218" s="328"/>
      <c r="T218" s="329"/>
      <c r="U218" s="327"/>
      <c r="V218" s="328"/>
      <c r="W218" s="329"/>
      <c r="X218" s="327"/>
      <c r="Y218" s="328"/>
      <c r="Z218" s="329"/>
      <c r="AA218" s="327"/>
      <c r="AB218" s="328"/>
      <c r="AC218" s="329"/>
      <c r="AD218" s="327"/>
      <c r="AE218" s="328"/>
      <c r="AF218" s="329"/>
      <c r="AG218" s="327"/>
      <c r="AH218" s="328"/>
      <c r="AI218" s="329"/>
      <c r="AJ218" s="327"/>
      <c r="AK218" s="328"/>
      <c r="AL218" s="329"/>
      <c r="AM218" s="327"/>
      <c r="AN218" s="328"/>
      <c r="AO218" s="329"/>
      <c r="AP218" s="327"/>
      <c r="AQ218" s="328"/>
      <c r="AR218" s="329"/>
      <c r="AT218" s="366"/>
      <c r="AU218" s="366"/>
      <c r="AW218" s="203"/>
      <c r="AX218" s="96"/>
      <c r="AY218" s="484" t="s">
        <v>245</v>
      </c>
      <c r="AZ218" s="485"/>
      <c r="BA218" s="486"/>
      <c r="BB218" s="406">
        <f>SUM(MAX(I218,J218),MAX(L218,M218),MAX(O218,P218),MAX(R218,S218),MAX(U218,V218),MAX(X218,Y218),MAX(AA218,AB218),MAX(AD218,AE218),MAX(AG218,AH218),MAX(AJ218,AK218),MAX(AM218,AN218),MAX(AP218,AQ218))</f>
        <v>0</v>
      </c>
      <c r="BC218" s="392"/>
      <c r="BD218" s="487" t="s">
        <v>574</v>
      </c>
      <c r="BE218" s="96"/>
      <c r="BF218" s="96"/>
      <c r="BG218" s="96"/>
      <c r="BH218" s="203"/>
    </row>
    <row r="219" spans="2:60" ht="16">
      <c r="B219" s="230"/>
      <c r="D219" s="346"/>
      <c r="E219" s="488" t="s">
        <v>237</v>
      </c>
      <c r="F219" s="489"/>
      <c r="G219" s="490"/>
      <c r="H219" s="393"/>
      <c r="I219" s="467">
        <f>D219+IF(I217&gt;J217,I217,J217)-IF(J218&lt;I218,I218,J218)</f>
        <v>0</v>
      </c>
      <c r="J219" s="468"/>
      <c r="K219" s="219"/>
      <c r="L219" s="467">
        <f>I219+IF(L217&gt;M217,L217,M217)-IF(M218&lt;L218,L218,M218)</f>
        <v>0</v>
      </c>
      <c r="M219" s="468"/>
      <c r="N219" s="219"/>
      <c r="O219" s="467">
        <f>L219+IF(O217&gt;P217,O217,P217)-IF(P218&lt;O218,O218,P218)</f>
        <v>0</v>
      </c>
      <c r="P219" s="468"/>
      <c r="Q219" s="219"/>
      <c r="R219" s="467">
        <f t="shared" ref="R219" si="860">O219+IF(R217&gt;S217,R217,S217)-IF(S218&lt;R218,R218,S218)</f>
        <v>0</v>
      </c>
      <c r="S219" s="468"/>
      <c r="T219" s="219"/>
      <c r="U219" s="467">
        <f t="shared" ref="U219" si="861">R219+IF(U217&gt;V217,U217,V217)-IF(V218&lt;U218,U218,V218)</f>
        <v>0</v>
      </c>
      <c r="V219" s="468"/>
      <c r="W219" s="219"/>
      <c r="X219" s="467">
        <f t="shared" ref="X219" si="862">U219+IF(X217&gt;Y217,X217,Y217)-IF(Y218&lt;X218,X218,Y218)</f>
        <v>0</v>
      </c>
      <c r="Y219" s="468"/>
      <c r="Z219" s="219"/>
      <c r="AA219" s="467">
        <f t="shared" ref="AA219" si="863">X219+IF(AA217&gt;AB217,AA217,AB217)-IF(AB218&lt;AA218,AA218,AB218)</f>
        <v>0</v>
      </c>
      <c r="AB219" s="468"/>
      <c r="AC219" s="219"/>
      <c r="AD219" s="467">
        <f t="shared" ref="AD219" si="864">AA219+IF(AD217&gt;AE217,AD217,AE217)-IF(AE218&lt;AD218,AD218,AE218)</f>
        <v>0</v>
      </c>
      <c r="AE219" s="468"/>
      <c r="AF219" s="219"/>
      <c r="AG219" s="467">
        <f t="shared" ref="AG219" si="865">AD219+IF(AG217&gt;AH217,AG217,AH217)-IF(AH218&lt;AG218,AG218,AH218)</f>
        <v>0</v>
      </c>
      <c r="AH219" s="468"/>
      <c r="AI219" s="219"/>
      <c r="AJ219" s="467">
        <f t="shared" ref="AJ219" si="866">AG219+IF(AJ217&gt;AK217,AJ217,AK217)-IF(AK218&lt;AJ218,AJ218,AK218)</f>
        <v>0</v>
      </c>
      <c r="AK219" s="468"/>
      <c r="AL219" s="219"/>
      <c r="AM219" s="467">
        <f t="shared" ref="AM219" si="867">AJ219+IF(AM217&gt;AN217,AM217,AN217)-IF(AN218&lt;AM218,AM218,AN218)</f>
        <v>0</v>
      </c>
      <c r="AN219" s="468"/>
      <c r="AO219" s="219"/>
      <c r="AP219" s="467">
        <f t="shared" ref="AP219" si="868">AM219+IF(AP217&gt;AQ217,AP217,AQ217)-IF(AQ218&lt;AP218,AP218,AQ218)</f>
        <v>0</v>
      </c>
      <c r="AQ219" s="468"/>
      <c r="AR219" s="219"/>
      <c r="AT219" s="361">
        <f t="shared" ref="AT219" si="869">AP219+BB217</f>
        <v>0</v>
      </c>
      <c r="AU219" s="363">
        <f t="shared" ref="AU219" si="870">AP219+BB217*4</f>
        <v>0</v>
      </c>
      <c r="AW219" s="203"/>
      <c r="AX219" s="96"/>
      <c r="AY219" s="491" t="str">
        <f>IF(E219="","",E219)</f>
        <v>- compte d'épargne à saisir -</v>
      </c>
      <c r="AZ219" s="492"/>
      <c r="BA219" s="493"/>
      <c r="BB219" s="420">
        <f>AP219</f>
        <v>0</v>
      </c>
      <c r="BC219" s="392"/>
      <c r="BD219" s="487"/>
      <c r="BE219" s="96"/>
      <c r="BF219" s="96"/>
      <c r="BG219" s="96"/>
      <c r="BH219" s="203"/>
    </row>
    <row r="220" spans="2:60" ht="16">
      <c r="D220" s="1"/>
      <c r="E220" s="1"/>
      <c r="F220" s="466" t="s">
        <v>192</v>
      </c>
      <c r="G220" s="466"/>
      <c r="I220" s="563">
        <f>SUM(MAX(I160,J160),MAX(I163,J163),MAX(I166,J166),MAX(I169,J169),MAX(I172,J172),MAX(I175,J175),MAX(I178,J178),MAX(I181,J181),MAX(I184,J184),MAX(I187,J187),MAX(I190,J190),MAX(I193,J193),MAX(I196,J196),MAX(I199,J199),MAX(I202,J202),MAX(I205,J205),MAX(I208,J208),MAX(I211,J211),MAX(I214,J214),MAX(I217,J217))</f>
        <v>3010</v>
      </c>
      <c r="J220" s="564"/>
      <c r="K220" s="231"/>
      <c r="L220" s="563">
        <f>SUM(MAX(L160,M160),MAX(L163,M163),MAX(L166,M166),MAX(L169,M169),MAX(L172,M172),MAX(L175,M175),MAX(L178,M178),MAX(L181,M181),MAX(L184,M184),MAX(L187,M187),MAX(L190,M190),MAX(L193,M193),MAX(L196,M196),MAX(L199,M199),MAX(L202,M202),MAX(L205,M205),MAX(L208,M208),MAX(L211,M211),MAX(L214,M214),MAX(L217,M217))</f>
        <v>3010</v>
      </c>
      <c r="M220" s="564"/>
      <c r="N220" s="231"/>
      <c r="O220" s="563">
        <f t="shared" ref="O220" si="871">SUM(MAX(O160,P160),MAX(O163,P163),MAX(O166,P166),MAX(O169,P169),MAX(O172,P172),MAX(O175,P175),MAX(O178,P178),MAX(O181,P181),MAX(O184,P184),MAX(O187,P187),MAX(O190,P190),MAX(O193,P193),MAX(O196,P196),MAX(O199,P199),MAX(O202,P202),MAX(O205,P205),MAX(O208,P208),MAX(O211,P211),MAX(O214,P214),MAX(O217,P217))</f>
        <v>3010</v>
      </c>
      <c r="P220" s="564"/>
      <c r="Q220" s="231"/>
      <c r="R220" s="563">
        <f t="shared" ref="R220" si="872">SUM(MAX(R160,S160),MAX(R163,S163),MAX(R166,S166),MAX(R169,S169),MAX(R172,S172),MAX(R175,S175),MAX(R178,S178),MAX(R181,S181),MAX(R184,S184),MAX(R187,S187),MAX(R190,S190),MAX(R193,S193),MAX(R196,S196),MAX(R199,S199),MAX(R202,S202),MAX(R205,S205),MAX(R208,S208),MAX(R211,S211),MAX(R214,S214),MAX(R217,S217))</f>
        <v>3010</v>
      </c>
      <c r="S220" s="564"/>
      <c r="T220" s="231"/>
      <c r="U220" s="563">
        <f t="shared" ref="U220" si="873">SUM(MAX(U160,V160),MAX(U163,V163),MAX(U166,V166),MAX(U169,V169),MAX(U172,V172),MAX(U175,V175),MAX(U178,V178),MAX(U181,V181),MAX(U184,V184),MAX(U187,V187),MAX(U190,V190),MAX(U193,V193),MAX(U196,V196),MAX(U199,V199),MAX(U202,V202),MAX(U205,V205),MAX(U208,V208),MAX(U211,V211),MAX(U214,V214),MAX(U217,V217))</f>
        <v>1600</v>
      </c>
      <c r="V220" s="564"/>
      <c r="W220" s="231"/>
      <c r="X220" s="563">
        <f t="shared" ref="X220" si="874">SUM(MAX(X160,Y160),MAX(X163,Y163),MAX(X166,Y166),MAX(X169,Y169),MAX(X172,Y172),MAX(X175,Y175),MAX(X178,Y178),MAX(X181,Y181),MAX(X184,Y184),MAX(X187,Y187),MAX(X190,Y190),MAX(X193,Y193),MAX(X196,Y196),MAX(X199,Y199),MAX(X202,Y202),MAX(X205,Y205),MAX(X208,Y208),MAX(X211,Y211),MAX(X214,Y214),MAX(X217,Y217))</f>
        <v>200</v>
      </c>
      <c r="Y220" s="564"/>
      <c r="Z220" s="231"/>
      <c r="AA220" s="563">
        <f t="shared" ref="AA220" si="875">SUM(MAX(AA160,AB160),MAX(AA163,AB163),MAX(AA166,AB166),MAX(AA169,AB169),MAX(AA172,AB172),MAX(AA175,AB175),MAX(AA178,AB178),MAX(AA181,AB181),MAX(AA184,AB184),MAX(AA187,AB187),MAX(AA190,AB190),MAX(AA193,AB193),MAX(AA196,AB196),MAX(AA199,AB199),MAX(AA202,AB202),MAX(AA205,AB205),MAX(AA208,AB208),MAX(AA211,AB211),MAX(AA214,AB214),MAX(AA217,AB217))</f>
        <v>200</v>
      </c>
      <c r="AB220" s="564"/>
      <c r="AC220" s="231"/>
      <c r="AD220" s="563">
        <f t="shared" ref="AD220" si="876">SUM(MAX(AD160,AE160),MAX(AD163,AE163),MAX(AD166,AE166),MAX(AD169,AE169),MAX(AD172,AE172),MAX(AD175,AE175),MAX(AD178,AE178),MAX(AD181,AE181),MAX(AD184,AE184),MAX(AD187,AE187),MAX(AD190,AE190),MAX(AD193,AE193),MAX(AD196,AE196),MAX(AD199,AE199),MAX(AD202,AE202),MAX(AD205,AE205),MAX(AD208,AE208),MAX(AD211,AE211),MAX(AD214,AE214),MAX(AD217,AE217))</f>
        <v>200</v>
      </c>
      <c r="AE220" s="564"/>
      <c r="AF220" s="231"/>
      <c r="AG220" s="563">
        <f t="shared" ref="AG220" si="877">SUM(MAX(AG160,AH160),MAX(AG163,AH163),MAX(AG166,AH166),MAX(AG169,AH169),MAX(AG172,AH172),MAX(AG175,AH175),MAX(AG178,AH178),MAX(AG181,AH181),MAX(AG184,AH184),MAX(AG187,AH187),MAX(AG190,AH190),MAX(AG193,AH193),MAX(AG196,AH196),MAX(AG199,AH199),MAX(AG202,AH202),MAX(AG205,AH205),MAX(AG208,AH208),MAX(AG211,AH211),MAX(AG214,AH214),MAX(AG217,AH217))</f>
        <v>200</v>
      </c>
      <c r="AH220" s="564"/>
      <c r="AI220" s="231"/>
      <c r="AJ220" s="563">
        <f t="shared" ref="AJ220" si="878">SUM(MAX(AJ160,AK160),MAX(AJ163,AK163),MAX(AJ166,AK166),MAX(AJ169,AK169),MAX(AJ172,AK172),MAX(AJ175,AK175),MAX(AJ178,AK178),MAX(AJ181,AK181),MAX(AJ184,AK184),MAX(AJ187,AK187),MAX(AJ190,AK190),MAX(AJ193,AK193),MAX(AJ196,AK196),MAX(AJ199,AK199),MAX(AJ202,AK202),MAX(AJ205,AK205),MAX(AJ208,AK208),MAX(AJ211,AK211),MAX(AJ214,AK214),MAX(AJ217,AK217))</f>
        <v>200</v>
      </c>
      <c r="AK220" s="564"/>
      <c r="AL220" s="231"/>
      <c r="AM220" s="563">
        <f t="shared" ref="AM220" si="879">SUM(MAX(AM160,AN160),MAX(AM163,AN163),MAX(AM166,AN166),MAX(AM169,AN169),MAX(AM172,AN172),MAX(AM175,AN175),MAX(AM178,AN178),MAX(AM181,AN181),MAX(AM184,AN184),MAX(AM187,AN187),MAX(AM190,AN190),MAX(AM193,AN193),MAX(AM196,AN196),MAX(AM199,AN199),MAX(AM202,AN202),MAX(AM205,AN205),MAX(AM208,AN208),MAX(AM211,AN211),MAX(AM214,AN214),MAX(AM217,AN217))</f>
        <v>200</v>
      </c>
      <c r="AN220" s="564"/>
      <c r="AO220" s="231"/>
      <c r="AP220" s="563">
        <f t="shared" ref="AP220" si="880">SUM(MAX(AP160,AQ160),MAX(AP163,AQ163),MAX(AP166,AQ166),MAX(AP169,AQ169),MAX(AP172,AQ172),MAX(AP175,AQ175),MAX(AP178,AQ178),MAX(AP181,AQ181),MAX(AP184,AQ184),MAX(AP187,AQ187),MAX(AP190,AQ190),MAX(AP193,AQ193),MAX(AP196,AQ196),MAX(AP199,AQ199),MAX(AP202,AQ202),MAX(AP205,AQ205),MAX(AP208,AQ208),MAX(AP211,AQ211),MAX(AP214,AQ214),MAX(AP217,AQ217))</f>
        <v>200</v>
      </c>
      <c r="AQ220" s="564"/>
      <c r="AR220" s="231"/>
      <c r="AT220" s="360" t="s">
        <v>537</v>
      </c>
      <c r="AU220" s="362" t="s">
        <v>540</v>
      </c>
      <c r="AW220" s="203"/>
      <c r="AX220" s="96"/>
      <c r="AY220" s="687" t="s">
        <v>250</v>
      </c>
      <c r="AZ220" s="708"/>
      <c r="BA220" s="708"/>
      <c r="BB220" s="422">
        <f>SUM(I220:AR220)</f>
        <v>15040</v>
      </c>
      <c r="BC220" s="497" t="str">
        <f>IF($BB$34=0,"",CONCATENATE("(",INT((BB220*100)/$BB$34),"% ressources annuelles)"))</f>
        <v>(35% ressources annuelles)</v>
      </c>
      <c r="BD220" s="498"/>
      <c r="BE220" s="96"/>
      <c r="BF220" s="96"/>
      <c r="BG220" s="96"/>
      <c r="BH220" s="203"/>
    </row>
    <row r="221" spans="2:60" ht="16">
      <c r="D221" s="1"/>
      <c r="E221" s="1"/>
      <c r="F221" s="588" t="s">
        <v>191</v>
      </c>
      <c r="G221" s="588"/>
      <c r="I221" s="559">
        <f>SUM(I162,I165,I168,I171,I174,I177,I180,I183,I186,I189,I192,I195,I198,I204,I207,I210,I213,I216,I219)</f>
        <v>4810</v>
      </c>
      <c r="J221" s="560"/>
      <c r="K221" s="231"/>
      <c r="L221" s="559">
        <f>SUM(L162,L165,L168,L171,L174,L177,L180,L183,L186,L189,L192,L195,L198,L204,L207,L210,L213,L216,L219)</f>
        <v>7620</v>
      </c>
      <c r="M221" s="560"/>
      <c r="N221" s="231"/>
      <c r="O221" s="559">
        <f t="shared" ref="O221" si="881">SUM(O162,O165,O168,O171,O174,O177,O180,O183,O186,O189,O192,O195,O198,O204,O207,O210,O213,O216,O219)</f>
        <v>10430</v>
      </c>
      <c r="P221" s="560"/>
      <c r="Q221" s="231"/>
      <c r="R221" s="559">
        <f t="shared" ref="R221" si="882">SUM(R162,R165,R168,R171,R174,R177,R180,R183,R186,R189,R192,R195,R198,R204,R207,R210,R213,R216,R219)</f>
        <v>6240</v>
      </c>
      <c r="S221" s="560"/>
      <c r="T221" s="231"/>
      <c r="U221" s="559">
        <f t="shared" ref="U221" si="883">SUM(U162,U165,U168,U171,U174,U177,U180,U183,U186,U189,U192,U195,U198,U204,U207,U210,U213,U216,U219)</f>
        <v>5640</v>
      </c>
      <c r="V221" s="560"/>
      <c r="W221" s="231"/>
      <c r="X221" s="559">
        <f t="shared" ref="X221" si="884">SUM(X162,X165,X168,X171,X174,X177,X180,X183,X186,X189,X192,X195,X198,X204,X207,X210,X213,X216,X219)</f>
        <v>5640</v>
      </c>
      <c r="Y221" s="560"/>
      <c r="Z221" s="231"/>
      <c r="AA221" s="559">
        <f t="shared" ref="AA221" si="885">SUM(AA162,AA165,AA168,AA171,AA174,AA177,AA180,AA183,AA186,AA189,AA192,AA195,AA198,AA204,AA207,AA210,AA213,AA216,AA219)</f>
        <v>5640</v>
      </c>
      <c r="AB221" s="560"/>
      <c r="AC221" s="231"/>
      <c r="AD221" s="559">
        <f t="shared" ref="AD221" si="886">SUM(AD162,AD165,AD168,AD171,AD174,AD177,AD180,AD183,AD186,AD189,AD192,AD195,AD198,AD204,AD207,AD210,AD213,AD216,AD219)</f>
        <v>5640</v>
      </c>
      <c r="AE221" s="560"/>
      <c r="AF221" s="231"/>
      <c r="AG221" s="559">
        <f t="shared" ref="AG221" si="887">SUM(AG162,AG165,AG168,AG171,AG174,AG177,AG180,AG183,AG186,AG189,AG192,AG195,AG198,AG204,AG207,AG210,AG213,AG216,AG219)</f>
        <v>5640</v>
      </c>
      <c r="AH221" s="560"/>
      <c r="AI221" s="231"/>
      <c r="AJ221" s="559">
        <f t="shared" ref="AJ221" si="888">SUM(AJ162,AJ165,AJ168,AJ171,AJ174,AJ177,AJ180,AJ183,AJ186,AJ189,AJ192,AJ195,AJ198,AJ204,AJ207,AJ210,AJ213,AJ216,AJ219)</f>
        <v>5640</v>
      </c>
      <c r="AK221" s="560"/>
      <c r="AL221" s="231"/>
      <c r="AM221" s="559">
        <f t="shared" ref="AM221" si="889">SUM(AM162,AM165,AM168,AM171,AM174,AM177,AM180,AM183,AM186,AM189,AM192,AM195,AM198,AM204,AM207,AM210,AM213,AM216,AM219)</f>
        <v>5640</v>
      </c>
      <c r="AN221" s="560"/>
      <c r="AO221" s="231"/>
      <c r="AP221" s="559">
        <f>SUM(AP162,AP165,AP168,AP171,AP174,AP177,AP180,AP183,AP186,AP189,AP192,AP195,AP198,AP204,AP207,AP210,AP213,AP216,AP219)</f>
        <v>5640</v>
      </c>
      <c r="AQ221" s="560"/>
      <c r="AR221" s="231"/>
      <c r="AT221" s="364">
        <f>SUM(IF(D161="ExtraP Off",0,AT162),IF(D164="ExtraP Off",0,AT165),IF(D167="ExtraP Off",0,AT168),IF(D170="ExtraP Off",0,AT171),IF(D173="ExtraP Off",0,AT174),IF(D176="ExtraP Off",0,AT177),IF(D179="ExtraP Off",0,AT180),IF(D182="ExtraP Off",0,AT183),IF(D185="ExtraP Off",0,AT186),IF(D188="ExtraP Off",0,AT189),IF(D191="ExtraP Off",0,AT192),IF(D194="ExtraP Off",0,AT195),IF(D197="ExtraP Off",0,AT198),IF(D200="ExtraP Off",0,AT201),IF(D203="ExtraP Off",0,AT204),IF(D206="ExtraP Off",0,AT207),IF(D209="ExtraP Off",0,AT210),IF(D212="ExtraP Off",0,AT213),IF(D215="ExtraP Off",0,AT216),IF(D218="ExtraP Off",0,AT219))</f>
        <v>0</v>
      </c>
      <c r="AU221" s="369">
        <f>SUM(IF(D161="ExtraP Off",0,AU162),IF(D164="ExtraP Off",0,AU165),IF(D167="ExtraP Off",0,AU168),IF(D170="ExtraP Off",0,AU171),IF(D173="ExtraP Off",0,AU174),IF(D176="ExtraP Off",0,AU177),IF(D179="ExtraP Off",0,AU180),IF(D182="ExtraP Off",0,AU183),IF(D185="ExtraP Off",0,AU186),IF(D188="ExtraP Off",0,AU189),IF(D191="ExtraP Off",0,AU192),IF(D194="ExtraP Off",0,AU195),IF(D197="ExtraP Off",0,AU198),IF(D200="ExtraP Off",0,AU201),IF(D203="ExtraP Off",0,AU204),IF(D206="ExtraP Off",0,AU207),IF(D209="ExtraP Off",0,AU210),IF(D212="ExtraP Off",0,AU213),IF(D215="ExtraP Off",0,AU216),IF(D218="ExtraP Off",0,AU219))</f>
        <v>0</v>
      </c>
      <c r="AW221" s="203"/>
      <c r="AX221" s="96"/>
      <c r="AY221" s="684" t="s">
        <v>191</v>
      </c>
      <c r="AZ221" s="685"/>
      <c r="BA221" s="685"/>
      <c r="BB221" s="421">
        <f>AP221</f>
        <v>5640</v>
      </c>
      <c r="BC221" s="96"/>
      <c r="BD221" s="96"/>
      <c r="BE221" s="96"/>
      <c r="BF221" s="96"/>
      <c r="BG221" s="96"/>
      <c r="BH221" s="203"/>
    </row>
    <row r="222" spans="2:60" ht="16">
      <c r="D222" s="1"/>
      <c r="E222" s="1"/>
      <c r="F222" s="469" t="str">
        <f>IF($D$37="Activé","BALANCE de contrôle du GRAND DISPATCHING =","")</f>
        <v>BALANCE de contrôle du GRAND DISPATCHING =</v>
      </c>
      <c r="G222" s="469"/>
      <c r="I222" s="525">
        <f>IF($D$37="Activé",I158-I220,"")</f>
        <v>0</v>
      </c>
      <c r="J222" s="526"/>
      <c r="K222" s="373"/>
      <c r="L222" s="525">
        <f t="shared" ref="L222" si="890">IF($D$37="Activé",L158-L220,"")</f>
        <v>0</v>
      </c>
      <c r="M222" s="526"/>
      <c r="N222" s="373"/>
      <c r="O222" s="525">
        <f t="shared" ref="O222" si="891">IF($D$37="Activé",O158-O220,"")</f>
        <v>0</v>
      </c>
      <c r="P222" s="526"/>
      <c r="Q222" s="373"/>
      <c r="R222" s="525">
        <f t="shared" ref="R222" si="892">IF($D$37="Activé",R158-R220,"")</f>
        <v>0</v>
      </c>
      <c r="S222" s="526"/>
      <c r="T222" s="373"/>
      <c r="U222" s="525">
        <f t="shared" ref="U222" si="893">IF($D$37="Activé",U158-U220,"")</f>
        <v>-1600</v>
      </c>
      <c r="V222" s="526"/>
      <c r="W222" s="373"/>
      <c r="X222" s="525">
        <f t="shared" ref="X222" si="894">IF($D$37="Activé",X158-X220,"")</f>
        <v>-200</v>
      </c>
      <c r="Y222" s="526"/>
      <c r="Z222" s="373"/>
      <c r="AA222" s="525">
        <f t="shared" ref="AA222" si="895">IF($D$37="Activé",AA158-AA220,"")</f>
        <v>-200</v>
      </c>
      <c r="AB222" s="526"/>
      <c r="AC222" s="373"/>
      <c r="AD222" s="525">
        <f>IF($D$37="Activé",AD158-AD220,"")</f>
        <v>-200</v>
      </c>
      <c r="AE222" s="526"/>
      <c r="AF222" s="373"/>
      <c r="AG222" s="525">
        <f t="shared" ref="AG222" si="896">IF($D$37="Activé",AG158-AG220,"")</f>
        <v>-200</v>
      </c>
      <c r="AH222" s="526"/>
      <c r="AI222" s="373"/>
      <c r="AJ222" s="525">
        <f t="shared" ref="AJ222" si="897">IF($D$37="Activé",AJ158-AJ220,"")</f>
        <v>-200</v>
      </c>
      <c r="AK222" s="526"/>
      <c r="AL222" s="373"/>
      <c r="AM222" s="525">
        <f t="shared" ref="AM222" si="898">IF($D$37="Activé",AM158-AM220,"")</f>
        <v>-200</v>
      </c>
      <c r="AN222" s="526"/>
      <c r="AO222" s="373"/>
      <c r="AP222" s="525">
        <f>IF($D$37="Activé",AP158-AP220,"")</f>
        <v>-200</v>
      </c>
      <c r="AQ222" s="526"/>
      <c r="AR222" s="373"/>
      <c r="AT222" s="1"/>
      <c r="AU222" s="1"/>
      <c r="AW222" s="203"/>
      <c r="AX222" s="96"/>
      <c r="AY222" s="146"/>
      <c r="AZ222" s="668" t="s">
        <v>562</v>
      </c>
      <c r="BA222" s="668"/>
      <c r="BB222" s="376">
        <f>BB220/12</f>
        <v>1253.3333333333333</v>
      </c>
      <c r="BC222" s="96"/>
      <c r="BD222" s="96"/>
      <c r="BE222" s="96"/>
      <c r="BF222" s="96"/>
      <c r="BG222" s="96"/>
      <c r="BH222" s="203"/>
    </row>
    <row r="223" spans="2:60" s="1" customFormat="1" ht="14" thickBot="1">
      <c r="AW223" s="203"/>
      <c r="AX223" s="96"/>
      <c r="AY223" s="96"/>
      <c r="AZ223" s="96"/>
      <c r="BA223" s="96"/>
      <c r="BB223" s="96"/>
      <c r="BC223" s="96"/>
      <c r="BD223" s="96"/>
      <c r="BE223" s="96"/>
      <c r="BF223" s="96"/>
      <c r="BG223" s="96"/>
      <c r="BH223" s="203"/>
    </row>
    <row r="224" spans="2:60">
      <c r="D224" s="156"/>
      <c r="E224" s="591" t="s">
        <v>560</v>
      </c>
      <c r="F224" s="620" t="s">
        <v>275</v>
      </c>
      <c r="G224" s="621"/>
      <c r="I224" s="578">
        <f>I7</f>
        <v>46174</v>
      </c>
      <c r="J224" s="578"/>
      <c r="K224" s="578"/>
      <c r="L224" s="578">
        <f t="shared" ref="L224" si="899">L7</f>
        <v>46206</v>
      </c>
      <c r="M224" s="578"/>
      <c r="N224" s="578"/>
      <c r="O224" s="578">
        <f t="shared" ref="O224" si="900">O7</f>
        <v>46238</v>
      </c>
      <c r="P224" s="578"/>
      <c r="Q224" s="578"/>
      <c r="R224" s="578">
        <f t="shared" ref="R224" si="901">R7</f>
        <v>46270</v>
      </c>
      <c r="S224" s="578"/>
      <c r="T224" s="578"/>
      <c r="U224" s="578">
        <f t="shared" ref="U224" si="902">U7</f>
        <v>46302</v>
      </c>
      <c r="V224" s="578"/>
      <c r="W224" s="578"/>
      <c r="X224" s="578">
        <f t="shared" ref="X224" si="903">X7</f>
        <v>46334</v>
      </c>
      <c r="Y224" s="578"/>
      <c r="Z224" s="578"/>
      <c r="AA224" s="578">
        <f t="shared" ref="AA224" si="904">AA7</f>
        <v>46366</v>
      </c>
      <c r="AB224" s="578"/>
      <c r="AC224" s="578"/>
      <c r="AD224" s="578">
        <f t="shared" ref="AD224" si="905">AD7</f>
        <v>46398</v>
      </c>
      <c r="AE224" s="578"/>
      <c r="AF224" s="578"/>
      <c r="AG224" s="578">
        <f t="shared" ref="AG224" si="906">AG7</f>
        <v>46430</v>
      </c>
      <c r="AH224" s="578"/>
      <c r="AI224" s="578"/>
      <c r="AJ224" s="578">
        <f t="shared" ref="AJ224" si="907">AJ7</f>
        <v>46462</v>
      </c>
      <c r="AK224" s="578"/>
      <c r="AL224" s="578"/>
      <c r="AM224" s="578">
        <f t="shared" ref="AM224" si="908">AM7</f>
        <v>46494</v>
      </c>
      <c r="AN224" s="578"/>
      <c r="AO224" s="578"/>
      <c r="AP224" s="578">
        <f t="shared" ref="AP224" si="909">AP7</f>
        <v>46526</v>
      </c>
      <c r="AQ224" s="578"/>
      <c r="AR224" s="578"/>
      <c r="AT224" s="358"/>
      <c r="AU224" s="358"/>
      <c r="AW224" s="203"/>
      <c r="AX224" s="96"/>
      <c r="AY224" s="536"/>
      <c r="AZ224" s="537"/>
      <c r="BA224" s="669"/>
      <c r="BB224" s="96"/>
      <c r="BC224" s="96"/>
      <c r="BD224" s="96"/>
      <c r="BE224" s="96"/>
      <c r="BF224" s="96"/>
      <c r="BG224" s="96"/>
      <c r="BH224" s="203"/>
    </row>
    <row r="225" spans="2:60" ht="16">
      <c r="D225" s="156"/>
      <c r="E225" s="591"/>
      <c r="F225" s="622" t="str">
        <f>IF($D$37="Activé","Budgets mensuels disponibles pour les dépenses courantes-&gt;","Balances mensuelles -&gt;")</f>
        <v>Budgets mensuels disponibles pour les dépenses courantes-&gt;</v>
      </c>
      <c r="G225" s="623"/>
      <c r="I225" s="571">
        <f>IF($D$37="Activé",IF(K45="%",INT(I45*I28/100),I45),I267)</f>
        <v>1031.3</v>
      </c>
      <c r="J225" s="572"/>
      <c r="K225" s="573"/>
      <c r="L225" s="571">
        <f>IF($D$37="Activé",IF(N45="%",INT(L45*L28/100),L45),L267)</f>
        <v>1031.3</v>
      </c>
      <c r="M225" s="572"/>
      <c r="N225" s="573"/>
      <c r="O225" s="571">
        <f>IF($D$37="Activé",IF(Q45="%",INT(O45*O28/100),O45),O267)</f>
        <v>1031.3</v>
      </c>
      <c r="P225" s="572"/>
      <c r="Q225" s="573"/>
      <c r="R225" s="571">
        <f>IF($D$37="Activé",IF(T45="%",INT(R45*R28/100),R45),R267)</f>
        <v>1031.3</v>
      </c>
      <c r="S225" s="572"/>
      <c r="T225" s="573"/>
      <c r="U225" s="571">
        <f>IF($D$37="Activé",IF(W45="%",INT(U45*U28/100),U45),U267)</f>
        <v>0</v>
      </c>
      <c r="V225" s="572"/>
      <c r="W225" s="573"/>
      <c r="X225" s="571">
        <f>IF($D$37="Activé",IF(Z45="%",INT(X45*X28/100),X45),X267)</f>
        <v>0</v>
      </c>
      <c r="Y225" s="572"/>
      <c r="Z225" s="573"/>
      <c r="AA225" s="571">
        <f>IF($D$37="Activé",IF(AC45="%",INT(AA45*AA28/100),AA45),AA267)</f>
        <v>0</v>
      </c>
      <c r="AB225" s="572"/>
      <c r="AC225" s="573"/>
      <c r="AD225" s="571">
        <f>IF($D$37="Activé",IF(AF45="%",INT(AD45*AD28/100),AD45),AD267)</f>
        <v>0</v>
      </c>
      <c r="AE225" s="572"/>
      <c r="AF225" s="573"/>
      <c r="AG225" s="571">
        <f>IF($D$37="Activé",IF(AI45="%",INT(AG45*AG28/100),AG45),AG267)</f>
        <v>0</v>
      </c>
      <c r="AH225" s="572"/>
      <c r="AI225" s="573"/>
      <c r="AJ225" s="571">
        <f>IF($D$37="Activé",IF(AL45="%",INT(AJ45*AJ28/100),AJ45),AJ267)</f>
        <v>0</v>
      </c>
      <c r="AK225" s="572"/>
      <c r="AL225" s="573"/>
      <c r="AM225" s="571">
        <f>IF($D$37="Activé",IF(AO45="%",INT(AM45*AM28/100),AM45),AM267)</f>
        <v>0</v>
      </c>
      <c r="AN225" s="572"/>
      <c r="AO225" s="573"/>
      <c r="AP225" s="571">
        <f>IF($D$37="Activé",IF(AR45="%",INT(AP45*AP28/100),AP45),AP267)</f>
        <v>0</v>
      </c>
      <c r="AQ225" s="572"/>
      <c r="AR225" s="573"/>
      <c r="AT225" s="358"/>
      <c r="AU225" s="358"/>
      <c r="AW225" s="203"/>
      <c r="AX225" s="96"/>
      <c r="AY225" s="665" t="s">
        <v>275</v>
      </c>
      <c r="AZ225" s="666"/>
      <c r="BA225" s="667"/>
      <c r="BB225" s="96"/>
      <c r="BC225" s="96"/>
      <c r="BD225" s="96"/>
      <c r="BE225" s="96"/>
      <c r="BF225" s="96"/>
      <c r="BG225" s="96"/>
      <c r="BH225" s="203"/>
    </row>
    <row r="226" spans="2:60" ht="14" thickBot="1">
      <c r="D226" s="156"/>
      <c r="E226" s="232"/>
      <c r="F226" s="233"/>
      <c r="G226" s="233"/>
      <c r="I226" s="234" t="s">
        <v>58</v>
      </c>
      <c r="J226" s="561" t="s">
        <v>59</v>
      </c>
      <c r="K226" s="562"/>
      <c r="L226" s="234" t="s">
        <v>58</v>
      </c>
      <c r="M226" s="561" t="s">
        <v>59</v>
      </c>
      <c r="N226" s="562"/>
      <c r="O226" s="234" t="s">
        <v>58</v>
      </c>
      <c r="P226" s="561" t="s">
        <v>59</v>
      </c>
      <c r="Q226" s="562"/>
      <c r="R226" s="234" t="s">
        <v>58</v>
      </c>
      <c r="S226" s="561" t="s">
        <v>59</v>
      </c>
      <c r="T226" s="562"/>
      <c r="U226" s="234" t="s">
        <v>58</v>
      </c>
      <c r="V226" s="561" t="s">
        <v>59</v>
      </c>
      <c r="W226" s="562"/>
      <c r="X226" s="234" t="s">
        <v>58</v>
      </c>
      <c r="Y226" s="561" t="s">
        <v>59</v>
      </c>
      <c r="Z226" s="562"/>
      <c r="AA226" s="234" t="s">
        <v>58</v>
      </c>
      <c r="AB226" s="561" t="s">
        <v>59</v>
      </c>
      <c r="AC226" s="562"/>
      <c r="AD226" s="234" t="s">
        <v>58</v>
      </c>
      <c r="AE226" s="561" t="s">
        <v>59</v>
      </c>
      <c r="AF226" s="562"/>
      <c r="AG226" s="234" t="s">
        <v>58</v>
      </c>
      <c r="AH226" s="561" t="s">
        <v>59</v>
      </c>
      <c r="AI226" s="562"/>
      <c r="AJ226" s="234" t="s">
        <v>58</v>
      </c>
      <c r="AK226" s="561" t="s">
        <v>59</v>
      </c>
      <c r="AL226" s="562"/>
      <c r="AM226" s="234" t="s">
        <v>58</v>
      </c>
      <c r="AN226" s="561" t="s">
        <v>59</v>
      </c>
      <c r="AO226" s="562"/>
      <c r="AP226" s="234" t="s">
        <v>58</v>
      </c>
      <c r="AQ226" s="561" t="s">
        <v>59</v>
      </c>
      <c r="AR226" s="562"/>
      <c r="AT226" s="358"/>
      <c r="AU226" s="358"/>
      <c r="AW226" s="203"/>
      <c r="AX226" s="96"/>
      <c r="AY226" s="670"/>
      <c r="AZ226" s="671"/>
      <c r="BA226" s="672"/>
      <c r="BB226" s="401" t="s">
        <v>572</v>
      </c>
      <c r="BC226" s="401"/>
      <c r="BD226" s="402" t="s">
        <v>573</v>
      </c>
      <c r="BE226" s="96"/>
      <c r="BF226" s="96"/>
      <c r="BG226" s="96"/>
      <c r="BH226" s="203"/>
    </row>
    <row r="227" spans="2:60" ht="16">
      <c r="B227" s="235"/>
      <c r="D227" s="236">
        <v>1</v>
      </c>
      <c r="E227" s="592" t="s">
        <v>219</v>
      </c>
      <c r="F227" s="593"/>
      <c r="G227" s="594"/>
      <c r="H227" s="394"/>
      <c r="I227" s="324"/>
      <c r="J227" s="237">
        <f t="shared" ref="J227" si="910">((IF($E$10="non",0,I10)+IF($E$11="non",0,I11)+IF($E$12="non",0,I12)+IF($E$13="non",0,I13)+ IF($E$14="non",0,I14)+ IF($E$15="non",0,I15)+ IF($E$16="non",0,I16)+ IF($E$17="non",0,I17)+ IF($E$18="non",0,I18)+ IF($E$19="non",0,I19)+ IF($E$20="non",0,I20)+ IF($E$21="non",0,I21)+ IF($E$22="non",0,I22)+ IF($E$23="non",0,I23)+ IF($E$24="non",0,I24)+IF($E$25="non",0,I25)+IF($E$26="non",0,I26)+IF($E$27="non",0,I27))/10)</f>
        <v>350</v>
      </c>
      <c r="K227" s="323"/>
      <c r="L227" s="324"/>
      <c r="M227" s="237">
        <f t="shared" ref="M227" si="911">((IF($E$10="non",0,L10)+IF($E$11="non",0,L11)+IF($E$12="non",0,L12)+IF($E$13="non",0,L13)+ IF($E$14="non",0,L14)+ IF($E$15="non",0,L15)+ IF($E$16="non",0,L16)+ IF($E$17="non",0,L17)+ IF($E$18="non",0,L18)+ IF($E$19="non",0,L19)+ IF($E$20="non",0,L20)+ IF($E$21="non",0,L21)+ IF($E$22="non",0,L22)+ IF($E$23="non",0,L23)+ IF($E$24="non",0,L24)+IF($E$25="non",0,L25)+IF($E$26="non",0,L26)+IF($E$27="non",0,L27))/10)</f>
        <v>350</v>
      </c>
      <c r="N227" s="323"/>
      <c r="O227" s="324"/>
      <c r="P227" s="237">
        <f t="shared" ref="P227" si="912">((IF($E$10="non",0,O10)+IF($E$11="non",0,O11)+IF($E$12="non",0,O12)+IF($E$13="non",0,O13)+ IF($E$14="non",0,O14)+ IF($E$15="non",0,O15)+ IF($E$16="non",0,O16)+ IF($E$17="non",0,O17)+ IF($E$18="non",0,O18)+ IF($E$19="non",0,O19)+ IF($E$20="non",0,O20)+ IF($E$21="non",0,O21)+ IF($E$22="non",0,O22)+ IF($E$23="non",0,O23)+ IF($E$24="non",0,O24)+IF($E$25="non",0,O25)+IF($E$26="non",0,O26)+IF($E$27="non",0,O27))/10)</f>
        <v>350</v>
      </c>
      <c r="Q227" s="323"/>
      <c r="R227" s="324"/>
      <c r="S227" s="237">
        <f t="shared" ref="S227" si="913">((IF($E$10="non",0,R10)+IF($E$11="non",0,R11)+IF($E$12="non",0,R12)+IF($E$13="non",0,R13)+ IF($E$14="non",0,R14)+ IF($E$15="non",0,R15)+ IF($E$16="non",0,R16)+ IF($E$17="non",0,R17)+ IF($E$18="non",0,R18)+ IF($E$19="non",0,R19)+ IF($E$20="non",0,R20)+ IF($E$21="non",0,R21)+ IF($E$22="non",0,R22)+ IF($E$23="non",0,R23)+ IF($E$24="non",0,R24)+IF($E$25="non",0,R25)+IF($E$26="non",0,R26)+IF($E$27="non",0,R27))/10)</f>
        <v>350</v>
      </c>
      <c r="T227" s="323"/>
      <c r="U227" s="324"/>
      <c r="V227" s="237">
        <f t="shared" ref="V227" si="914">((IF($E$10="non",0,U10)+IF($E$11="non",0,U11)+IF($E$12="non",0,U12)+IF($E$13="non",0,U13)+ IF($E$14="non",0,U14)+ IF($E$15="non",0,U15)+ IF($E$16="non",0,U16)+ IF($E$17="non",0,U17)+ IF($E$18="non",0,U18)+ IF($E$19="non",0,U19)+ IF($E$20="non",0,U20)+ IF($E$21="non",0,U21)+ IF($E$22="non",0,U22)+ IF($E$23="non",0,U23)+ IF($E$24="non",0,U24)+IF($E$25="non",0,U25)+IF($E$26="non",0,U26)+IF($E$27="non",0,U27))/10)</f>
        <v>350</v>
      </c>
      <c r="W227" s="323"/>
      <c r="X227" s="324"/>
      <c r="Y227" s="237">
        <f t="shared" ref="Y227" si="915">((IF($E$10="non",0,X10)+IF($E$11="non",0,X11)+IF($E$12="non",0,X12)+IF($E$13="non",0,X13)+ IF($E$14="non",0,X14)+ IF($E$15="non",0,X15)+ IF($E$16="non",0,X16)+ IF($E$17="non",0,X17)+ IF($E$18="non",0,X18)+ IF($E$19="non",0,X19)+ IF($E$20="non",0,X20)+ IF($E$21="non",0,X21)+ IF($E$22="non",0,X22)+ IF($E$23="non",0,X23)+ IF($E$24="non",0,X24)+IF($E$25="non",0,X25)+IF($E$26="non",0,X26)+IF($E$27="non",0,X27))/10)</f>
        <v>350</v>
      </c>
      <c r="Z227" s="323"/>
      <c r="AA227" s="324"/>
      <c r="AB227" s="237">
        <f t="shared" ref="AB227" si="916">((IF($E$10="non",0,AA10)+IF($E$11="non",0,AA11)+IF($E$12="non",0,AA12)+IF($E$13="non",0,AA13)+ IF($E$14="non",0,AA14)+ IF($E$15="non",0,AA15)+ IF($E$16="non",0,AA16)+ IF($E$17="non",0,AA17)+ IF($E$18="non",0,AA18)+ IF($E$19="non",0,AA19)+ IF($E$20="non",0,AA20)+ IF($E$21="non",0,AA21)+ IF($E$22="non",0,AA22)+ IF($E$23="non",0,AA23)+ IF($E$24="non",0,AA24)+IF($E$25="non",0,AA25)+IF($E$26="non",0,AA26)+IF($E$27="non",0,AA27))/10)</f>
        <v>350</v>
      </c>
      <c r="AC227" s="323"/>
      <c r="AD227" s="324"/>
      <c r="AE227" s="237">
        <f t="shared" ref="AE227" si="917">((IF($E$10="non",0,AD10)+IF($E$11="non",0,AD11)+IF($E$12="non",0,AD12)+IF($E$13="non",0,AD13)+ IF($E$14="non",0,AD14)+ IF($E$15="non",0,AD15)+ IF($E$16="non",0,AD16)+ IF($E$17="non",0,AD17)+ IF($E$18="non",0,AD18)+ IF($E$19="non",0,AD19)+ IF($E$20="non",0,AD20)+ IF($E$21="non",0,AD21)+ IF($E$22="non",0,AD22)+ IF($E$23="non",0,AD23)+ IF($E$24="non",0,AD24)+IF($E$25="non",0,AD25)+IF($E$26="non",0,AD26)+IF($E$27="non",0,AD27))/10)</f>
        <v>350</v>
      </c>
      <c r="AF227" s="323"/>
      <c r="AG227" s="324"/>
      <c r="AH227" s="237">
        <f t="shared" ref="AH227" si="918">((IF($E$10="non",0,AG10)+IF($E$11="non",0,AG11)+IF($E$12="non",0,AG12)+IF($E$13="non",0,AG13)+ IF($E$14="non",0,AG14)+ IF($E$15="non",0,AG15)+ IF($E$16="non",0,AG16)+ IF($E$17="non",0,AG17)+ IF($E$18="non",0,AG18)+ IF($E$19="non",0,AG19)+ IF($E$20="non",0,AG20)+ IF($E$21="non",0,AG21)+ IF($E$22="non",0,AG22)+ IF($E$23="non",0,AG23)+ IF($E$24="non",0,AG24)+IF($E$25="non",0,AG25)+IF($E$26="non",0,AG26)+IF($E$27="non",0,AG27))/10)</f>
        <v>350</v>
      </c>
      <c r="AI227" s="323"/>
      <c r="AJ227" s="324"/>
      <c r="AK227" s="237">
        <f t="shared" ref="AK227" si="919">((IF($E$10="non",0,AJ10)+IF($E$11="non",0,AJ11)+IF($E$12="non",0,AJ12)+IF($E$13="non",0,AJ13)+ IF($E$14="non",0,AJ14)+ IF($E$15="non",0,AJ15)+ IF($E$16="non",0,AJ16)+ IF($E$17="non",0,AJ17)+ IF($E$18="non",0,AJ18)+ IF($E$19="non",0,AJ19)+ IF($E$20="non",0,AJ20)+ IF($E$21="non",0,AJ21)+ IF($E$22="non",0,AJ22)+ IF($E$23="non",0,AJ23)+ IF($E$24="non",0,AJ24)+IF($E$25="non",0,AJ25)+IF($E$26="non",0,AJ26)+IF($E$27="non",0,AJ27))/10)</f>
        <v>350</v>
      </c>
      <c r="AL227" s="323"/>
      <c r="AM227" s="324"/>
      <c r="AN227" s="237">
        <f t="shared" ref="AN227" si="920">((IF($E$10="non",0,AM10)+IF($E$11="non",0,AM11)+IF($E$12="non",0,AM12)+IF($E$13="non",0,AM13)+ IF($E$14="non",0,AM14)+ IF($E$15="non",0,AM15)+ IF($E$16="non",0,AM16)+ IF($E$17="non",0,AM17)+ IF($E$18="non",0,AM18)+ IF($E$19="non",0,AM19)+ IF($E$20="non",0,AM20)+ IF($E$21="non",0,AM21)+ IF($E$22="non",0,AM22)+ IF($E$23="non",0,AM23)+ IF($E$24="non",0,AM24)+IF($E$25="non",0,AM25)+IF($E$26="non",0,AM26)+IF($E$27="non",0,AM27))/10)</f>
        <v>350</v>
      </c>
      <c r="AO227" s="323"/>
      <c r="AP227" s="324"/>
      <c r="AQ227" s="237">
        <f t="shared" ref="AQ227" si="921">((IF($E$10="non",0,AP10)+IF($E$11="non",0,AP11)+IF($E$12="non",0,AP12)+IF($E$13="non",0,AP13)+ IF($E$14="non",0,AP14)+ IF($E$15="non",0,AP15)+ IF($E$16="non",0,AP16)+ IF($E$17="non",0,AP17)+ IF($E$18="non",0,AP18)+ IF($E$19="non",0,AP19)+ IF($E$20="non",0,AP20)+ IF($E$21="non",0,AP21)+ IF($E$22="non",0,AP22)+ IF($E$23="non",0,AP23)+ IF($E$24="non",0,AP24)+IF($E$25="non",0,AP25)+IF($E$26="non",0,AP26)+IF($E$27="non",0,AP27))/10)</f>
        <v>350</v>
      </c>
      <c r="AR227" s="323"/>
      <c r="AT227" s="358"/>
      <c r="AU227" s="358"/>
      <c r="AW227" s="203"/>
      <c r="AX227" s="96"/>
      <c r="AY227" s="673" t="str">
        <f>IF(E227="","",E227)</f>
        <v>Dîme</v>
      </c>
      <c r="AZ227" s="674"/>
      <c r="BA227" s="675"/>
      <c r="BB227" s="238">
        <f>SUM(MAX(I227,J227),MAX(L227,M227),MAX(O227,P227),MAX(R227,S227),MAX(U227,V227),MAX(X227,Y227),MAX(AA227,AB227),MAX(AD227,AE227),MAX(AG227,AH227),MAX(AJ227,AK227),MAX(AM227,AN227),MAX(AP227,AQ227))</f>
        <v>4200</v>
      </c>
      <c r="BC227" s="235"/>
      <c r="BD227" s="408">
        <f>BB227/12</f>
        <v>350</v>
      </c>
      <c r="BE227" s="96"/>
      <c r="BF227" s="96"/>
      <c r="BG227" s="96"/>
      <c r="BH227" s="203"/>
    </row>
    <row r="228" spans="2:60" ht="16">
      <c r="B228" s="235"/>
      <c r="D228" s="236">
        <f>1+D227</f>
        <v>2</v>
      </c>
      <c r="E228" s="595" t="s">
        <v>613</v>
      </c>
      <c r="F228" s="596"/>
      <c r="G228" s="597"/>
      <c r="H228" s="395"/>
      <c r="I228" s="324"/>
      <c r="J228" s="325">
        <v>39</v>
      </c>
      <c r="K228" s="323"/>
      <c r="L228" s="324"/>
      <c r="M228" s="325">
        <v>39</v>
      </c>
      <c r="N228" s="323"/>
      <c r="O228" s="324"/>
      <c r="P228" s="325">
        <v>39</v>
      </c>
      <c r="Q228" s="323"/>
      <c r="R228" s="324"/>
      <c r="S228" s="325">
        <v>39</v>
      </c>
      <c r="T228" s="323"/>
      <c r="U228" s="324"/>
      <c r="V228" s="325"/>
      <c r="W228" s="323"/>
      <c r="X228" s="324"/>
      <c r="Y228" s="325"/>
      <c r="Z228" s="323"/>
      <c r="AA228" s="324"/>
      <c r="AB228" s="325"/>
      <c r="AC228" s="323"/>
      <c r="AD228" s="324"/>
      <c r="AE228" s="325"/>
      <c r="AF228" s="323"/>
      <c r="AG228" s="324"/>
      <c r="AH228" s="325"/>
      <c r="AI228" s="323"/>
      <c r="AJ228" s="324"/>
      <c r="AK228" s="325"/>
      <c r="AL228" s="323"/>
      <c r="AM228" s="324"/>
      <c r="AN228" s="325"/>
      <c r="AO228" s="323"/>
      <c r="AP228" s="324"/>
      <c r="AQ228" s="325"/>
      <c r="AR228" s="323"/>
      <c r="AT228" s="358"/>
      <c r="AU228" s="358"/>
      <c r="AW228" s="203"/>
      <c r="AX228" s="96"/>
      <c r="AY228" s="673" t="str">
        <f t="shared" ref="AY228:AY247" si="922">IF(E228="","",E228)</f>
        <v>électricité</v>
      </c>
      <c r="AZ228" s="674"/>
      <c r="BA228" s="675"/>
      <c r="BB228" s="238">
        <f>SUM(MAX(I228,J228),MAX(L228,M228),MAX(O228,P228),MAX(R228,S228),MAX(U228,V228),MAX(X228,Y228),MAX(AA228,AB228),MAX(AD228,AE228),MAX(AG228,AH228),MAX(AJ228,AK228),MAX(AM228,AN228),MAX(AP228,AQ228))</f>
        <v>156</v>
      </c>
      <c r="BC228" s="235"/>
      <c r="BD228" s="408">
        <f t="shared" ref="BD228:BD261" si="923">BB228/12</f>
        <v>13</v>
      </c>
      <c r="BE228" s="96"/>
      <c r="BF228" s="96"/>
      <c r="BG228" s="96"/>
      <c r="BH228" s="203"/>
    </row>
    <row r="229" spans="2:60" ht="16">
      <c r="B229" s="235"/>
      <c r="D229" s="236">
        <f t="shared" ref="D229:D260" si="924">1+D228</f>
        <v>3</v>
      </c>
      <c r="E229" s="595" t="s">
        <v>199</v>
      </c>
      <c r="F229" s="596"/>
      <c r="G229" s="597"/>
      <c r="H229" s="395"/>
      <c r="I229" s="324"/>
      <c r="J229" s="325">
        <v>585</v>
      </c>
      <c r="K229" s="323"/>
      <c r="L229" s="324"/>
      <c r="M229" s="325">
        <v>585</v>
      </c>
      <c r="N229" s="323"/>
      <c r="O229" s="324"/>
      <c r="P229" s="325">
        <v>585</v>
      </c>
      <c r="Q229" s="323"/>
      <c r="R229" s="324"/>
      <c r="S229" s="325">
        <v>585</v>
      </c>
      <c r="T229" s="323"/>
      <c r="U229" s="324"/>
      <c r="V229" s="325"/>
      <c r="W229" s="323"/>
      <c r="X229" s="324"/>
      <c r="Y229" s="325"/>
      <c r="Z229" s="323"/>
      <c r="AA229" s="324"/>
      <c r="AB229" s="325"/>
      <c r="AC229" s="323"/>
      <c r="AD229" s="324"/>
      <c r="AE229" s="325"/>
      <c r="AF229" s="323"/>
      <c r="AG229" s="324"/>
      <c r="AH229" s="325"/>
      <c r="AI229" s="323"/>
      <c r="AJ229" s="324"/>
      <c r="AK229" s="325"/>
      <c r="AL229" s="323"/>
      <c r="AM229" s="324"/>
      <c r="AN229" s="325"/>
      <c r="AO229" s="323"/>
      <c r="AP229" s="324"/>
      <c r="AQ229" s="325"/>
      <c r="AR229" s="323"/>
      <c r="AT229" s="358"/>
      <c r="AU229" s="358"/>
      <c r="AW229" s="203"/>
      <c r="AX229" s="96"/>
      <c r="AY229" s="673" t="str">
        <f t="shared" si="922"/>
        <v>Remboursement - Prêt Résidence Principale</v>
      </c>
      <c r="AZ229" s="674"/>
      <c r="BA229" s="675"/>
      <c r="BB229" s="238">
        <f t="shared" ref="BB229:BB247" si="925">SUM(MAX(I229,J229),MAX(L229,M229),MAX(O229,P229),MAX(R229,S229),MAX(U229,V229),MAX(X229,Y229),MAX(AA229,AB229),MAX(AD229,AE229),MAX(AG229,AH229),MAX(AJ229,AK229),MAX(AM229,AN229),MAX(AP229,AQ229))</f>
        <v>2340</v>
      </c>
      <c r="BC229" s="235"/>
      <c r="BD229" s="408">
        <f t="shared" si="923"/>
        <v>195</v>
      </c>
      <c r="BE229" s="96"/>
      <c r="BF229" s="96"/>
      <c r="BG229" s="96"/>
      <c r="BH229" s="203"/>
    </row>
    <row r="230" spans="2:60" ht="16">
      <c r="B230" s="235"/>
      <c r="D230" s="236">
        <f t="shared" si="924"/>
        <v>4</v>
      </c>
      <c r="E230" s="595" t="s">
        <v>609</v>
      </c>
      <c r="F230" s="596"/>
      <c r="G230" s="597"/>
      <c r="H230" s="395"/>
      <c r="I230" s="324"/>
      <c r="J230" s="325">
        <v>6.51</v>
      </c>
      <c r="K230" s="323"/>
      <c r="L230" s="324"/>
      <c r="M230" s="325">
        <v>6.51</v>
      </c>
      <c r="N230" s="323"/>
      <c r="O230" s="324"/>
      <c r="P230" s="325">
        <v>6.51</v>
      </c>
      <c r="Q230" s="323"/>
      <c r="R230" s="324"/>
      <c r="S230" s="325">
        <v>6.51</v>
      </c>
      <c r="T230" s="323"/>
      <c r="U230" s="324"/>
      <c r="V230" s="325"/>
      <c r="W230" s="323"/>
      <c r="X230" s="324"/>
      <c r="Y230" s="325"/>
      <c r="Z230" s="323"/>
      <c r="AA230" s="324"/>
      <c r="AB230" s="325"/>
      <c r="AC230" s="323"/>
      <c r="AD230" s="324"/>
      <c r="AE230" s="325"/>
      <c r="AF230" s="323"/>
      <c r="AG230" s="324"/>
      <c r="AH230" s="325"/>
      <c r="AI230" s="323"/>
      <c r="AJ230" s="324"/>
      <c r="AK230" s="325"/>
      <c r="AL230" s="323"/>
      <c r="AM230" s="324"/>
      <c r="AN230" s="325"/>
      <c r="AO230" s="323"/>
      <c r="AP230" s="324"/>
      <c r="AQ230" s="325"/>
      <c r="AR230" s="323"/>
      <c r="AT230" s="358"/>
      <c r="AU230" s="358"/>
      <c r="AW230" s="203"/>
      <c r="AX230" s="96"/>
      <c r="AY230" s="673" t="str">
        <f t="shared" si="922"/>
        <v>abonnement youtube</v>
      </c>
      <c r="AZ230" s="674"/>
      <c r="BA230" s="675"/>
      <c r="BB230" s="238">
        <f t="shared" si="925"/>
        <v>26.04</v>
      </c>
      <c r="BC230" s="235"/>
      <c r="BD230" s="408">
        <f t="shared" si="923"/>
        <v>2.17</v>
      </c>
      <c r="BE230" s="96"/>
      <c r="BF230" s="96"/>
      <c r="BG230" s="96"/>
      <c r="BH230" s="203"/>
    </row>
    <row r="231" spans="2:60" ht="16">
      <c r="B231" s="235"/>
      <c r="D231" s="236">
        <f t="shared" si="924"/>
        <v>5</v>
      </c>
      <c r="E231" s="595" t="s">
        <v>332</v>
      </c>
      <c r="F231" s="596"/>
      <c r="G231" s="597"/>
      <c r="H231" s="395"/>
      <c r="I231" s="324"/>
      <c r="J231" s="325"/>
      <c r="K231" s="323"/>
      <c r="L231" s="324"/>
      <c r="M231" s="325"/>
      <c r="N231" s="323"/>
      <c r="O231" s="324"/>
      <c r="P231" s="325"/>
      <c r="Q231" s="323"/>
      <c r="R231" s="324"/>
      <c r="S231" s="325"/>
      <c r="T231" s="323"/>
      <c r="U231" s="324"/>
      <c r="V231" s="325"/>
      <c r="W231" s="323"/>
      <c r="X231" s="324"/>
      <c r="Y231" s="325"/>
      <c r="Z231" s="323"/>
      <c r="AA231" s="324"/>
      <c r="AB231" s="325"/>
      <c r="AC231" s="323"/>
      <c r="AD231" s="324"/>
      <c r="AE231" s="325"/>
      <c r="AF231" s="323"/>
      <c r="AG231" s="324"/>
      <c r="AH231" s="325"/>
      <c r="AI231" s="323"/>
      <c r="AJ231" s="324"/>
      <c r="AK231" s="325"/>
      <c r="AL231" s="323"/>
      <c r="AM231" s="324"/>
      <c r="AN231" s="325"/>
      <c r="AO231" s="323"/>
      <c r="AP231" s="324"/>
      <c r="AQ231" s="325"/>
      <c r="AR231" s="323"/>
      <c r="AT231" s="358"/>
      <c r="AU231" s="358"/>
      <c r="AW231" s="203"/>
      <c r="AX231" s="96"/>
      <c r="AY231" s="673" t="str">
        <f t="shared" si="922"/>
        <v>Carte de transport</v>
      </c>
      <c r="AZ231" s="674"/>
      <c r="BA231" s="675"/>
      <c r="BB231" s="238">
        <f>SUM(MAX(I231,J231),MAX(L231,M231),MAX(O231,P231),MAX(R231,S231),MAX(U231,V231),MAX(X231,Y231),MAX(AA231,AB231),MAX(AD231,AE231),MAX(AG231,AH231),MAX(AJ231,AK231),MAX(AM231,AN231),MAX(AP231,AQ231))</f>
        <v>0</v>
      </c>
      <c r="BC231" s="235"/>
      <c r="BD231" s="408">
        <f t="shared" si="923"/>
        <v>0</v>
      </c>
      <c r="BE231" s="96"/>
      <c r="BF231" s="96"/>
      <c r="BG231" s="96"/>
      <c r="BH231" s="203"/>
    </row>
    <row r="232" spans="2:60" ht="16">
      <c r="B232" s="235"/>
      <c r="D232" s="236">
        <f t="shared" si="924"/>
        <v>6</v>
      </c>
      <c r="E232" s="595" t="s">
        <v>614</v>
      </c>
      <c r="F232" s="596"/>
      <c r="G232" s="597"/>
      <c r="H232" s="395"/>
      <c r="I232" s="324"/>
      <c r="J232" s="325">
        <v>3</v>
      </c>
      <c r="K232" s="323"/>
      <c r="L232" s="324"/>
      <c r="M232" s="325">
        <v>3</v>
      </c>
      <c r="N232" s="323"/>
      <c r="O232" s="324"/>
      <c r="P232" s="325">
        <v>3</v>
      </c>
      <c r="Q232" s="323"/>
      <c r="R232" s="324"/>
      <c r="S232" s="325">
        <v>3</v>
      </c>
      <c r="T232" s="323"/>
      <c r="U232" s="324"/>
      <c r="V232" s="325"/>
      <c r="W232" s="323"/>
      <c r="X232" s="324"/>
      <c r="Y232" s="325"/>
      <c r="Z232" s="323"/>
      <c r="AA232" s="324"/>
      <c r="AB232" s="325"/>
      <c r="AC232" s="323"/>
      <c r="AD232" s="324"/>
      <c r="AE232" s="325"/>
      <c r="AF232" s="323"/>
      <c r="AG232" s="324"/>
      <c r="AH232" s="325"/>
      <c r="AI232" s="323"/>
      <c r="AJ232" s="324"/>
      <c r="AK232" s="325"/>
      <c r="AL232" s="323"/>
      <c r="AM232" s="324"/>
      <c r="AN232" s="325"/>
      <c r="AO232" s="323"/>
      <c r="AP232" s="324"/>
      <c r="AQ232" s="325"/>
      <c r="AR232" s="323"/>
      <c r="AT232" s="358"/>
      <c r="AU232" s="358"/>
      <c r="AW232" s="203"/>
      <c r="AX232" s="96"/>
      <c r="AY232" s="673" t="str">
        <f t="shared" si="922"/>
        <v>aboonement icloud</v>
      </c>
      <c r="AZ232" s="674"/>
      <c r="BA232" s="675"/>
      <c r="BB232" s="238">
        <f>SUM(MAX(I232,J232),MAX(L232,M232),MAX(O232,P232),MAX(R232,S232),MAX(U232,V232),MAX(X232,Y232),MAX(AA232,AB232),MAX(AD232,AE232),MAX(AG232,AH232),MAX(AJ232,AK232),MAX(AM232,AN232),MAX(AP232,AQ232))</f>
        <v>12</v>
      </c>
      <c r="BC232" s="235"/>
      <c r="BD232" s="408">
        <f t="shared" si="923"/>
        <v>1</v>
      </c>
      <c r="BE232" s="96"/>
      <c r="BF232" s="96"/>
      <c r="BG232" s="96"/>
      <c r="BH232" s="203"/>
    </row>
    <row r="233" spans="2:60" ht="16">
      <c r="B233" s="235"/>
      <c r="D233" s="236">
        <f t="shared" si="924"/>
        <v>7</v>
      </c>
      <c r="E233" s="601" t="s">
        <v>205</v>
      </c>
      <c r="F233" s="602"/>
      <c r="G233" s="603"/>
      <c r="H233" s="395"/>
      <c r="I233" s="324"/>
      <c r="J233" s="325">
        <v>0</v>
      </c>
      <c r="K233" s="323"/>
      <c r="L233" s="324"/>
      <c r="M233" s="325"/>
      <c r="N233" s="323"/>
      <c r="O233" s="324"/>
      <c r="P233" s="325"/>
      <c r="Q233" s="323"/>
      <c r="R233" s="324"/>
      <c r="S233" s="325"/>
      <c r="T233" s="323"/>
      <c r="U233" s="324"/>
      <c r="V233" s="325"/>
      <c r="W233" s="323"/>
      <c r="X233" s="324"/>
      <c r="Y233" s="325"/>
      <c r="Z233" s="323"/>
      <c r="AA233" s="324"/>
      <c r="AB233" s="325"/>
      <c r="AC233" s="323"/>
      <c r="AD233" s="324"/>
      <c r="AE233" s="325"/>
      <c r="AF233" s="323"/>
      <c r="AG233" s="324"/>
      <c r="AH233" s="325"/>
      <c r="AI233" s="323"/>
      <c r="AJ233" s="324"/>
      <c r="AK233" s="325"/>
      <c r="AL233" s="323"/>
      <c r="AM233" s="324"/>
      <c r="AN233" s="325"/>
      <c r="AO233" s="323"/>
      <c r="AP233" s="324"/>
      <c r="AQ233" s="325"/>
      <c r="AR233" s="323"/>
      <c r="AT233" s="358"/>
      <c r="AU233" s="358"/>
      <c r="AW233" s="203"/>
      <c r="AX233" s="96"/>
      <c r="AY233" s="673" t="str">
        <f t="shared" si="922"/>
        <v>Cotisation de Prévoyance</v>
      </c>
      <c r="AZ233" s="674"/>
      <c r="BA233" s="675"/>
      <c r="BB233" s="238">
        <f t="shared" si="925"/>
        <v>0</v>
      </c>
      <c r="BC233" s="235"/>
      <c r="BD233" s="408">
        <f t="shared" si="923"/>
        <v>0</v>
      </c>
      <c r="BE233" s="96"/>
      <c r="BF233" s="96"/>
      <c r="BG233" s="96"/>
      <c r="BH233" s="203"/>
    </row>
    <row r="234" spans="2:60" ht="16">
      <c r="B234" s="235"/>
      <c r="D234" s="236">
        <f t="shared" si="924"/>
        <v>8</v>
      </c>
      <c r="E234" s="595" t="s">
        <v>210</v>
      </c>
      <c r="F234" s="596"/>
      <c r="G234" s="597"/>
      <c r="H234" s="395"/>
      <c r="I234" s="324"/>
      <c r="J234" s="325">
        <v>22</v>
      </c>
      <c r="K234" s="323"/>
      <c r="L234" s="324"/>
      <c r="M234" s="325">
        <v>22</v>
      </c>
      <c r="N234" s="323"/>
      <c r="O234" s="324"/>
      <c r="P234" s="325">
        <v>22</v>
      </c>
      <c r="Q234" s="323"/>
      <c r="R234" s="324"/>
      <c r="S234" s="325">
        <v>22</v>
      </c>
      <c r="T234" s="323"/>
      <c r="U234" s="324"/>
      <c r="V234" s="325"/>
      <c r="W234" s="323"/>
      <c r="X234" s="324"/>
      <c r="Y234" s="325"/>
      <c r="Z234" s="323"/>
      <c r="AA234" s="324"/>
      <c r="AB234" s="325"/>
      <c r="AC234" s="323"/>
      <c r="AD234" s="324"/>
      <c r="AE234" s="325"/>
      <c r="AF234" s="323"/>
      <c r="AG234" s="324"/>
      <c r="AH234" s="325"/>
      <c r="AI234" s="323"/>
      <c r="AJ234" s="324"/>
      <c r="AK234" s="325"/>
      <c r="AL234" s="323"/>
      <c r="AM234" s="324"/>
      <c r="AN234" s="325"/>
      <c r="AO234" s="323"/>
      <c r="AP234" s="324"/>
      <c r="AQ234" s="325"/>
      <c r="AR234" s="323"/>
      <c r="AT234" s="358"/>
      <c r="AU234" s="358"/>
      <c r="AW234" s="203"/>
      <c r="AX234" s="96"/>
      <c r="AY234" s="673" t="str">
        <f t="shared" si="922"/>
        <v>Assurance Habitation</v>
      </c>
      <c r="AZ234" s="674"/>
      <c r="BA234" s="675"/>
      <c r="BB234" s="238">
        <f t="shared" si="925"/>
        <v>88</v>
      </c>
      <c r="BC234" s="235"/>
      <c r="BD234" s="408">
        <f t="shared" si="923"/>
        <v>7.333333333333333</v>
      </c>
      <c r="BE234" s="96"/>
      <c r="BF234" s="96"/>
      <c r="BG234" s="96"/>
      <c r="BH234" s="203"/>
    </row>
    <row r="235" spans="2:60" ht="16">
      <c r="B235" s="235"/>
      <c r="D235" s="236">
        <f t="shared" si="924"/>
        <v>9</v>
      </c>
      <c r="E235" s="595" t="s">
        <v>616</v>
      </c>
      <c r="F235" s="596"/>
      <c r="G235" s="597"/>
      <c r="H235" s="395"/>
      <c r="I235" s="324"/>
      <c r="J235" s="325">
        <v>0</v>
      </c>
      <c r="K235" s="323"/>
      <c r="L235" s="324"/>
      <c r="M235" s="325">
        <v>0</v>
      </c>
      <c r="N235" s="323"/>
      <c r="O235" s="324"/>
      <c r="P235" s="325">
        <v>30</v>
      </c>
      <c r="Q235" s="323"/>
      <c r="R235" s="324"/>
      <c r="S235" s="325">
        <v>30</v>
      </c>
      <c r="T235" s="323"/>
      <c r="U235" s="324"/>
      <c r="V235" s="325"/>
      <c r="W235" s="323"/>
      <c r="X235" s="324"/>
      <c r="Y235" s="325"/>
      <c r="Z235" s="323"/>
      <c r="AA235" s="324"/>
      <c r="AB235" s="325"/>
      <c r="AC235" s="323"/>
      <c r="AD235" s="324"/>
      <c r="AE235" s="325"/>
      <c r="AF235" s="323"/>
      <c r="AG235" s="324"/>
      <c r="AH235" s="325"/>
      <c r="AI235" s="323"/>
      <c r="AJ235" s="324"/>
      <c r="AK235" s="325"/>
      <c r="AL235" s="323"/>
      <c r="AM235" s="324"/>
      <c r="AN235" s="325"/>
      <c r="AO235" s="323"/>
      <c r="AP235" s="324"/>
      <c r="AQ235" s="325"/>
      <c r="AR235" s="323"/>
      <c r="AT235" s="358"/>
      <c r="AU235" s="358"/>
      <c r="AW235" s="203"/>
      <c r="AX235" s="96"/>
      <c r="AY235" s="673" t="str">
        <f t="shared" si="922"/>
        <v>Abonnement Internet maison et internet téléphone</v>
      </c>
      <c r="AZ235" s="674"/>
      <c r="BA235" s="675"/>
      <c r="BB235" s="238">
        <f t="shared" si="925"/>
        <v>60</v>
      </c>
      <c r="BC235" s="235"/>
      <c r="BD235" s="408">
        <f t="shared" si="923"/>
        <v>5</v>
      </c>
      <c r="BE235" s="96"/>
      <c r="BF235" s="96"/>
      <c r="BG235" s="96"/>
      <c r="BH235" s="203"/>
    </row>
    <row r="236" spans="2:60" ht="16">
      <c r="B236" s="235"/>
      <c r="D236" s="236">
        <f t="shared" si="924"/>
        <v>10</v>
      </c>
      <c r="E236" s="595" t="s">
        <v>608</v>
      </c>
      <c r="F236" s="596"/>
      <c r="G236" s="597"/>
      <c r="H236" s="395"/>
      <c r="I236" s="324"/>
      <c r="J236" s="325">
        <v>20</v>
      </c>
      <c r="K236" s="323"/>
      <c r="L236" s="324"/>
      <c r="M236" s="325">
        <v>20</v>
      </c>
      <c r="N236" s="323"/>
      <c r="O236" s="324"/>
      <c r="P236" s="325">
        <v>0</v>
      </c>
      <c r="Q236" s="323"/>
      <c r="R236" s="324"/>
      <c r="S236" s="325">
        <v>0</v>
      </c>
      <c r="T236" s="323"/>
      <c r="U236" s="324"/>
      <c r="V236" s="325"/>
      <c r="W236" s="323"/>
      <c r="X236" s="324"/>
      <c r="Y236" s="325"/>
      <c r="Z236" s="323"/>
      <c r="AA236" s="324"/>
      <c r="AB236" s="325"/>
      <c r="AC236" s="323"/>
      <c r="AD236" s="324"/>
      <c r="AE236" s="325"/>
      <c r="AF236" s="323"/>
      <c r="AG236" s="324"/>
      <c r="AH236" s="325"/>
      <c r="AI236" s="323"/>
      <c r="AJ236" s="324"/>
      <c r="AK236" s="325"/>
      <c r="AL236" s="323"/>
      <c r="AM236" s="324"/>
      <c r="AN236" s="325"/>
      <c r="AO236" s="323"/>
      <c r="AP236" s="324"/>
      <c r="AQ236" s="325"/>
      <c r="AR236" s="323"/>
      <c r="AT236" s="358"/>
      <c r="AU236" s="358"/>
      <c r="AW236" s="203"/>
      <c r="AX236" s="96"/>
      <c r="AY236" s="673" t="str">
        <f t="shared" si="922"/>
        <v>internet Téléphone</v>
      </c>
      <c r="AZ236" s="674"/>
      <c r="BA236" s="675"/>
      <c r="BB236" s="238">
        <f t="shared" si="925"/>
        <v>40</v>
      </c>
      <c r="BC236" s="235"/>
      <c r="BD236" s="408">
        <f t="shared" si="923"/>
        <v>3.3333333333333335</v>
      </c>
      <c r="BE236" s="96"/>
      <c r="BF236" s="96"/>
      <c r="BG236" s="96"/>
      <c r="BH236" s="203"/>
    </row>
    <row r="237" spans="2:60" ht="16">
      <c r="B237" s="235"/>
      <c r="D237" s="236">
        <f t="shared" si="924"/>
        <v>11</v>
      </c>
      <c r="E237" s="595" t="s">
        <v>615</v>
      </c>
      <c r="F237" s="596"/>
      <c r="G237" s="597"/>
      <c r="H237" s="395"/>
      <c r="I237" s="324"/>
      <c r="J237" s="325">
        <f>70/12</f>
        <v>5.833333333333333</v>
      </c>
      <c r="K237" s="323"/>
      <c r="L237" s="324"/>
      <c r="M237" s="325">
        <f>70/12</f>
        <v>5.833333333333333</v>
      </c>
      <c r="N237" s="323"/>
      <c r="O237" s="324"/>
      <c r="P237" s="325">
        <f>70/12</f>
        <v>5.833333333333333</v>
      </c>
      <c r="Q237" s="323"/>
      <c r="R237" s="324"/>
      <c r="S237" s="325">
        <v>0</v>
      </c>
      <c r="T237" s="323"/>
      <c r="U237" s="324"/>
      <c r="V237" s="325"/>
      <c r="W237" s="323"/>
      <c r="X237" s="324"/>
      <c r="Y237" s="325"/>
      <c r="Z237" s="323"/>
      <c r="AA237" s="324"/>
      <c r="AB237" s="325"/>
      <c r="AC237" s="323"/>
      <c r="AD237" s="324"/>
      <c r="AE237" s="325"/>
      <c r="AF237" s="323"/>
      <c r="AG237" s="324"/>
      <c r="AH237" s="325"/>
      <c r="AI237" s="323"/>
      <c r="AJ237" s="324"/>
      <c r="AK237" s="325"/>
      <c r="AL237" s="323"/>
      <c r="AM237" s="324"/>
      <c r="AN237" s="325"/>
      <c r="AO237" s="323"/>
      <c r="AP237" s="324"/>
      <c r="AQ237" s="325"/>
      <c r="AR237" s="323"/>
      <c r="AT237" s="358"/>
      <c r="AU237" s="358"/>
      <c r="AW237" s="203"/>
      <c r="AX237" s="96"/>
      <c r="AY237" s="673" t="str">
        <f t="shared" si="922"/>
        <v>abonnement amazon</v>
      </c>
      <c r="AZ237" s="674"/>
      <c r="BA237" s="675"/>
      <c r="BB237" s="238">
        <f t="shared" si="925"/>
        <v>17.5</v>
      </c>
      <c r="BC237" s="235"/>
      <c r="BD237" s="408">
        <f t="shared" si="923"/>
        <v>1.4583333333333333</v>
      </c>
      <c r="BE237" s="96"/>
      <c r="BF237" s="96"/>
      <c r="BG237" s="96"/>
      <c r="BH237" s="203"/>
    </row>
    <row r="238" spans="2:60" ht="16">
      <c r="B238" s="235"/>
      <c r="D238" s="236">
        <f t="shared" si="924"/>
        <v>12</v>
      </c>
      <c r="E238" s="595" t="s">
        <v>621</v>
      </c>
      <c r="F238" s="596"/>
      <c r="G238" s="597"/>
      <c r="H238" s="395"/>
      <c r="I238" s="324"/>
      <c r="J238" s="325"/>
      <c r="K238" s="323"/>
      <c r="L238" s="324"/>
      <c r="M238" s="325"/>
      <c r="N238" s="323"/>
      <c r="O238" s="324"/>
      <c r="P238" s="325"/>
      <c r="Q238" s="323"/>
      <c r="R238" s="324"/>
      <c r="S238" s="325"/>
      <c r="T238" s="323"/>
      <c r="U238" s="324"/>
      <c r="V238" s="325"/>
      <c r="W238" s="323"/>
      <c r="X238" s="324"/>
      <c r="Y238" s="325"/>
      <c r="Z238" s="323"/>
      <c r="AA238" s="324"/>
      <c r="AB238" s="325"/>
      <c r="AC238" s="323"/>
      <c r="AD238" s="324"/>
      <c r="AE238" s="325"/>
      <c r="AF238" s="323"/>
      <c r="AG238" s="324"/>
      <c r="AH238" s="325"/>
      <c r="AI238" s="323"/>
      <c r="AJ238" s="324"/>
      <c r="AK238" s="325"/>
      <c r="AL238" s="323"/>
      <c r="AM238" s="324"/>
      <c r="AN238" s="325"/>
      <c r="AO238" s="323"/>
      <c r="AP238" s="324"/>
      <c r="AQ238" s="325"/>
      <c r="AR238" s="323"/>
      <c r="AT238" s="358"/>
      <c r="AU238" s="358"/>
      <c r="AW238" s="203"/>
      <c r="AX238" s="96"/>
      <c r="AY238" s="673" t="str">
        <f t="shared" si="922"/>
        <v>nourriture</v>
      </c>
      <c r="AZ238" s="674"/>
      <c r="BA238" s="675"/>
      <c r="BB238" s="238">
        <f t="shared" si="925"/>
        <v>0</v>
      </c>
      <c r="BC238" s="235"/>
      <c r="BD238" s="408">
        <f t="shared" si="923"/>
        <v>0</v>
      </c>
      <c r="BE238" s="96"/>
      <c r="BF238" s="96"/>
      <c r="BG238" s="96"/>
      <c r="BH238" s="203"/>
    </row>
    <row r="239" spans="2:60" ht="16">
      <c r="B239" s="235"/>
      <c r="D239" s="236">
        <f t="shared" si="924"/>
        <v>13</v>
      </c>
      <c r="E239" s="595"/>
      <c r="F239" s="596"/>
      <c r="G239" s="597"/>
      <c r="H239" s="395"/>
      <c r="I239" s="324"/>
      <c r="J239" s="325"/>
      <c r="K239" s="323"/>
      <c r="L239" s="324"/>
      <c r="M239" s="325"/>
      <c r="N239" s="323"/>
      <c r="O239" s="324"/>
      <c r="P239" s="325"/>
      <c r="Q239" s="323"/>
      <c r="R239" s="324"/>
      <c r="S239" s="325"/>
      <c r="T239" s="323"/>
      <c r="U239" s="324"/>
      <c r="V239" s="325"/>
      <c r="W239" s="323"/>
      <c r="X239" s="324"/>
      <c r="Y239" s="325"/>
      <c r="Z239" s="323"/>
      <c r="AA239" s="324"/>
      <c r="AB239" s="325"/>
      <c r="AC239" s="323"/>
      <c r="AD239" s="324"/>
      <c r="AE239" s="325"/>
      <c r="AF239" s="323"/>
      <c r="AG239" s="324"/>
      <c r="AH239" s="325"/>
      <c r="AI239" s="323"/>
      <c r="AJ239" s="324"/>
      <c r="AK239" s="325"/>
      <c r="AL239" s="323"/>
      <c r="AM239" s="324"/>
      <c r="AN239" s="325"/>
      <c r="AO239" s="323"/>
      <c r="AP239" s="324"/>
      <c r="AQ239" s="325"/>
      <c r="AR239" s="323"/>
      <c r="AT239" s="358"/>
      <c r="AU239" s="358"/>
      <c r="AW239" s="203"/>
      <c r="AX239" s="96"/>
      <c r="AY239" s="673" t="str">
        <f t="shared" si="922"/>
        <v/>
      </c>
      <c r="AZ239" s="674"/>
      <c r="BA239" s="675"/>
      <c r="BB239" s="238">
        <f t="shared" si="925"/>
        <v>0</v>
      </c>
      <c r="BC239" s="235"/>
      <c r="BD239" s="408">
        <f t="shared" si="923"/>
        <v>0</v>
      </c>
      <c r="BE239" s="96"/>
      <c r="BF239" s="96"/>
      <c r="BG239" s="96"/>
      <c r="BH239" s="203"/>
    </row>
    <row r="240" spans="2:60" ht="16">
      <c r="B240" s="235"/>
      <c r="D240" s="236">
        <f t="shared" si="924"/>
        <v>14</v>
      </c>
      <c r="E240" s="595"/>
      <c r="F240" s="596"/>
      <c r="G240" s="597"/>
      <c r="H240" s="395"/>
      <c r="I240" s="324"/>
      <c r="J240" s="325"/>
      <c r="K240" s="323"/>
      <c r="L240" s="324"/>
      <c r="M240" s="325"/>
      <c r="N240" s="323"/>
      <c r="O240" s="324"/>
      <c r="P240" s="325"/>
      <c r="Q240" s="323"/>
      <c r="R240" s="324"/>
      <c r="S240" s="325"/>
      <c r="T240" s="323"/>
      <c r="U240" s="324"/>
      <c r="V240" s="325"/>
      <c r="W240" s="323"/>
      <c r="X240" s="324"/>
      <c r="Y240" s="325"/>
      <c r="Z240" s="323"/>
      <c r="AA240" s="324"/>
      <c r="AB240" s="325"/>
      <c r="AC240" s="323"/>
      <c r="AD240" s="324"/>
      <c r="AE240" s="325"/>
      <c r="AF240" s="323"/>
      <c r="AG240" s="324"/>
      <c r="AH240" s="325"/>
      <c r="AI240" s="323"/>
      <c r="AJ240" s="324"/>
      <c r="AK240" s="325"/>
      <c r="AL240" s="323"/>
      <c r="AM240" s="324"/>
      <c r="AN240" s="325"/>
      <c r="AO240" s="323"/>
      <c r="AP240" s="324"/>
      <c r="AQ240" s="325"/>
      <c r="AR240" s="323"/>
      <c r="AT240" s="358"/>
      <c r="AU240" s="358"/>
      <c r="AW240" s="203"/>
      <c r="AX240" s="96"/>
      <c r="AY240" s="673" t="str">
        <f t="shared" si="922"/>
        <v/>
      </c>
      <c r="AZ240" s="674"/>
      <c r="BA240" s="675"/>
      <c r="BB240" s="238">
        <f t="shared" si="925"/>
        <v>0</v>
      </c>
      <c r="BC240" s="235"/>
      <c r="BD240" s="408">
        <f t="shared" si="923"/>
        <v>0</v>
      </c>
      <c r="BE240" s="96"/>
      <c r="BF240" s="96"/>
      <c r="BG240" s="96"/>
      <c r="BH240" s="203"/>
    </row>
    <row r="241" spans="2:60" ht="16">
      <c r="B241" s="235"/>
      <c r="D241" s="236">
        <f t="shared" si="924"/>
        <v>15</v>
      </c>
      <c r="E241" s="595"/>
      <c r="F241" s="596"/>
      <c r="G241" s="597"/>
      <c r="H241" s="395"/>
      <c r="I241" s="324"/>
      <c r="J241" s="325"/>
      <c r="K241" s="323"/>
      <c r="L241" s="324"/>
      <c r="M241" s="325"/>
      <c r="N241" s="323"/>
      <c r="O241" s="324"/>
      <c r="P241" s="325"/>
      <c r="Q241" s="323"/>
      <c r="R241" s="324"/>
      <c r="S241" s="325"/>
      <c r="T241" s="323"/>
      <c r="U241" s="324"/>
      <c r="V241" s="325"/>
      <c r="W241" s="323"/>
      <c r="X241" s="324"/>
      <c r="Y241" s="325"/>
      <c r="Z241" s="323"/>
      <c r="AA241" s="324"/>
      <c r="AB241" s="325"/>
      <c r="AC241" s="323"/>
      <c r="AD241" s="324"/>
      <c r="AE241" s="325"/>
      <c r="AF241" s="323"/>
      <c r="AG241" s="324"/>
      <c r="AH241" s="325"/>
      <c r="AI241" s="323"/>
      <c r="AJ241" s="324"/>
      <c r="AK241" s="325"/>
      <c r="AL241" s="323"/>
      <c r="AM241" s="324"/>
      <c r="AN241" s="325"/>
      <c r="AO241" s="323"/>
      <c r="AP241" s="324"/>
      <c r="AQ241" s="325"/>
      <c r="AR241" s="323"/>
      <c r="AT241" s="358"/>
      <c r="AU241" s="358"/>
      <c r="AW241" s="203"/>
      <c r="AX241" s="96"/>
      <c r="AY241" s="673" t="str">
        <f t="shared" si="922"/>
        <v/>
      </c>
      <c r="AZ241" s="674"/>
      <c r="BA241" s="675"/>
      <c r="BB241" s="238">
        <f t="shared" si="925"/>
        <v>0</v>
      </c>
      <c r="BC241" s="235"/>
      <c r="BD241" s="408">
        <f t="shared" si="923"/>
        <v>0</v>
      </c>
      <c r="BE241" s="96"/>
      <c r="BF241" s="96"/>
      <c r="BG241" s="96"/>
      <c r="BH241" s="203"/>
    </row>
    <row r="242" spans="2:60" ht="16">
      <c r="B242" s="235"/>
      <c r="D242" s="236">
        <f t="shared" si="924"/>
        <v>16</v>
      </c>
      <c r="E242" s="595"/>
      <c r="F242" s="596"/>
      <c r="G242" s="597"/>
      <c r="H242" s="395"/>
      <c r="I242" s="324"/>
      <c r="J242" s="325"/>
      <c r="K242" s="323"/>
      <c r="L242" s="324"/>
      <c r="M242" s="325"/>
      <c r="N242" s="323"/>
      <c r="O242" s="324"/>
      <c r="P242" s="325"/>
      <c r="Q242" s="323"/>
      <c r="R242" s="324"/>
      <c r="S242" s="325"/>
      <c r="T242" s="323"/>
      <c r="U242" s="324"/>
      <c r="V242" s="325"/>
      <c r="W242" s="323"/>
      <c r="X242" s="324"/>
      <c r="Y242" s="325"/>
      <c r="Z242" s="323"/>
      <c r="AA242" s="324"/>
      <c r="AB242" s="325"/>
      <c r="AC242" s="323"/>
      <c r="AD242" s="324"/>
      <c r="AE242" s="325"/>
      <c r="AF242" s="323"/>
      <c r="AG242" s="324"/>
      <c r="AH242" s="325"/>
      <c r="AI242" s="323"/>
      <c r="AJ242" s="324"/>
      <c r="AK242" s="325"/>
      <c r="AL242" s="323"/>
      <c r="AM242" s="324"/>
      <c r="AN242" s="325"/>
      <c r="AO242" s="323"/>
      <c r="AP242" s="324"/>
      <c r="AQ242" s="325"/>
      <c r="AR242" s="323"/>
      <c r="AT242" s="358"/>
      <c r="AU242" s="358"/>
      <c r="AW242" s="203"/>
      <c r="AX242" s="96"/>
      <c r="AY242" s="673" t="str">
        <f t="shared" si="922"/>
        <v/>
      </c>
      <c r="AZ242" s="674"/>
      <c r="BA242" s="675"/>
      <c r="BB242" s="238">
        <f t="shared" si="925"/>
        <v>0</v>
      </c>
      <c r="BC242" s="235"/>
      <c r="BD242" s="408">
        <f t="shared" si="923"/>
        <v>0</v>
      </c>
      <c r="BE242" s="96"/>
      <c r="BF242" s="96"/>
      <c r="BG242" s="96"/>
      <c r="BH242" s="203"/>
    </row>
    <row r="243" spans="2:60" ht="16">
      <c r="B243" s="235"/>
      <c r="D243" s="236">
        <f t="shared" si="924"/>
        <v>17</v>
      </c>
      <c r="E243" s="595"/>
      <c r="F243" s="596"/>
      <c r="G243" s="597"/>
      <c r="H243" s="395"/>
      <c r="I243" s="324"/>
      <c r="J243" s="325"/>
      <c r="K243" s="323"/>
      <c r="L243" s="324"/>
      <c r="M243" s="325"/>
      <c r="N243" s="323"/>
      <c r="O243" s="324"/>
      <c r="P243" s="325"/>
      <c r="Q243" s="323"/>
      <c r="R243" s="324"/>
      <c r="S243" s="325"/>
      <c r="T243" s="323"/>
      <c r="U243" s="324"/>
      <c r="V243" s="325"/>
      <c r="W243" s="323"/>
      <c r="X243" s="324"/>
      <c r="Y243" s="325"/>
      <c r="Z243" s="323"/>
      <c r="AA243" s="324"/>
      <c r="AB243" s="325"/>
      <c r="AC243" s="323"/>
      <c r="AD243" s="324"/>
      <c r="AE243" s="325"/>
      <c r="AF243" s="323"/>
      <c r="AG243" s="324"/>
      <c r="AH243" s="325"/>
      <c r="AI243" s="323"/>
      <c r="AJ243" s="324"/>
      <c r="AK243" s="325"/>
      <c r="AL243" s="323"/>
      <c r="AM243" s="324"/>
      <c r="AN243" s="325"/>
      <c r="AO243" s="323"/>
      <c r="AP243" s="324"/>
      <c r="AQ243" s="325"/>
      <c r="AR243" s="323"/>
      <c r="AT243" s="358"/>
      <c r="AU243" s="358"/>
      <c r="AW243" s="203"/>
      <c r="AX243" s="96"/>
      <c r="AY243" s="673" t="str">
        <f t="shared" si="922"/>
        <v/>
      </c>
      <c r="AZ243" s="674"/>
      <c r="BA243" s="675"/>
      <c r="BB243" s="238">
        <f t="shared" si="925"/>
        <v>0</v>
      </c>
      <c r="BC243" s="235"/>
      <c r="BD243" s="408">
        <f t="shared" si="923"/>
        <v>0</v>
      </c>
      <c r="BE243" s="96"/>
      <c r="BF243" s="96"/>
      <c r="BG243" s="96"/>
      <c r="BH243" s="203"/>
    </row>
    <row r="244" spans="2:60" ht="16">
      <c r="B244" s="235"/>
      <c r="D244" s="236">
        <f t="shared" si="924"/>
        <v>18</v>
      </c>
      <c r="E244" s="595"/>
      <c r="F244" s="596"/>
      <c r="G244" s="597"/>
      <c r="H244" s="395"/>
      <c r="I244" s="324"/>
      <c r="J244" s="325"/>
      <c r="K244" s="323"/>
      <c r="L244" s="324"/>
      <c r="M244" s="325"/>
      <c r="N244" s="323"/>
      <c r="O244" s="324"/>
      <c r="P244" s="325"/>
      <c r="Q244" s="323"/>
      <c r="R244" s="324"/>
      <c r="S244" s="325"/>
      <c r="T244" s="323"/>
      <c r="U244" s="324"/>
      <c r="V244" s="325"/>
      <c r="W244" s="323"/>
      <c r="X244" s="324"/>
      <c r="Y244" s="325"/>
      <c r="Z244" s="323"/>
      <c r="AA244" s="324"/>
      <c r="AB244" s="325"/>
      <c r="AC244" s="323"/>
      <c r="AD244" s="324"/>
      <c r="AE244" s="325"/>
      <c r="AF244" s="323"/>
      <c r="AG244" s="324"/>
      <c r="AH244" s="325"/>
      <c r="AI244" s="323"/>
      <c r="AJ244" s="324"/>
      <c r="AK244" s="325"/>
      <c r="AL244" s="323"/>
      <c r="AM244" s="324"/>
      <c r="AN244" s="325"/>
      <c r="AO244" s="323"/>
      <c r="AP244" s="324"/>
      <c r="AQ244" s="325"/>
      <c r="AR244" s="323"/>
      <c r="AT244" s="358"/>
      <c r="AU244" s="358"/>
      <c r="AW244" s="203"/>
      <c r="AX244" s="96"/>
      <c r="AY244" s="673" t="str">
        <f t="shared" si="922"/>
        <v/>
      </c>
      <c r="AZ244" s="674"/>
      <c r="BA244" s="675"/>
      <c r="BB244" s="238">
        <f t="shared" si="925"/>
        <v>0</v>
      </c>
      <c r="BC244" s="235"/>
      <c r="BD244" s="408">
        <f t="shared" si="923"/>
        <v>0</v>
      </c>
      <c r="BE244" s="96"/>
      <c r="BF244" s="96"/>
      <c r="BG244" s="96"/>
      <c r="BH244" s="203"/>
    </row>
    <row r="245" spans="2:60" ht="16">
      <c r="B245" s="235"/>
      <c r="D245" s="236">
        <f t="shared" si="924"/>
        <v>19</v>
      </c>
      <c r="E245" s="595"/>
      <c r="F245" s="596"/>
      <c r="G245" s="597"/>
      <c r="H245" s="395"/>
      <c r="I245" s="324"/>
      <c r="J245" s="325"/>
      <c r="K245" s="323"/>
      <c r="L245" s="324"/>
      <c r="M245" s="325"/>
      <c r="N245" s="323"/>
      <c r="O245" s="324"/>
      <c r="P245" s="325"/>
      <c r="Q245" s="323"/>
      <c r="R245" s="324"/>
      <c r="S245" s="325"/>
      <c r="T245" s="323"/>
      <c r="U245" s="324"/>
      <c r="V245" s="325"/>
      <c r="W245" s="323"/>
      <c r="X245" s="324"/>
      <c r="Y245" s="325"/>
      <c r="Z245" s="323"/>
      <c r="AA245" s="324"/>
      <c r="AB245" s="325"/>
      <c r="AC245" s="323"/>
      <c r="AD245" s="324"/>
      <c r="AE245" s="325"/>
      <c r="AF245" s="323"/>
      <c r="AG245" s="324"/>
      <c r="AH245" s="325"/>
      <c r="AI245" s="323"/>
      <c r="AJ245" s="324"/>
      <c r="AK245" s="325"/>
      <c r="AL245" s="323"/>
      <c r="AM245" s="324"/>
      <c r="AN245" s="325"/>
      <c r="AO245" s="323"/>
      <c r="AP245" s="324"/>
      <c r="AQ245" s="325"/>
      <c r="AR245" s="323"/>
      <c r="AT245" s="358"/>
      <c r="AU245" s="358"/>
      <c r="AW245" s="203"/>
      <c r="AX245" s="96"/>
      <c r="AY245" s="673" t="str">
        <f t="shared" si="922"/>
        <v/>
      </c>
      <c r="AZ245" s="674"/>
      <c r="BA245" s="675"/>
      <c r="BB245" s="238">
        <f t="shared" si="925"/>
        <v>0</v>
      </c>
      <c r="BC245" s="235"/>
      <c r="BD245" s="408">
        <f t="shared" si="923"/>
        <v>0</v>
      </c>
      <c r="BE245" s="96"/>
      <c r="BF245" s="96"/>
      <c r="BG245" s="96"/>
      <c r="BH245" s="203"/>
    </row>
    <row r="246" spans="2:60" ht="16">
      <c r="B246" s="235"/>
      <c r="D246" s="236">
        <f t="shared" si="924"/>
        <v>20</v>
      </c>
      <c r="E246" s="595"/>
      <c r="F246" s="596"/>
      <c r="G246" s="597"/>
      <c r="H246" s="395"/>
      <c r="I246" s="324"/>
      <c r="J246" s="325"/>
      <c r="K246" s="323"/>
      <c r="L246" s="324"/>
      <c r="M246" s="325"/>
      <c r="N246" s="323"/>
      <c r="O246" s="324"/>
      <c r="P246" s="325"/>
      <c r="Q246" s="323"/>
      <c r="R246" s="324"/>
      <c r="S246" s="325"/>
      <c r="T246" s="323"/>
      <c r="U246" s="324"/>
      <c r="V246" s="325"/>
      <c r="W246" s="323"/>
      <c r="X246" s="324"/>
      <c r="Y246" s="325"/>
      <c r="Z246" s="323"/>
      <c r="AA246" s="324"/>
      <c r="AB246" s="325"/>
      <c r="AC246" s="323"/>
      <c r="AD246" s="324"/>
      <c r="AE246" s="325"/>
      <c r="AF246" s="323"/>
      <c r="AG246" s="324"/>
      <c r="AH246" s="325"/>
      <c r="AI246" s="323"/>
      <c r="AJ246" s="324"/>
      <c r="AK246" s="325"/>
      <c r="AL246" s="323"/>
      <c r="AM246" s="324"/>
      <c r="AN246" s="325"/>
      <c r="AO246" s="323"/>
      <c r="AP246" s="324"/>
      <c r="AQ246" s="325"/>
      <c r="AR246" s="323"/>
      <c r="AT246" s="358"/>
      <c r="AU246" s="358"/>
      <c r="AW246" s="203"/>
      <c r="AX246" s="96"/>
      <c r="AY246" s="673" t="str">
        <f t="shared" si="922"/>
        <v/>
      </c>
      <c r="AZ246" s="674"/>
      <c r="BA246" s="675"/>
      <c r="BB246" s="238">
        <f t="shared" si="925"/>
        <v>0</v>
      </c>
      <c r="BC246" s="235"/>
      <c r="BD246" s="408">
        <f t="shared" si="923"/>
        <v>0</v>
      </c>
      <c r="BE246" s="96"/>
      <c r="BF246" s="96"/>
      <c r="BG246" s="96"/>
      <c r="BH246" s="203"/>
    </row>
    <row r="247" spans="2:60" ht="16">
      <c r="B247" s="235"/>
      <c r="D247" s="236">
        <f t="shared" si="924"/>
        <v>21</v>
      </c>
      <c r="E247" s="595" t="s">
        <v>193</v>
      </c>
      <c r="F247" s="596"/>
      <c r="G247" s="597"/>
      <c r="H247" s="395"/>
      <c r="I247" s="324"/>
      <c r="J247" s="325"/>
      <c r="K247" s="323"/>
      <c r="L247" s="324"/>
      <c r="M247" s="325"/>
      <c r="N247" s="323"/>
      <c r="O247" s="324"/>
      <c r="P247" s="325"/>
      <c r="Q247" s="323"/>
      <c r="R247" s="324"/>
      <c r="S247" s="325"/>
      <c r="T247" s="323"/>
      <c r="U247" s="324"/>
      <c r="V247" s="325"/>
      <c r="W247" s="323"/>
      <c r="X247" s="324"/>
      <c r="Y247" s="325"/>
      <c r="Z247" s="323"/>
      <c r="AA247" s="324"/>
      <c r="AB247" s="325"/>
      <c r="AC247" s="323"/>
      <c r="AD247" s="324"/>
      <c r="AE247" s="325"/>
      <c r="AF247" s="323"/>
      <c r="AG247" s="324"/>
      <c r="AH247" s="325"/>
      <c r="AI247" s="323"/>
      <c r="AJ247" s="324"/>
      <c r="AK247" s="325"/>
      <c r="AL247" s="323"/>
      <c r="AM247" s="324"/>
      <c r="AN247" s="325"/>
      <c r="AO247" s="323"/>
      <c r="AP247" s="324"/>
      <c r="AQ247" s="325"/>
      <c r="AR247" s="323"/>
      <c r="AT247" s="358"/>
      <c r="AU247" s="358"/>
      <c r="AW247" s="203"/>
      <c r="AX247" s="96"/>
      <c r="AY247" s="673" t="str">
        <f t="shared" si="922"/>
        <v>Autre dépense régulière</v>
      </c>
      <c r="AZ247" s="674"/>
      <c r="BA247" s="675"/>
      <c r="BB247" s="238">
        <f t="shared" si="925"/>
        <v>0</v>
      </c>
      <c r="BC247" s="235"/>
      <c r="BD247" s="408">
        <f t="shared" si="923"/>
        <v>0</v>
      </c>
      <c r="BE247" s="96"/>
      <c r="BF247" s="96"/>
      <c r="BG247" s="96"/>
      <c r="BH247" s="203"/>
    </row>
    <row r="248" spans="2:60" ht="14">
      <c r="B248" s="235"/>
      <c r="D248" s="236"/>
      <c r="E248" s="598" t="s">
        <v>220</v>
      </c>
      <c r="F248" s="599"/>
      <c r="G248" s="600"/>
      <c r="H248" s="395"/>
      <c r="I248" s="565">
        <f>SUM(MAX(I227,J227),MAX(I228,J228),MAX(I229,J229),MAX(I230,J230),MAX(I231,J231),MAX(I232,J232),MAX(I233,J233),MAX(I234,J234),MAX(I235,J235),MAX(I236,J236),MAX(I237,J237),MAX(I238,J238),MAX(I239,J239),MAX(I240,J240),MAX(I241,J241),MAX(I242,J242),MAX(I243,J243),MAX(I244,J244),MAX(I245,J245),MAX(I246,J246),MAX(I247,J247))</f>
        <v>1031.3433333333332</v>
      </c>
      <c r="J248" s="566"/>
      <c r="K248" s="323"/>
      <c r="L248" s="565">
        <f t="shared" ref="L248" si="926">SUM(MAX(L227,M227),MAX(L228,M228),MAX(L229,M229),MAX(L230,M230),MAX(L231,M231),MAX(L232,M232),MAX(L233,M233),MAX(L234,M234),MAX(L235,M235),MAX(L236,M236),MAX(L237,M237),MAX(L238,M238),MAX(L239,M239),MAX(L240,M240),MAX(L241,M241),MAX(L242,M242),MAX(L243,M243),MAX(L244,M244),MAX(L245,M245),MAX(L246,M246),MAX(L247,M247))</f>
        <v>1031.3433333333332</v>
      </c>
      <c r="M248" s="566"/>
      <c r="N248" s="323"/>
      <c r="O248" s="565">
        <f t="shared" ref="O248" si="927">SUM(MAX(O227,P227),MAX(O228,P228),MAX(O229,P229),MAX(O230,P230),MAX(O231,P231),MAX(O232,P232),MAX(O233,P233),MAX(O234,P234),MAX(O235,P235),MAX(O236,P236),MAX(O237,P237),MAX(O238,P238),MAX(O239,P239),MAX(O240,P240),MAX(O241,P241),MAX(O242,P242),MAX(O243,P243),MAX(O244,P244),MAX(O245,P245),MAX(O246,P246),MAX(O247,P247))</f>
        <v>1041.3433333333332</v>
      </c>
      <c r="P248" s="566"/>
      <c r="Q248" s="323"/>
      <c r="R248" s="565">
        <f t="shared" ref="R248" si="928">SUM(MAX(R227,S227),MAX(R228,S228),MAX(R229,S229),MAX(R230,S230),MAX(R231,S231),MAX(R232,S232),MAX(R233,S233),MAX(R234,S234),MAX(R235,S235),MAX(R236,S236),MAX(R237,S237),MAX(R238,S238),MAX(R239,S239),MAX(R240,S240),MAX(R241,S241),MAX(R242,S242),MAX(R243,S243),MAX(R244,S244),MAX(R245,S245),MAX(R246,S246),MAX(R247,S247))</f>
        <v>1035.51</v>
      </c>
      <c r="S248" s="566"/>
      <c r="T248" s="323"/>
      <c r="U248" s="565">
        <f t="shared" ref="U248" si="929">SUM(MAX(U227,V227),MAX(U228,V228),MAX(U229,V229),MAX(U230,V230),MAX(U231,V231),MAX(U232,V232),MAX(U233,V233),MAX(U234,V234),MAX(U235,V235),MAX(U236,V236),MAX(U237,V237),MAX(U238,V238),MAX(U239,V239),MAX(U240,V240),MAX(U241,V241),MAX(U242,V242),MAX(U243,V243),MAX(U244,V244),MAX(U245,V245),MAX(U246,V246),MAX(U247,V247))</f>
        <v>350</v>
      </c>
      <c r="V248" s="566"/>
      <c r="W248" s="323"/>
      <c r="X248" s="565">
        <f t="shared" ref="X248" si="930">SUM(MAX(X227,Y227),MAX(X228,Y228),MAX(X229,Y229),MAX(X230,Y230),MAX(X231,Y231),MAX(X232,Y232),MAX(X233,Y233),MAX(X234,Y234),MAX(X235,Y235),MAX(X236,Y236),MAX(X237,Y237),MAX(X238,Y238),MAX(X239,Y239),MAX(X240,Y240),MAX(X241,Y241),MAX(X242,Y242),MAX(X243,Y243),MAX(X244,Y244),MAX(X245,Y245),MAX(X246,Y246),MAX(X247,Y247))</f>
        <v>350</v>
      </c>
      <c r="Y248" s="566"/>
      <c r="Z248" s="323"/>
      <c r="AA248" s="565">
        <f t="shared" ref="AA248" si="931">SUM(MAX(AA227,AB227),MAX(AA228,AB228),MAX(AA229,AB229),MAX(AA230,AB230),MAX(AA231,AB231),MAX(AA232,AB232),MAX(AA233,AB233),MAX(AA234,AB234),MAX(AA235,AB235),MAX(AA236,AB236),MAX(AA237,AB237),MAX(AA238,AB238),MAX(AA239,AB239),MAX(AA240,AB240),MAX(AA241,AB241),MAX(AA242,AB242),MAX(AA243,AB243),MAX(AA244,AB244),MAX(AA245,AB245),MAX(AA246,AB246),MAX(AA247,AB247))</f>
        <v>350</v>
      </c>
      <c r="AB248" s="566"/>
      <c r="AC248" s="323"/>
      <c r="AD248" s="565">
        <f t="shared" ref="AD248" si="932">SUM(MAX(AD227,AE227),MAX(AD228,AE228),MAX(AD229,AE229),MAX(AD230,AE230),MAX(AD231,AE231),MAX(AD232,AE232),MAX(AD233,AE233),MAX(AD234,AE234),MAX(AD235,AE235),MAX(AD236,AE236),MAX(AD237,AE237),MAX(AD238,AE238),MAX(AD239,AE239),MAX(AD240,AE240),MAX(AD241,AE241),MAX(AD242,AE242),MAX(AD243,AE243),MAX(AD244,AE244),MAX(AD245,AE245),MAX(AD246,AE246),MAX(AD247,AE247))</f>
        <v>350</v>
      </c>
      <c r="AE248" s="566"/>
      <c r="AF248" s="323"/>
      <c r="AG248" s="565">
        <f t="shared" ref="AG248" si="933">SUM(MAX(AG227,AH227),MAX(AG228,AH228),MAX(AG229,AH229),MAX(AG230,AH230),MAX(AG231,AH231),MAX(AG232,AH232),MAX(AG233,AH233),MAX(AG234,AH234),MAX(AG235,AH235),MAX(AG236,AH236),MAX(AG237,AH237),MAX(AG238,AH238),MAX(AG239,AH239),MAX(AG240,AH240),MAX(AG241,AH241),MAX(AG242,AH242),MAX(AG243,AH243),MAX(AG244,AH244),MAX(AG245,AH245),MAX(AG246,AH246),MAX(AG247,AH247))</f>
        <v>350</v>
      </c>
      <c r="AH248" s="566"/>
      <c r="AI248" s="323"/>
      <c r="AJ248" s="565">
        <f t="shared" ref="AJ248" si="934">SUM(MAX(AJ227,AK227),MAX(AJ228,AK228),MAX(AJ229,AK229),MAX(AJ230,AK230),MAX(AJ231,AK231),MAX(AJ232,AK232),MAX(AJ233,AK233),MAX(AJ234,AK234),MAX(AJ235,AK235),MAX(AJ236,AK236),MAX(AJ237,AK237),MAX(AJ238,AK238),MAX(AJ239,AK239),MAX(AJ240,AK240),MAX(AJ241,AK241),MAX(AJ242,AK242),MAX(AJ243,AK243),MAX(AJ244,AK244),MAX(AJ245,AK245),MAX(AJ246,AK246),MAX(AJ247,AK247))</f>
        <v>350</v>
      </c>
      <c r="AK248" s="566"/>
      <c r="AL248" s="323"/>
      <c r="AM248" s="565">
        <f t="shared" ref="AM248" si="935">SUM(MAX(AM227,AN227),MAX(AM228,AN228),MAX(AM229,AN229),MAX(AM230,AN230),MAX(AM231,AN231),MAX(AM232,AN232),MAX(AM233,AN233),MAX(AM234,AN234),MAX(AM235,AN235),MAX(AM236,AN236),MAX(AM237,AN237),MAX(AM238,AN238),MAX(AM239,AN239),MAX(AM240,AN240),MAX(AM241,AN241),MAX(AM242,AN242),MAX(AM243,AN243),MAX(AM244,AN244),MAX(AM245,AN245),MAX(AM246,AN246),MAX(AM247,AN247))</f>
        <v>350</v>
      </c>
      <c r="AN248" s="566"/>
      <c r="AO248" s="323"/>
      <c r="AP248" s="565">
        <f t="shared" ref="AP248" si="936">SUM(MAX(AP227,AQ227),MAX(AP228,AQ228),MAX(AP229,AQ229),MAX(AP230,AQ230),MAX(AP231,AQ231),MAX(AP232,AQ232),MAX(AP233,AQ233),MAX(AP234,AQ234),MAX(AP235,AQ235),MAX(AP236,AQ236),MAX(AP237,AQ237),MAX(AP238,AQ238),MAX(AP239,AQ239),MAX(AP240,AQ240),MAX(AP241,AQ241),MAX(AP242,AQ242),MAX(AP243,AQ243),MAX(AP244,AQ244),MAX(AP245,AQ245),MAX(AP246,AQ246),MAX(AP247,AQ247))</f>
        <v>350</v>
      </c>
      <c r="AQ248" s="566"/>
      <c r="AR248" s="323"/>
      <c r="AT248" s="358"/>
      <c r="AU248" s="358"/>
      <c r="AW248" s="203"/>
      <c r="AX248" s="96"/>
      <c r="AY248" s="598" t="s">
        <v>220</v>
      </c>
      <c r="AZ248" s="599"/>
      <c r="BA248" s="600"/>
      <c r="BB248" s="239">
        <f>SUM(MAX(I248,J248),MAX(L248,M248),MAX(O248,P248),MAX(R248,S248),MAX(U248,V248),MAX(X248,Y248),MAX(AA248,AB248),MAX(AD248,AE248),MAX(AG248,AH248),MAX(AJ248,AK248),MAX(AM248,AN248),MAX(AP248,AQ248))</f>
        <v>6939.54</v>
      </c>
      <c r="BC248" s="235"/>
      <c r="BD248" s="408">
        <f t="shared" si="923"/>
        <v>578.29499999999996</v>
      </c>
      <c r="BE248" s="96"/>
      <c r="BF248" s="96"/>
      <c r="BG248" s="96"/>
      <c r="BH248" s="203"/>
    </row>
    <row r="249" spans="2:60" ht="16">
      <c r="B249" s="235"/>
      <c r="D249" s="236">
        <v>22</v>
      </c>
      <c r="E249" s="595" t="s">
        <v>194</v>
      </c>
      <c r="F249" s="596"/>
      <c r="G249" s="597"/>
      <c r="H249" s="395"/>
      <c r="I249" s="324"/>
      <c r="J249" s="325"/>
      <c r="K249" s="323"/>
      <c r="L249" s="324"/>
      <c r="M249" s="325"/>
      <c r="N249" s="323"/>
      <c r="O249" s="324"/>
      <c r="P249" s="325"/>
      <c r="Q249" s="323"/>
      <c r="R249" s="324"/>
      <c r="S249" s="325"/>
      <c r="T249" s="323"/>
      <c r="U249" s="324"/>
      <c r="V249" s="325"/>
      <c r="W249" s="323"/>
      <c r="X249" s="324"/>
      <c r="Y249" s="325"/>
      <c r="Z249" s="323"/>
      <c r="AA249" s="324"/>
      <c r="AB249" s="325"/>
      <c r="AC249" s="323"/>
      <c r="AD249" s="324"/>
      <c r="AE249" s="325"/>
      <c r="AF249" s="323"/>
      <c r="AG249" s="324"/>
      <c r="AH249" s="325"/>
      <c r="AI249" s="323"/>
      <c r="AJ249" s="324"/>
      <c r="AK249" s="325"/>
      <c r="AL249" s="323"/>
      <c r="AM249" s="324"/>
      <c r="AN249" s="325"/>
      <c r="AO249" s="323"/>
      <c r="AP249" s="324"/>
      <c r="AQ249" s="325"/>
      <c r="AR249" s="323"/>
      <c r="AT249" s="358"/>
      <c r="AU249" s="358"/>
      <c r="AW249" s="203"/>
      <c r="AX249" s="96"/>
      <c r="AY249" s="673" t="str">
        <f t="shared" ref="AY249:AY260" si="937">IF(E249="","",E249)</f>
        <v>Autre dépense variable</v>
      </c>
      <c r="AZ249" s="674"/>
      <c r="BA249" s="675"/>
      <c r="BB249" s="238">
        <f t="shared" ref="BB249:BB260" si="938">SUM(MAX(I249,J249),MAX(L249,M249),MAX(O249,P249),MAX(R249,S249),MAX(U249,V249),MAX(X249,Y249),MAX(AA249,AB249),MAX(AD249,AE249),MAX(AG249,AH249),MAX(AJ249,AK249),MAX(AM249,AN249),MAX(AP249,AQ249))</f>
        <v>0</v>
      </c>
      <c r="BC249" s="235"/>
      <c r="BD249" s="408">
        <f t="shared" si="923"/>
        <v>0</v>
      </c>
      <c r="BE249" s="96"/>
      <c r="BF249" s="96"/>
      <c r="BG249" s="96"/>
      <c r="BH249" s="203"/>
    </row>
    <row r="250" spans="2:60" ht="16">
      <c r="B250" s="235"/>
      <c r="D250" s="236">
        <f t="shared" si="924"/>
        <v>23</v>
      </c>
      <c r="E250" s="595" t="s">
        <v>194</v>
      </c>
      <c r="F250" s="596"/>
      <c r="G250" s="597"/>
      <c r="H250" s="395"/>
      <c r="I250" s="324"/>
      <c r="J250" s="325"/>
      <c r="K250" s="323"/>
      <c r="L250" s="324"/>
      <c r="M250" s="325"/>
      <c r="N250" s="323"/>
      <c r="O250" s="324"/>
      <c r="P250" s="325"/>
      <c r="Q250" s="323"/>
      <c r="R250" s="324"/>
      <c r="S250" s="325"/>
      <c r="T250" s="323"/>
      <c r="U250" s="324"/>
      <c r="V250" s="325"/>
      <c r="W250" s="323"/>
      <c r="X250" s="324"/>
      <c r="Y250" s="325"/>
      <c r="Z250" s="323"/>
      <c r="AA250" s="324"/>
      <c r="AB250" s="325"/>
      <c r="AC250" s="323"/>
      <c r="AD250" s="324"/>
      <c r="AE250" s="325"/>
      <c r="AF250" s="323"/>
      <c r="AG250" s="324"/>
      <c r="AH250" s="325"/>
      <c r="AI250" s="323"/>
      <c r="AJ250" s="324"/>
      <c r="AK250" s="325"/>
      <c r="AL250" s="323"/>
      <c r="AM250" s="324"/>
      <c r="AN250" s="325"/>
      <c r="AO250" s="323"/>
      <c r="AP250" s="324"/>
      <c r="AQ250" s="325"/>
      <c r="AR250" s="323"/>
      <c r="AT250" s="358"/>
      <c r="AU250" s="358"/>
      <c r="AW250" s="203"/>
      <c r="AX250" s="96"/>
      <c r="AY250" s="673" t="str">
        <f t="shared" si="937"/>
        <v>Autre dépense variable</v>
      </c>
      <c r="AZ250" s="674"/>
      <c r="BA250" s="675"/>
      <c r="BB250" s="238">
        <f t="shared" si="938"/>
        <v>0</v>
      </c>
      <c r="BC250" s="235"/>
      <c r="BD250" s="408">
        <f t="shared" si="923"/>
        <v>0</v>
      </c>
      <c r="BE250" s="96"/>
      <c r="BF250" s="96"/>
      <c r="BG250" s="96"/>
      <c r="BH250" s="203"/>
    </row>
    <row r="251" spans="2:60" ht="16">
      <c r="B251" s="235"/>
      <c r="D251" s="236">
        <f t="shared" si="924"/>
        <v>24</v>
      </c>
      <c r="E251" s="595" t="s">
        <v>194</v>
      </c>
      <c r="F251" s="596"/>
      <c r="G251" s="597"/>
      <c r="H251" s="395"/>
      <c r="I251" s="324"/>
      <c r="J251" s="325"/>
      <c r="K251" s="323"/>
      <c r="L251" s="324"/>
      <c r="M251" s="325"/>
      <c r="N251" s="323"/>
      <c r="O251" s="324"/>
      <c r="P251" s="325"/>
      <c r="Q251" s="323"/>
      <c r="R251" s="324"/>
      <c r="S251" s="325"/>
      <c r="T251" s="323"/>
      <c r="U251" s="324"/>
      <c r="V251" s="325"/>
      <c r="W251" s="323"/>
      <c r="X251" s="324"/>
      <c r="Y251" s="325"/>
      <c r="Z251" s="323"/>
      <c r="AA251" s="324"/>
      <c r="AB251" s="325"/>
      <c r="AC251" s="323"/>
      <c r="AD251" s="324"/>
      <c r="AE251" s="325"/>
      <c r="AF251" s="323"/>
      <c r="AG251" s="324"/>
      <c r="AH251" s="325"/>
      <c r="AI251" s="323"/>
      <c r="AJ251" s="324"/>
      <c r="AK251" s="325"/>
      <c r="AL251" s="323"/>
      <c r="AM251" s="324"/>
      <c r="AN251" s="325"/>
      <c r="AO251" s="323"/>
      <c r="AP251" s="324"/>
      <c r="AQ251" s="325"/>
      <c r="AR251" s="323"/>
      <c r="AT251" s="358"/>
      <c r="AU251" s="358"/>
      <c r="AW251" s="203"/>
      <c r="AX251" s="96"/>
      <c r="AY251" s="673" t="str">
        <f t="shared" si="937"/>
        <v>Autre dépense variable</v>
      </c>
      <c r="AZ251" s="674"/>
      <c r="BA251" s="675"/>
      <c r="BB251" s="238">
        <f t="shared" si="938"/>
        <v>0</v>
      </c>
      <c r="BC251" s="235"/>
      <c r="BD251" s="408">
        <f t="shared" si="923"/>
        <v>0</v>
      </c>
      <c r="BE251" s="96"/>
      <c r="BF251" s="96"/>
      <c r="BG251" s="96"/>
      <c r="BH251" s="203"/>
    </row>
    <row r="252" spans="2:60" ht="16">
      <c r="B252" s="235"/>
      <c r="D252" s="236">
        <f t="shared" si="924"/>
        <v>25</v>
      </c>
      <c r="E252" s="595" t="s">
        <v>194</v>
      </c>
      <c r="F252" s="596"/>
      <c r="G252" s="597"/>
      <c r="H252" s="395"/>
      <c r="I252" s="324"/>
      <c r="J252" s="325"/>
      <c r="K252" s="323"/>
      <c r="L252" s="324"/>
      <c r="M252" s="325"/>
      <c r="N252" s="323"/>
      <c r="O252" s="324"/>
      <c r="P252" s="325"/>
      <c r="Q252" s="323"/>
      <c r="R252" s="324"/>
      <c r="S252" s="325"/>
      <c r="T252" s="323"/>
      <c r="U252" s="324"/>
      <c r="V252" s="325"/>
      <c r="W252" s="323"/>
      <c r="X252" s="324"/>
      <c r="Y252" s="325"/>
      <c r="Z252" s="323"/>
      <c r="AA252" s="324"/>
      <c r="AB252" s="325"/>
      <c r="AC252" s="323"/>
      <c r="AD252" s="324"/>
      <c r="AE252" s="325"/>
      <c r="AF252" s="323"/>
      <c r="AG252" s="324"/>
      <c r="AH252" s="325"/>
      <c r="AI252" s="323"/>
      <c r="AJ252" s="324"/>
      <c r="AK252" s="325"/>
      <c r="AL252" s="323"/>
      <c r="AM252" s="324"/>
      <c r="AN252" s="325"/>
      <c r="AO252" s="323"/>
      <c r="AP252" s="324"/>
      <c r="AQ252" s="325"/>
      <c r="AR252" s="323"/>
      <c r="AT252" s="358"/>
      <c r="AU252" s="358"/>
      <c r="AW252" s="203"/>
      <c r="AX252" s="96"/>
      <c r="AY252" s="673" t="str">
        <f t="shared" si="937"/>
        <v>Autre dépense variable</v>
      </c>
      <c r="AZ252" s="674"/>
      <c r="BA252" s="675"/>
      <c r="BB252" s="238">
        <f t="shared" si="938"/>
        <v>0</v>
      </c>
      <c r="BC252" s="235"/>
      <c r="BD252" s="408">
        <f t="shared" si="923"/>
        <v>0</v>
      </c>
      <c r="BE252" s="96"/>
      <c r="BF252" s="96"/>
      <c r="BG252" s="96"/>
      <c r="BH252" s="203"/>
    </row>
    <row r="253" spans="2:60" ht="16">
      <c r="B253" s="235"/>
      <c r="D253" s="236">
        <f t="shared" si="924"/>
        <v>26</v>
      </c>
      <c r="E253" s="595" t="s">
        <v>194</v>
      </c>
      <c r="F253" s="596"/>
      <c r="G253" s="597"/>
      <c r="H253" s="395"/>
      <c r="I253" s="324"/>
      <c r="J253" s="325"/>
      <c r="K253" s="323"/>
      <c r="L253" s="324"/>
      <c r="M253" s="325"/>
      <c r="N253" s="323"/>
      <c r="O253" s="324"/>
      <c r="P253" s="325"/>
      <c r="Q253" s="323"/>
      <c r="R253" s="324"/>
      <c r="S253" s="325"/>
      <c r="T253" s="323"/>
      <c r="U253" s="324"/>
      <c r="V253" s="325"/>
      <c r="W253" s="323"/>
      <c r="X253" s="324"/>
      <c r="Y253" s="325"/>
      <c r="Z253" s="323"/>
      <c r="AA253" s="324"/>
      <c r="AB253" s="325"/>
      <c r="AC253" s="323"/>
      <c r="AD253" s="324"/>
      <c r="AE253" s="325"/>
      <c r="AF253" s="323"/>
      <c r="AG253" s="324"/>
      <c r="AH253" s="325"/>
      <c r="AI253" s="323"/>
      <c r="AJ253" s="324"/>
      <c r="AK253" s="325"/>
      <c r="AL253" s="323"/>
      <c r="AM253" s="324"/>
      <c r="AN253" s="325"/>
      <c r="AO253" s="323"/>
      <c r="AP253" s="324"/>
      <c r="AQ253" s="325"/>
      <c r="AR253" s="323"/>
      <c r="AT253" s="358"/>
      <c r="AU253" s="358"/>
      <c r="AW253" s="203"/>
      <c r="AX253" s="96"/>
      <c r="AY253" s="673" t="str">
        <f t="shared" si="937"/>
        <v>Autre dépense variable</v>
      </c>
      <c r="AZ253" s="674"/>
      <c r="BA253" s="675"/>
      <c r="BB253" s="238">
        <f t="shared" si="938"/>
        <v>0</v>
      </c>
      <c r="BC253" s="235"/>
      <c r="BD253" s="408">
        <f t="shared" si="923"/>
        <v>0</v>
      </c>
      <c r="BE253" s="96"/>
      <c r="BF253" s="96"/>
      <c r="BG253" s="96"/>
      <c r="BH253" s="203"/>
    </row>
    <row r="254" spans="2:60" ht="16">
      <c r="B254" s="235"/>
      <c r="D254" s="236">
        <f t="shared" si="924"/>
        <v>27</v>
      </c>
      <c r="E254" s="595" t="s">
        <v>194</v>
      </c>
      <c r="F254" s="596"/>
      <c r="G254" s="597"/>
      <c r="H254" s="395"/>
      <c r="I254" s="324"/>
      <c r="J254" s="325"/>
      <c r="K254" s="323"/>
      <c r="L254" s="324"/>
      <c r="M254" s="325"/>
      <c r="N254" s="323"/>
      <c r="O254" s="324"/>
      <c r="P254" s="325"/>
      <c r="Q254" s="323"/>
      <c r="R254" s="324"/>
      <c r="S254" s="325"/>
      <c r="T254" s="323"/>
      <c r="U254" s="324"/>
      <c r="V254" s="325"/>
      <c r="W254" s="323"/>
      <c r="X254" s="324"/>
      <c r="Y254" s="325"/>
      <c r="Z254" s="323"/>
      <c r="AA254" s="324"/>
      <c r="AB254" s="325"/>
      <c r="AC254" s="323"/>
      <c r="AD254" s="324"/>
      <c r="AE254" s="325"/>
      <c r="AF254" s="323"/>
      <c r="AG254" s="324"/>
      <c r="AH254" s="325"/>
      <c r="AI254" s="323"/>
      <c r="AJ254" s="324"/>
      <c r="AK254" s="325"/>
      <c r="AL254" s="323"/>
      <c r="AM254" s="324"/>
      <c r="AN254" s="325"/>
      <c r="AO254" s="323"/>
      <c r="AP254" s="324"/>
      <c r="AQ254" s="325"/>
      <c r="AR254" s="323"/>
      <c r="AT254" s="358"/>
      <c r="AU254" s="358"/>
      <c r="AW254" s="203"/>
      <c r="AX254" s="96"/>
      <c r="AY254" s="673" t="str">
        <f t="shared" si="937"/>
        <v>Autre dépense variable</v>
      </c>
      <c r="AZ254" s="674"/>
      <c r="BA254" s="675"/>
      <c r="BB254" s="238">
        <f t="shared" si="938"/>
        <v>0</v>
      </c>
      <c r="BC254" s="235"/>
      <c r="BD254" s="408">
        <f t="shared" si="923"/>
        <v>0</v>
      </c>
      <c r="BE254" s="96"/>
      <c r="BF254" s="96"/>
      <c r="BG254" s="96"/>
      <c r="BH254" s="203"/>
    </row>
    <row r="255" spans="2:60" ht="16">
      <c r="B255" s="235"/>
      <c r="D255" s="236">
        <f t="shared" si="924"/>
        <v>28</v>
      </c>
      <c r="E255" s="595" t="s">
        <v>194</v>
      </c>
      <c r="F255" s="596"/>
      <c r="G255" s="597"/>
      <c r="H255" s="395"/>
      <c r="I255" s="324"/>
      <c r="J255" s="325"/>
      <c r="K255" s="323"/>
      <c r="L255" s="324"/>
      <c r="M255" s="325"/>
      <c r="N255" s="323"/>
      <c r="O255" s="324"/>
      <c r="P255" s="325"/>
      <c r="Q255" s="323"/>
      <c r="R255" s="324"/>
      <c r="S255" s="325"/>
      <c r="T255" s="323"/>
      <c r="U255" s="324"/>
      <c r="V255" s="325"/>
      <c r="W255" s="323"/>
      <c r="X255" s="324"/>
      <c r="Y255" s="325"/>
      <c r="Z255" s="323"/>
      <c r="AA255" s="324"/>
      <c r="AB255" s="325"/>
      <c r="AC255" s="323"/>
      <c r="AD255" s="324"/>
      <c r="AE255" s="325"/>
      <c r="AF255" s="323"/>
      <c r="AG255" s="324"/>
      <c r="AH255" s="325"/>
      <c r="AI255" s="323"/>
      <c r="AJ255" s="324"/>
      <c r="AK255" s="325"/>
      <c r="AL255" s="323"/>
      <c r="AM255" s="324"/>
      <c r="AN255" s="325"/>
      <c r="AO255" s="323"/>
      <c r="AP255" s="324"/>
      <c r="AQ255" s="325"/>
      <c r="AR255" s="323"/>
      <c r="AT255" s="358"/>
      <c r="AU255" s="358"/>
      <c r="AW255" s="203"/>
      <c r="AX255" s="96"/>
      <c r="AY255" s="673" t="str">
        <f t="shared" si="937"/>
        <v>Autre dépense variable</v>
      </c>
      <c r="AZ255" s="674"/>
      <c r="BA255" s="675"/>
      <c r="BB255" s="238">
        <f t="shared" si="938"/>
        <v>0</v>
      </c>
      <c r="BC255" s="235"/>
      <c r="BD255" s="408">
        <f t="shared" si="923"/>
        <v>0</v>
      </c>
      <c r="BE255" s="96"/>
      <c r="BF255" s="96"/>
      <c r="BG255" s="96"/>
      <c r="BH255" s="203"/>
    </row>
    <row r="256" spans="2:60" ht="16">
      <c r="B256" s="235"/>
      <c r="D256" s="236">
        <f t="shared" si="924"/>
        <v>29</v>
      </c>
      <c r="E256" s="595" t="s">
        <v>194</v>
      </c>
      <c r="F256" s="596"/>
      <c r="G256" s="597"/>
      <c r="H256" s="395"/>
      <c r="I256" s="324"/>
      <c r="J256" s="325"/>
      <c r="K256" s="323"/>
      <c r="L256" s="324"/>
      <c r="M256" s="325"/>
      <c r="N256" s="323"/>
      <c r="O256" s="324"/>
      <c r="P256" s="325"/>
      <c r="Q256" s="323"/>
      <c r="R256" s="324"/>
      <c r="S256" s="325"/>
      <c r="T256" s="323"/>
      <c r="U256" s="324"/>
      <c r="V256" s="325"/>
      <c r="W256" s="323"/>
      <c r="X256" s="324"/>
      <c r="Y256" s="325"/>
      <c r="Z256" s="323"/>
      <c r="AA256" s="324"/>
      <c r="AB256" s="325"/>
      <c r="AC256" s="323"/>
      <c r="AD256" s="324"/>
      <c r="AE256" s="325"/>
      <c r="AF256" s="323"/>
      <c r="AG256" s="324"/>
      <c r="AH256" s="325"/>
      <c r="AI256" s="323"/>
      <c r="AJ256" s="324"/>
      <c r="AK256" s="325"/>
      <c r="AL256" s="323"/>
      <c r="AM256" s="324"/>
      <c r="AN256" s="325"/>
      <c r="AO256" s="323"/>
      <c r="AP256" s="324"/>
      <c r="AQ256" s="325"/>
      <c r="AR256" s="323"/>
      <c r="AT256" s="358"/>
      <c r="AU256" s="358"/>
      <c r="AW256" s="203"/>
      <c r="AX256" s="96"/>
      <c r="AY256" s="673" t="str">
        <f t="shared" si="937"/>
        <v>Autre dépense variable</v>
      </c>
      <c r="AZ256" s="674"/>
      <c r="BA256" s="675"/>
      <c r="BB256" s="238">
        <f t="shared" si="938"/>
        <v>0</v>
      </c>
      <c r="BC256" s="235"/>
      <c r="BD256" s="408">
        <f t="shared" si="923"/>
        <v>0</v>
      </c>
      <c r="BE256" s="96"/>
      <c r="BF256" s="96"/>
      <c r="BG256" s="96"/>
      <c r="BH256" s="203"/>
    </row>
    <row r="257" spans="2:60" ht="16">
      <c r="B257" s="235"/>
      <c r="D257" s="236">
        <f t="shared" si="924"/>
        <v>30</v>
      </c>
      <c r="E257" s="595" t="s">
        <v>194</v>
      </c>
      <c r="F257" s="596"/>
      <c r="G257" s="597"/>
      <c r="H257" s="395"/>
      <c r="I257" s="324"/>
      <c r="J257" s="325"/>
      <c r="K257" s="323"/>
      <c r="L257" s="324"/>
      <c r="M257" s="325"/>
      <c r="N257" s="323"/>
      <c r="O257" s="324"/>
      <c r="P257" s="325"/>
      <c r="Q257" s="323"/>
      <c r="R257" s="324"/>
      <c r="S257" s="325"/>
      <c r="T257" s="323"/>
      <c r="U257" s="324"/>
      <c r="V257" s="325"/>
      <c r="W257" s="323"/>
      <c r="X257" s="324"/>
      <c r="Y257" s="325"/>
      <c r="Z257" s="323"/>
      <c r="AA257" s="324"/>
      <c r="AB257" s="325"/>
      <c r="AC257" s="323"/>
      <c r="AD257" s="324"/>
      <c r="AE257" s="325"/>
      <c r="AF257" s="323"/>
      <c r="AG257" s="324"/>
      <c r="AH257" s="325"/>
      <c r="AI257" s="323"/>
      <c r="AJ257" s="324"/>
      <c r="AK257" s="325"/>
      <c r="AL257" s="323"/>
      <c r="AM257" s="324"/>
      <c r="AN257" s="325"/>
      <c r="AO257" s="323"/>
      <c r="AP257" s="324"/>
      <c r="AQ257" s="325"/>
      <c r="AR257" s="323"/>
      <c r="AT257" s="358"/>
      <c r="AU257" s="358"/>
      <c r="AW257" s="203"/>
      <c r="AX257" s="96"/>
      <c r="AY257" s="673" t="str">
        <f t="shared" si="937"/>
        <v>Autre dépense variable</v>
      </c>
      <c r="AZ257" s="674"/>
      <c r="BA257" s="675"/>
      <c r="BB257" s="238">
        <f t="shared" si="938"/>
        <v>0</v>
      </c>
      <c r="BC257" s="235"/>
      <c r="BD257" s="408">
        <f t="shared" si="923"/>
        <v>0</v>
      </c>
      <c r="BE257" s="96"/>
      <c r="BF257" s="96"/>
      <c r="BG257" s="96"/>
      <c r="BH257" s="203"/>
    </row>
    <row r="258" spans="2:60" ht="16">
      <c r="B258" s="235"/>
      <c r="D258" s="236">
        <f t="shared" si="924"/>
        <v>31</v>
      </c>
      <c r="E258" s="595" t="s">
        <v>194</v>
      </c>
      <c r="F258" s="596"/>
      <c r="G258" s="597"/>
      <c r="H258" s="395"/>
      <c r="I258" s="324"/>
      <c r="J258" s="325"/>
      <c r="K258" s="323"/>
      <c r="L258" s="324"/>
      <c r="M258" s="325"/>
      <c r="N258" s="323"/>
      <c r="O258" s="324"/>
      <c r="P258" s="325"/>
      <c r="Q258" s="323"/>
      <c r="R258" s="324"/>
      <c r="S258" s="325"/>
      <c r="T258" s="323"/>
      <c r="U258" s="324"/>
      <c r="V258" s="325"/>
      <c r="W258" s="323"/>
      <c r="X258" s="324"/>
      <c r="Y258" s="325"/>
      <c r="Z258" s="323"/>
      <c r="AA258" s="324"/>
      <c r="AB258" s="325"/>
      <c r="AC258" s="323"/>
      <c r="AD258" s="324"/>
      <c r="AE258" s="325"/>
      <c r="AF258" s="323"/>
      <c r="AG258" s="324"/>
      <c r="AH258" s="325"/>
      <c r="AI258" s="323"/>
      <c r="AJ258" s="324"/>
      <c r="AK258" s="325"/>
      <c r="AL258" s="323"/>
      <c r="AM258" s="324"/>
      <c r="AN258" s="325"/>
      <c r="AO258" s="323"/>
      <c r="AP258" s="324"/>
      <c r="AQ258" s="325"/>
      <c r="AR258" s="323"/>
      <c r="AT258" s="358"/>
      <c r="AU258" s="358"/>
      <c r="AW258" s="203"/>
      <c r="AX258" s="96"/>
      <c r="AY258" s="673" t="str">
        <f t="shared" si="937"/>
        <v>Autre dépense variable</v>
      </c>
      <c r="AZ258" s="674"/>
      <c r="BA258" s="675"/>
      <c r="BB258" s="238">
        <f t="shared" si="938"/>
        <v>0</v>
      </c>
      <c r="BC258" s="235"/>
      <c r="BD258" s="408">
        <f t="shared" si="923"/>
        <v>0</v>
      </c>
      <c r="BE258" s="96"/>
      <c r="BF258" s="96"/>
      <c r="BG258" s="96"/>
      <c r="BH258" s="203"/>
    </row>
    <row r="259" spans="2:60" ht="16">
      <c r="B259" s="235"/>
      <c r="D259" s="236">
        <f t="shared" si="924"/>
        <v>32</v>
      </c>
      <c r="E259" s="595" t="s">
        <v>194</v>
      </c>
      <c r="F259" s="596"/>
      <c r="G259" s="597"/>
      <c r="H259" s="395"/>
      <c r="I259" s="324"/>
      <c r="J259" s="325"/>
      <c r="K259" s="323"/>
      <c r="L259" s="324"/>
      <c r="M259" s="325"/>
      <c r="N259" s="323"/>
      <c r="O259" s="324"/>
      <c r="P259" s="325"/>
      <c r="Q259" s="323"/>
      <c r="R259" s="324"/>
      <c r="S259" s="325"/>
      <c r="T259" s="323"/>
      <c r="U259" s="324"/>
      <c r="V259" s="325"/>
      <c r="W259" s="323"/>
      <c r="X259" s="324"/>
      <c r="Y259" s="325"/>
      <c r="Z259" s="323"/>
      <c r="AA259" s="324"/>
      <c r="AB259" s="325"/>
      <c r="AC259" s="323"/>
      <c r="AD259" s="324"/>
      <c r="AE259" s="325"/>
      <c r="AF259" s="323"/>
      <c r="AG259" s="324"/>
      <c r="AH259" s="325"/>
      <c r="AI259" s="323"/>
      <c r="AJ259" s="324"/>
      <c r="AK259" s="325"/>
      <c r="AL259" s="323"/>
      <c r="AM259" s="324"/>
      <c r="AN259" s="325"/>
      <c r="AO259" s="323"/>
      <c r="AP259" s="324"/>
      <c r="AQ259" s="325"/>
      <c r="AR259" s="323"/>
      <c r="AT259" s="358"/>
      <c r="AU259" s="358"/>
      <c r="AW259" s="203"/>
      <c r="AX259" s="96"/>
      <c r="AY259" s="673" t="str">
        <f t="shared" si="937"/>
        <v>Autre dépense variable</v>
      </c>
      <c r="AZ259" s="674"/>
      <c r="BA259" s="675"/>
      <c r="BB259" s="238">
        <f t="shared" si="938"/>
        <v>0</v>
      </c>
      <c r="BC259" s="235"/>
      <c r="BD259" s="408">
        <f t="shared" si="923"/>
        <v>0</v>
      </c>
      <c r="BE259" s="96"/>
      <c r="BF259" s="96"/>
      <c r="BG259" s="96"/>
      <c r="BH259" s="203"/>
    </row>
    <row r="260" spans="2:60" ht="16">
      <c r="B260" s="235"/>
      <c r="D260" s="236">
        <f t="shared" si="924"/>
        <v>33</v>
      </c>
      <c r="E260" s="595" t="s">
        <v>194</v>
      </c>
      <c r="F260" s="596"/>
      <c r="G260" s="597"/>
      <c r="H260" s="395"/>
      <c r="I260" s="324"/>
      <c r="J260" s="325"/>
      <c r="K260" s="323"/>
      <c r="L260" s="324"/>
      <c r="M260" s="325"/>
      <c r="N260" s="323"/>
      <c r="O260" s="324"/>
      <c r="P260" s="325"/>
      <c r="Q260" s="323"/>
      <c r="R260" s="324"/>
      <c r="S260" s="325"/>
      <c r="T260" s="323"/>
      <c r="U260" s="324"/>
      <c r="V260" s="325"/>
      <c r="W260" s="323"/>
      <c r="X260" s="324"/>
      <c r="Y260" s="325"/>
      <c r="Z260" s="323"/>
      <c r="AA260" s="324"/>
      <c r="AB260" s="325"/>
      <c r="AC260" s="323"/>
      <c r="AD260" s="324"/>
      <c r="AE260" s="325"/>
      <c r="AF260" s="323"/>
      <c r="AG260" s="324"/>
      <c r="AH260" s="325"/>
      <c r="AI260" s="323"/>
      <c r="AJ260" s="324"/>
      <c r="AK260" s="325"/>
      <c r="AL260" s="323"/>
      <c r="AM260" s="324"/>
      <c r="AN260" s="325"/>
      <c r="AO260" s="323"/>
      <c r="AP260" s="324"/>
      <c r="AQ260" s="325"/>
      <c r="AR260" s="323"/>
      <c r="AT260" s="358"/>
      <c r="AU260" s="358"/>
      <c r="AW260" s="203"/>
      <c r="AX260" s="96"/>
      <c r="AY260" s="673" t="str">
        <f t="shared" si="937"/>
        <v>Autre dépense variable</v>
      </c>
      <c r="AZ260" s="674"/>
      <c r="BA260" s="675"/>
      <c r="BB260" s="238">
        <f t="shared" si="938"/>
        <v>0</v>
      </c>
      <c r="BC260" s="235"/>
      <c r="BD260" s="408">
        <f t="shared" si="923"/>
        <v>0</v>
      </c>
      <c r="BE260" s="96"/>
      <c r="BF260" s="96"/>
      <c r="BG260" s="96"/>
      <c r="BH260" s="203"/>
    </row>
    <row r="261" spans="2:60" ht="14">
      <c r="B261" s="235"/>
      <c r="D261" s="236"/>
      <c r="E261" s="598" t="s">
        <v>221</v>
      </c>
      <c r="F261" s="599"/>
      <c r="G261" s="600"/>
      <c r="H261" s="396"/>
      <c r="I261" s="557">
        <f>SUM(MAX(I249,J249),MAX(I250,J250),MAX(I251,J251),MAX(I252,J252),MAX(I253,J253),MAX(I254,J254),MAX(I255,J255),MAX(I256,J256),MAX(I257,J257),MAX(I258,J258),MAX(I259,J259),MAX(I260,J260))</f>
        <v>0</v>
      </c>
      <c r="J261" s="558"/>
      <c r="K261" s="323"/>
      <c r="L261" s="557">
        <f t="shared" ref="L261" si="939">SUM(MAX(L249,M249),MAX(L250,M250),MAX(L251,M251),MAX(L252,M252),MAX(L253,M253),MAX(L254,M254),MAX(L255,M255),MAX(L256,M256),MAX(L257,M257),MAX(L258,M258),MAX(L259,M259),MAX(L260,M260))</f>
        <v>0</v>
      </c>
      <c r="M261" s="558"/>
      <c r="N261" s="323"/>
      <c r="O261" s="557">
        <f t="shared" ref="O261" si="940">SUM(MAX(O249,P249),MAX(O250,P250),MAX(O251,P251),MAX(O252,P252),MAX(O253,P253),MAX(O254,P254),MAX(O255,P255),MAX(O256,P256),MAX(O257,P257),MAX(O258,P258),MAX(O259,P259),MAX(O260,P260))</f>
        <v>0</v>
      </c>
      <c r="P261" s="558"/>
      <c r="Q261" s="323"/>
      <c r="R261" s="557">
        <f t="shared" ref="R261" si="941">SUM(MAX(R249,S249),MAX(R250,S250),MAX(R251,S251),MAX(R252,S252),MAX(R253,S253),MAX(R254,S254),MAX(R255,S255),MAX(R256,S256),MAX(R257,S257),MAX(R258,S258),MAX(R259,S259),MAX(R260,S260))</f>
        <v>0</v>
      </c>
      <c r="S261" s="558"/>
      <c r="T261" s="323"/>
      <c r="U261" s="557">
        <f t="shared" ref="U261" si="942">SUM(MAX(U249,V249),MAX(U250,V250),MAX(U251,V251),MAX(U252,V252),MAX(U253,V253),MAX(U254,V254),MAX(U255,V255),MAX(U256,V256),MAX(U257,V257),MAX(U258,V258),MAX(U259,V259),MAX(U260,V260))</f>
        <v>0</v>
      </c>
      <c r="V261" s="558"/>
      <c r="W261" s="323"/>
      <c r="X261" s="557">
        <f t="shared" ref="X261" si="943">SUM(MAX(X249,Y249),MAX(X250,Y250),MAX(X251,Y251),MAX(X252,Y252),MAX(X253,Y253),MAX(X254,Y254),MAX(X255,Y255),MAX(X256,Y256),MAX(X257,Y257),MAX(X258,Y258),MAX(X259,Y259),MAX(X260,Y260))</f>
        <v>0</v>
      </c>
      <c r="Y261" s="558"/>
      <c r="Z261" s="323"/>
      <c r="AA261" s="557">
        <f t="shared" ref="AA261" si="944">SUM(MAX(AA249,AB249),MAX(AA250,AB250),MAX(AA251,AB251),MAX(AA252,AB252),MAX(AA253,AB253),MAX(AA254,AB254),MAX(AA255,AB255),MAX(AA256,AB256),MAX(AA257,AB257),MAX(AA258,AB258),MAX(AA259,AB259),MAX(AA260,AB260))</f>
        <v>0</v>
      </c>
      <c r="AB261" s="558"/>
      <c r="AC261" s="323"/>
      <c r="AD261" s="557">
        <f t="shared" ref="AD261" si="945">SUM(MAX(AD249,AE249),MAX(AD250,AE250),MAX(AD251,AE251),MAX(AD252,AE252),MAX(AD253,AE253),MAX(AD254,AE254),MAX(AD255,AE255),MAX(AD256,AE256),MAX(AD257,AE257),MAX(AD258,AE258),MAX(AD259,AE259),MAX(AD260,AE260))</f>
        <v>0</v>
      </c>
      <c r="AE261" s="558"/>
      <c r="AF261" s="323"/>
      <c r="AG261" s="557">
        <f t="shared" ref="AG261" si="946">SUM(MAX(AG249,AH249),MAX(AG250,AH250),MAX(AG251,AH251),MAX(AG252,AH252),MAX(AG253,AH253),MAX(AG254,AH254),MAX(AG255,AH255),MAX(AG256,AH256),MAX(AG257,AH257),MAX(AG258,AH258),MAX(AG259,AH259),MAX(AG260,AH260))</f>
        <v>0</v>
      </c>
      <c r="AH261" s="558"/>
      <c r="AI261" s="323"/>
      <c r="AJ261" s="557">
        <f t="shared" ref="AJ261" si="947">SUM(MAX(AJ249,AK249),MAX(AJ250,AK250),MAX(AJ251,AK251),MAX(AJ252,AK252),MAX(AJ253,AK253),MAX(AJ254,AK254),MAX(AJ255,AK255),MAX(AJ256,AK256),MAX(AJ257,AK257),MAX(AJ258,AK258),MAX(AJ259,AK259),MAX(AJ260,AK260))</f>
        <v>0</v>
      </c>
      <c r="AK261" s="558"/>
      <c r="AL261" s="323"/>
      <c r="AM261" s="557">
        <f t="shared" ref="AM261" si="948">SUM(MAX(AM249,AN249),MAX(AM250,AN250),MAX(AM251,AN251),MAX(AM252,AN252),MAX(AM253,AN253),MAX(AM254,AN254),MAX(AM255,AN255),MAX(AM256,AN256),MAX(AM257,AN257),MAX(AM258,AN258),MAX(AM259,AN259),MAX(AM260,AN260))</f>
        <v>0</v>
      </c>
      <c r="AN261" s="558"/>
      <c r="AO261" s="323"/>
      <c r="AP261" s="557">
        <f t="shared" ref="AP261" si="949">SUM(MAX(AP249,AQ249),MAX(AP250,AQ250),MAX(AP251,AQ251),MAX(AP252,AQ252),MAX(AP253,AQ253),MAX(AP254,AQ254),MAX(AP255,AQ255),MAX(AP256,AQ256),MAX(AP257,AQ257),MAX(AP258,AQ258),MAX(AP259,AQ259),MAX(AP260,AQ260))</f>
        <v>0</v>
      </c>
      <c r="AQ261" s="558"/>
      <c r="AR261" s="323"/>
      <c r="AT261" s="358"/>
      <c r="AU261" s="358"/>
      <c r="AW261" s="203"/>
      <c r="AX261" s="96"/>
      <c r="AY261" s="598" t="s">
        <v>221</v>
      </c>
      <c r="AZ261" s="599"/>
      <c r="BA261" s="600"/>
      <c r="BB261" s="239">
        <f>SUM(MAX(I261,J261),MAX(L261,M261),MAX(O261,P261),MAX(R261,S261),MAX(U261,V261),MAX(X261,Y261),MAX(AA261,AB261),MAX(AD261,AE261),MAX(AG261,AH261),MAX(AJ261,AK261),MAX(AM261,AN261),MAX(AP261,AQ261))</f>
        <v>0</v>
      </c>
      <c r="BC261" s="235"/>
      <c r="BD261" s="423">
        <f t="shared" si="923"/>
        <v>0</v>
      </c>
      <c r="BE261" s="96"/>
      <c r="BF261" s="96"/>
      <c r="BG261" s="96"/>
      <c r="BH261" s="203"/>
    </row>
    <row r="262" spans="2:60" ht="16">
      <c r="D262" s="156"/>
      <c r="E262" s="466" t="s">
        <v>222</v>
      </c>
      <c r="F262" s="466"/>
      <c r="G262" s="466"/>
      <c r="I262" s="586">
        <f>SUM(I248,I261)</f>
        <v>1031.3433333333332</v>
      </c>
      <c r="J262" s="587"/>
      <c r="K262" s="240"/>
      <c r="L262" s="586">
        <f t="shared" ref="L262" si="950">SUM(L248,L261)</f>
        <v>1031.3433333333332</v>
      </c>
      <c r="M262" s="587"/>
      <c r="N262" s="240"/>
      <c r="O262" s="586">
        <f t="shared" ref="O262" si="951">SUM(O248,O261)</f>
        <v>1041.3433333333332</v>
      </c>
      <c r="P262" s="587"/>
      <c r="Q262" s="240"/>
      <c r="R262" s="586">
        <f t="shared" ref="R262" si="952">SUM(R248,R261)</f>
        <v>1035.51</v>
      </c>
      <c r="S262" s="587"/>
      <c r="T262" s="240"/>
      <c r="U262" s="586">
        <f t="shared" ref="U262" si="953">SUM(U248,U261)</f>
        <v>350</v>
      </c>
      <c r="V262" s="587"/>
      <c r="W262" s="240"/>
      <c r="X262" s="586">
        <f t="shared" ref="X262" si="954">SUM(X248,X261)</f>
        <v>350</v>
      </c>
      <c r="Y262" s="587"/>
      <c r="Z262" s="240"/>
      <c r="AA262" s="586">
        <f t="shared" ref="AA262" si="955">SUM(AA248,AA261)</f>
        <v>350</v>
      </c>
      <c r="AB262" s="587"/>
      <c r="AC262" s="240"/>
      <c r="AD262" s="586">
        <f t="shared" ref="AD262" si="956">SUM(AD248,AD261)</f>
        <v>350</v>
      </c>
      <c r="AE262" s="587"/>
      <c r="AF262" s="240"/>
      <c r="AG262" s="586">
        <f t="shared" ref="AG262" si="957">SUM(AG248,AG261)</f>
        <v>350</v>
      </c>
      <c r="AH262" s="587"/>
      <c r="AI262" s="240"/>
      <c r="AJ262" s="586">
        <f t="shared" ref="AJ262" si="958">SUM(AJ248,AJ261)</f>
        <v>350</v>
      </c>
      <c r="AK262" s="587"/>
      <c r="AL262" s="240"/>
      <c r="AM262" s="586">
        <f t="shared" ref="AM262" si="959">SUM(AM248,AM261)</f>
        <v>350</v>
      </c>
      <c r="AN262" s="587"/>
      <c r="AO262" s="240"/>
      <c r="AP262" s="586">
        <f t="shared" ref="AP262" si="960">SUM(AP248,AP261)</f>
        <v>350</v>
      </c>
      <c r="AQ262" s="587"/>
      <c r="AR262" s="240"/>
      <c r="AT262" s="358"/>
      <c r="AU262" s="358"/>
      <c r="AW262" s="203"/>
      <c r="AX262" s="96"/>
      <c r="AY262" s="687" t="s">
        <v>249</v>
      </c>
      <c r="AZ262" s="687"/>
      <c r="BA262" s="687"/>
      <c r="BB262" s="425">
        <f>SUM(BB248,BB261)</f>
        <v>6939.54</v>
      </c>
      <c r="BC262" s="499" t="str">
        <f>IF($BB$34=0,"",CONCATENATE("(",INT((BB262*100)/$BB$34),"% ressources annuelles)"))</f>
        <v>(16% ressources annuelles)</v>
      </c>
      <c r="BD262" s="500"/>
      <c r="BE262" s="96"/>
      <c r="BF262" s="96"/>
      <c r="BG262" s="96"/>
      <c r="BH262" s="203"/>
    </row>
    <row r="263" spans="2:60" ht="16">
      <c r="D263" s="156"/>
      <c r="E263" s="248"/>
      <c r="F263" s="469" t="str">
        <f>IF($D$37="Activé","BALANCE de contrôle du GRAND DISPATCHING =","")</f>
        <v>BALANCE de contrôle du GRAND DISPATCHING =</v>
      </c>
      <c r="G263" s="469"/>
      <c r="I263" s="525">
        <f>IF($D$37="Activé",I225-I262,"")</f>
        <v>-4.3333333333293922E-2</v>
      </c>
      <c r="J263" s="526"/>
      <c r="K263" s="373"/>
      <c r="L263" s="525">
        <f t="shared" ref="L263" si="961">IF($D$37="Activé",L225-L262,"")</f>
        <v>-4.3333333333293922E-2</v>
      </c>
      <c r="M263" s="526"/>
      <c r="N263" s="373"/>
      <c r="O263" s="525">
        <f t="shared" ref="O263" si="962">IF($D$37="Activé",O225-O262,"")</f>
        <v>-10.043333333333294</v>
      </c>
      <c r="P263" s="526"/>
      <c r="Q263" s="373"/>
      <c r="R263" s="525">
        <f t="shared" ref="R263" si="963">IF($D$37="Activé",R225-R262,"")</f>
        <v>-4.2100000000000364</v>
      </c>
      <c r="S263" s="526"/>
      <c r="T263" s="373"/>
      <c r="U263" s="525">
        <f t="shared" ref="U263" si="964">IF($D$37="Activé",U225-U262,"")</f>
        <v>-350</v>
      </c>
      <c r="V263" s="526"/>
      <c r="W263" s="373"/>
      <c r="X263" s="525">
        <f t="shared" ref="X263" si="965">IF($D$37="Activé",X225-X262,"")</f>
        <v>-350</v>
      </c>
      <c r="Y263" s="526"/>
      <c r="Z263" s="373"/>
      <c r="AA263" s="525">
        <f t="shared" ref="AA263" si="966">IF($D$37="Activé",AA225-AA262,"")</f>
        <v>-350</v>
      </c>
      <c r="AB263" s="526"/>
      <c r="AC263" s="373"/>
      <c r="AD263" s="525">
        <f t="shared" ref="AD263" si="967">IF($D$37="Activé",AD225-AD262,"")</f>
        <v>-350</v>
      </c>
      <c r="AE263" s="526"/>
      <c r="AF263" s="373"/>
      <c r="AG263" s="525">
        <f t="shared" ref="AG263" si="968">IF($D$37="Activé",AG225-AG262,"")</f>
        <v>-350</v>
      </c>
      <c r="AH263" s="526"/>
      <c r="AI263" s="373"/>
      <c r="AJ263" s="525">
        <f t="shared" ref="AJ263" si="969">IF($D$37="Activé",AJ225-AJ262,"")</f>
        <v>-350</v>
      </c>
      <c r="AK263" s="526"/>
      <c r="AL263" s="373"/>
      <c r="AM263" s="525">
        <f t="shared" ref="AM263" si="970">IF($D$37="Activé",AM225-AM262,"")</f>
        <v>-350</v>
      </c>
      <c r="AN263" s="526"/>
      <c r="AO263" s="373"/>
      <c r="AP263" s="525">
        <f t="shared" ref="AP263" si="971">IF($D$37="Activé",AP225-AP262,"")</f>
        <v>-350</v>
      </c>
      <c r="AQ263" s="526"/>
      <c r="AR263" s="373"/>
      <c r="AT263" s="358"/>
      <c r="AU263" s="358"/>
      <c r="AW263" s="203"/>
      <c r="AX263" s="96"/>
      <c r="AY263" s="146"/>
      <c r="AZ263" s="668" t="s">
        <v>563</v>
      </c>
      <c r="BA263" s="668"/>
      <c r="BB263" s="424">
        <f>BB262/12</f>
        <v>578.29499999999996</v>
      </c>
      <c r="BC263" s="96"/>
      <c r="BD263" s="96"/>
      <c r="BE263" s="96"/>
      <c r="BF263" s="96"/>
      <c r="BG263" s="96"/>
      <c r="BH263" s="203"/>
    </row>
    <row r="264" spans="2:60" s="1" customFormat="1">
      <c r="D264" s="156"/>
      <c r="AW264" s="203"/>
      <c r="AX264" s="96"/>
      <c r="AY264" s="241"/>
      <c r="AZ264" s="241"/>
      <c r="BA264" s="241"/>
      <c r="BB264" s="96"/>
      <c r="BC264" s="96"/>
      <c r="BD264" s="96"/>
      <c r="BE264" s="96"/>
      <c r="BF264" s="96"/>
      <c r="BG264" s="96"/>
      <c r="BH264" s="203"/>
    </row>
    <row r="265" spans="2:60" ht="16">
      <c r="D265" s="156"/>
      <c r="E265" s="588" t="s">
        <v>224</v>
      </c>
      <c r="F265" s="588"/>
      <c r="G265" s="588"/>
      <c r="I265" s="612">
        <f>I34</f>
        <v>3500</v>
      </c>
      <c r="J265" s="613"/>
      <c r="K265" s="242"/>
      <c r="L265" s="612">
        <f t="shared" ref="L265" si="972">L34</f>
        <v>3500</v>
      </c>
      <c r="M265" s="613"/>
      <c r="N265" s="242"/>
      <c r="O265" s="612">
        <f t="shared" ref="O265:AP265" si="973">O34</f>
        <v>3500</v>
      </c>
      <c r="P265" s="613"/>
      <c r="Q265" s="242"/>
      <c r="R265" s="612">
        <f t="shared" si="973"/>
        <v>3500</v>
      </c>
      <c r="S265" s="613"/>
      <c r="T265" s="242"/>
      <c r="U265" s="612">
        <f t="shared" si="973"/>
        <v>3500</v>
      </c>
      <c r="V265" s="613"/>
      <c r="W265" s="242"/>
      <c r="X265" s="612">
        <f t="shared" si="973"/>
        <v>3500</v>
      </c>
      <c r="Y265" s="613"/>
      <c r="Z265" s="242"/>
      <c r="AA265" s="612">
        <f t="shared" si="973"/>
        <v>3500</v>
      </c>
      <c r="AB265" s="613"/>
      <c r="AC265" s="242"/>
      <c r="AD265" s="612">
        <f t="shared" si="973"/>
        <v>3500</v>
      </c>
      <c r="AE265" s="613"/>
      <c r="AF265" s="242"/>
      <c r="AG265" s="612">
        <f t="shared" si="973"/>
        <v>3500</v>
      </c>
      <c r="AH265" s="613"/>
      <c r="AI265" s="242"/>
      <c r="AJ265" s="612">
        <f t="shared" si="973"/>
        <v>3500</v>
      </c>
      <c r="AK265" s="613"/>
      <c r="AL265" s="242"/>
      <c r="AM265" s="612">
        <f t="shared" si="973"/>
        <v>3500</v>
      </c>
      <c r="AN265" s="613"/>
      <c r="AO265" s="242"/>
      <c r="AP265" s="612">
        <f t="shared" si="973"/>
        <v>3500</v>
      </c>
      <c r="AQ265" s="613"/>
      <c r="AR265" s="242"/>
      <c r="AT265" s="358"/>
      <c r="AU265" s="358"/>
      <c r="AW265" s="203"/>
      <c r="AX265" s="96"/>
      <c r="AY265" s="684" t="s">
        <v>247</v>
      </c>
      <c r="AZ265" s="684"/>
      <c r="BA265" s="684"/>
      <c r="BB265" s="243">
        <f>SUM(I265:AR265)</f>
        <v>42000</v>
      </c>
      <c r="BC265" s="96"/>
      <c r="BD265" s="96"/>
      <c r="BE265" s="96"/>
      <c r="BF265" s="96"/>
      <c r="BG265" s="96"/>
      <c r="BH265" s="203"/>
    </row>
    <row r="266" spans="2:60" ht="17" thickBot="1">
      <c r="D266" s="156"/>
      <c r="E266" s="588" t="s">
        <v>225</v>
      </c>
      <c r="F266" s="588"/>
      <c r="G266" s="588"/>
      <c r="I266" s="589">
        <f>IF($D$37="Activé",SUM(I52,I132,I158,I225),SUM(I126,I154,I220,I262))</f>
        <v>5089.3</v>
      </c>
      <c r="J266" s="590"/>
      <c r="K266" s="244"/>
      <c r="L266" s="589">
        <f t="shared" ref="L266" si="974">IF($D$37="Activé",SUM(L52,L132,L158,L225),SUM(L126,L154,L220,L262))</f>
        <v>5089.3</v>
      </c>
      <c r="M266" s="590"/>
      <c r="N266" s="244"/>
      <c r="O266" s="589">
        <f t="shared" ref="O266" si="975">IF($D$37="Activé",SUM(O52,O132,O158,O225),SUM(O126,O154,O220,O262))</f>
        <v>5089.3</v>
      </c>
      <c r="P266" s="590"/>
      <c r="Q266" s="244"/>
      <c r="R266" s="589">
        <f t="shared" ref="R266" si="976">IF($D$37="Activé",SUM(R52,R132,R158,R225),SUM(R126,R154,R220,R262))</f>
        <v>5089.3</v>
      </c>
      <c r="S266" s="590"/>
      <c r="T266" s="244"/>
      <c r="U266" s="589">
        <f t="shared" ref="U266" si="977">IF($D$37="Activé",SUM(U52,U132,U158,U225),SUM(U126,U154,U220,U262))</f>
        <v>0</v>
      </c>
      <c r="V266" s="590"/>
      <c r="W266" s="244"/>
      <c r="X266" s="589">
        <f t="shared" ref="X266" si="978">IF($D$37="Activé",SUM(X52,X132,X158,X225),SUM(X126,X154,X220,X262))</f>
        <v>0</v>
      </c>
      <c r="Y266" s="590"/>
      <c r="Z266" s="244"/>
      <c r="AA266" s="589">
        <f t="shared" ref="AA266" si="979">IF($D$37="Activé",SUM(AA52,AA132,AA158,AA225),SUM(AA126,AA154,AA220,AA262))</f>
        <v>0</v>
      </c>
      <c r="AB266" s="590"/>
      <c r="AC266" s="244"/>
      <c r="AD266" s="589">
        <f t="shared" ref="AD266" si="980">IF($D$37="Activé",SUM(AD52,AD132,AD158,AD225),SUM(AD126,AD154,AD220,AD262))</f>
        <v>0</v>
      </c>
      <c r="AE266" s="590"/>
      <c r="AF266" s="244"/>
      <c r="AG266" s="589">
        <f t="shared" ref="AG266" si="981">IF($D$37="Activé",SUM(AG52,AG132,AG158,AG225),SUM(AG126,AG154,AG220,AG262))</f>
        <v>0</v>
      </c>
      <c r="AH266" s="590"/>
      <c r="AI266" s="244"/>
      <c r="AJ266" s="589">
        <f t="shared" ref="AJ266" si="982">IF($D$37="Activé",SUM(AJ52,AJ132,AJ158,AJ225),SUM(AJ126,AJ154,AJ220,AJ262))</f>
        <v>0</v>
      </c>
      <c r="AK266" s="590"/>
      <c r="AL266" s="244"/>
      <c r="AM266" s="589">
        <f t="shared" ref="AM266" si="983">IF($D$37="Activé",SUM(AM52,AM132,AM158,AM225),SUM(AM126,AM154,AM220,AM262))</f>
        <v>0</v>
      </c>
      <c r="AN266" s="590"/>
      <c r="AO266" s="244"/>
      <c r="AP266" s="589">
        <f t="shared" ref="AP266" si="984">IF($D$37="Activé",SUM(AP52,AP132,AP158,AP225),SUM(AP126,AP154,AP220,AP262))</f>
        <v>0</v>
      </c>
      <c r="AQ266" s="590"/>
      <c r="AR266" s="244"/>
      <c r="AT266" s="358"/>
      <c r="AU266" s="358"/>
      <c r="AW266" s="203"/>
      <c r="AX266" s="96"/>
      <c r="AY266" s="684" t="s">
        <v>248</v>
      </c>
      <c r="AZ266" s="684"/>
      <c r="BA266" s="684"/>
      <c r="BB266" s="245">
        <f>SUM(I266:AR266)</f>
        <v>20357.2</v>
      </c>
      <c r="BC266" s="96"/>
      <c r="BD266" s="96"/>
      <c r="BE266" s="96"/>
      <c r="BF266" s="96"/>
      <c r="BG266" s="96"/>
      <c r="BH266" s="203"/>
    </row>
    <row r="267" spans="2:60" ht="17" thickBot="1">
      <c r="D267" s="156"/>
      <c r="E267" s="588" t="s">
        <v>223</v>
      </c>
      <c r="F267" s="588"/>
      <c r="G267" s="588"/>
      <c r="I267" s="614">
        <f>I265-I266</f>
        <v>-1589.3000000000002</v>
      </c>
      <c r="J267" s="615"/>
      <c r="K267" s="246"/>
      <c r="L267" s="614">
        <f t="shared" ref="L267" si="985">L265-L266</f>
        <v>-1589.3000000000002</v>
      </c>
      <c r="M267" s="615"/>
      <c r="N267" s="246"/>
      <c r="O267" s="614">
        <f t="shared" ref="O267" si="986">O265-O266</f>
        <v>-1589.3000000000002</v>
      </c>
      <c r="P267" s="615"/>
      <c r="Q267" s="246"/>
      <c r="R267" s="614">
        <f t="shared" ref="R267" si="987">R265-R266</f>
        <v>-1589.3000000000002</v>
      </c>
      <c r="S267" s="615"/>
      <c r="T267" s="246"/>
      <c r="U267" s="614">
        <f t="shared" ref="U267" si="988">U265-U266</f>
        <v>3500</v>
      </c>
      <c r="V267" s="615"/>
      <c r="W267" s="246"/>
      <c r="X267" s="614">
        <f t="shared" ref="X267" si="989">X265-X266</f>
        <v>3500</v>
      </c>
      <c r="Y267" s="615"/>
      <c r="Z267" s="246"/>
      <c r="AA267" s="614">
        <f t="shared" ref="AA267" si="990">AA265-AA266</f>
        <v>3500</v>
      </c>
      <c r="AB267" s="615"/>
      <c r="AC267" s="246"/>
      <c r="AD267" s="614">
        <f t="shared" ref="AD267" si="991">AD265-AD266</f>
        <v>3500</v>
      </c>
      <c r="AE267" s="615"/>
      <c r="AF267" s="246"/>
      <c r="AG267" s="614">
        <f t="shared" ref="AG267" si="992">AG265-AG266</f>
        <v>3500</v>
      </c>
      <c r="AH267" s="615"/>
      <c r="AI267" s="246"/>
      <c r="AJ267" s="614">
        <f t="shared" ref="AJ267" si="993">AJ265-AJ266</f>
        <v>3500</v>
      </c>
      <c r="AK267" s="615"/>
      <c r="AL267" s="246"/>
      <c r="AM267" s="614">
        <f t="shared" ref="AM267" si="994">AM265-AM266</f>
        <v>3500</v>
      </c>
      <c r="AN267" s="615"/>
      <c r="AO267" s="246"/>
      <c r="AP267" s="614">
        <f t="shared" ref="AP267" si="995">AP265-AP266</f>
        <v>3500</v>
      </c>
      <c r="AQ267" s="615"/>
      <c r="AR267" s="246"/>
      <c r="AT267" s="358"/>
      <c r="AU267" s="358"/>
      <c r="AW267" s="203"/>
      <c r="AX267" s="96"/>
      <c r="AY267" s="684" t="s">
        <v>246</v>
      </c>
      <c r="AZ267" s="684"/>
      <c r="BA267" s="684"/>
      <c r="BB267" s="247">
        <f>BB265-BB266</f>
        <v>21642.799999999999</v>
      </c>
      <c r="BC267" s="96"/>
      <c r="BD267" s="96"/>
      <c r="BE267" s="96"/>
      <c r="BF267" s="96"/>
      <c r="BG267" s="96"/>
      <c r="BH267" s="203"/>
    </row>
    <row r="268" spans="2:60" ht="16">
      <c r="D268" s="156"/>
      <c r="E268" s="248"/>
      <c r="F268" s="248"/>
      <c r="G268" s="248"/>
      <c r="I268" s="249"/>
      <c r="J268" s="249"/>
      <c r="K268" s="250"/>
      <c r="L268" s="249"/>
      <c r="M268" s="249"/>
      <c r="N268" s="250"/>
      <c r="O268" s="249"/>
      <c r="P268" s="249"/>
      <c r="Q268" s="250"/>
      <c r="R268" s="249"/>
      <c r="S268" s="249"/>
      <c r="T268" s="250"/>
      <c r="U268" s="249"/>
      <c r="V268" s="249"/>
      <c r="W268" s="250"/>
      <c r="X268" s="249"/>
      <c r="Y268" s="249"/>
      <c r="Z268" s="250"/>
      <c r="AA268" s="249"/>
      <c r="AB268" s="249"/>
      <c r="AC268" s="250"/>
      <c r="AD268" s="249"/>
      <c r="AE268" s="249"/>
      <c r="AF268" s="250"/>
      <c r="AG268" s="249"/>
      <c r="AH268" s="249"/>
      <c r="AI268" s="250"/>
      <c r="AJ268" s="249"/>
      <c r="AK268" s="249"/>
      <c r="AL268" s="250"/>
      <c r="AM268" s="249"/>
      <c r="AN268" s="249"/>
      <c r="AO268" s="250"/>
      <c r="AP268" s="249"/>
      <c r="AQ268" s="249"/>
      <c r="AR268" s="250"/>
      <c r="AT268" s="250"/>
      <c r="AU268" s="250"/>
      <c r="AW268" s="203"/>
      <c r="AX268" s="96"/>
      <c r="AY268" s="146"/>
      <c r="AZ268" s="146"/>
      <c r="BA268" s="146"/>
      <c r="BB268" s="146"/>
      <c r="BC268" s="96"/>
      <c r="BD268" s="96"/>
      <c r="BE268" s="96"/>
      <c r="BF268" s="96"/>
      <c r="BG268" s="96"/>
      <c r="BH268" s="203"/>
    </row>
    <row r="269" spans="2:60" ht="13.25" customHeight="1">
      <c r="D269" s="156"/>
      <c r="E269" s="248"/>
      <c r="F269" s="248"/>
      <c r="G269" s="251"/>
      <c r="I269" s="580" t="s">
        <v>304</v>
      </c>
      <c r="J269" s="581"/>
      <c r="K269" s="582"/>
      <c r="L269" s="580" t="s">
        <v>304</v>
      </c>
      <c r="M269" s="581"/>
      <c r="N269" s="582"/>
      <c r="O269" s="580" t="s">
        <v>304</v>
      </c>
      <c r="P269" s="581"/>
      <c r="Q269" s="582"/>
      <c r="R269" s="580" t="s">
        <v>304</v>
      </c>
      <c r="S269" s="581"/>
      <c r="T269" s="582"/>
      <c r="U269" s="580" t="s">
        <v>304</v>
      </c>
      <c r="V269" s="581"/>
      <c r="W269" s="582"/>
      <c r="X269" s="580" t="s">
        <v>304</v>
      </c>
      <c r="Y269" s="581"/>
      <c r="Z269" s="582"/>
      <c r="AA269" s="580" t="s">
        <v>304</v>
      </c>
      <c r="AB269" s="581"/>
      <c r="AC269" s="582"/>
      <c r="AD269" s="580" t="s">
        <v>304</v>
      </c>
      <c r="AE269" s="581"/>
      <c r="AF269" s="582"/>
      <c r="AG269" s="580" t="s">
        <v>304</v>
      </c>
      <c r="AH269" s="581"/>
      <c r="AI269" s="582"/>
      <c r="AJ269" s="580" t="s">
        <v>304</v>
      </c>
      <c r="AK269" s="581"/>
      <c r="AL269" s="582"/>
      <c r="AM269" s="580" t="s">
        <v>304</v>
      </c>
      <c r="AN269" s="581"/>
      <c r="AO269" s="582"/>
      <c r="AP269" s="580" t="s">
        <v>304</v>
      </c>
      <c r="AQ269" s="581"/>
      <c r="AR269" s="582"/>
      <c r="AT269" s="358"/>
      <c r="AU269" s="358"/>
      <c r="AW269" s="203"/>
      <c r="AX269" s="96"/>
      <c r="AY269" s="146"/>
      <c r="AZ269" s="146"/>
      <c r="BA269" s="146"/>
      <c r="BB269" s="146"/>
      <c r="BC269" s="96"/>
      <c r="BD269" s="96"/>
      <c r="BE269" s="96"/>
      <c r="BF269" s="96"/>
      <c r="BG269" s="96"/>
      <c r="BH269" s="203"/>
    </row>
    <row r="270" spans="2:60">
      <c r="D270" s="156"/>
      <c r="E270" s="248"/>
      <c r="F270" s="248"/>
      <c r="G270" s="251"/>
      <c r="I270" s="583"/>
      <c r="J270" s="584"/>
      <c r="K270" s="585"/>
      <c r="L270" s="583"/>
      <c r="M270" s="584"/>
      <c r="N270" s="585"/>
      <c r="O270" s="583"/>
      <c r="P270" s="584"/>
      <c r="Q270" s="585"/>
      <c r="R270" s="583"/>
      <c r="S270" s="584"/>
      <c r="T270" s="585"/>
      <c r="U270" s="583"/>
      <c r="V270" s="584"/>
      <c r="W270" s="585"/>
      <c r="X270" s="583"/>
      <c r="Y270" s="584"/>
      <c r="Z270" s="585"/>
      <c r="AA270" s="583"/>
      <c r="AB270" s="584"/>
      <c r="AC270" s="585"/>
      <c r="AD270" s="583"/>
      <c r="AE270" s="584"/>
      <c r="AF270" s="585"/>
      <c r="AG270" s="583"/>
      <c r="AH270" s="584"/>
      <c r="AI270" s="585"/>
      <c r="AJ270" s="583"/>
      <c r="AK270" s="584"/>
      <c r="AL270" s="585"/>
      <c r="AM270" s="583"/>
      <c r="AN270" s="584"/>
      <c r="AO270" s="585"/>
      <c r="AP270" s="583"/>
      <c r="AQ270" s="584"/>
      <c r="AR270" s="585"/>
      <c r="AT270" s="358"/>
      <c r="AU270" s="358"/>
      <c r="AW270" s="203"/>
      <c r="AX270" s="96"/>
      <c r="AY270" s="146"/>
      <c r="AZ270" s="146"/>
      <c r="BA270" s="146"/>
      <c r="BB270" s="146"/>
      <c r="BC270" s="96"/>
      <c r="BD270" s="96"/>
      <c r="BE270" s="96"/>
      <c r="BF270" s="96"/>
      <c r="BG270" s="96"/>
      <c r="BH270" s="203"/>
    </row>
    <row r="271" spans="2:60" ht="16">
      <c r="D271" s="156"/>
      <c r="E271" s="248"/>
      <c r="F271" s="248"/>
      <c r="G271" s="248"/>
      <c r="I271" s="249"/>
      <c r="J271" s="249"/>
      <c r="K271" s="250"/>
      <c r="L271" s="249"/>
      <c r="M271" s="249"/>
      <c r="N271" s="250"/>
      <c r="O271" s="249"/>
      <c r="P271" s="249"/>
      <c r="Q271" s="250"/>
      <c r="R271" s="249"/>
      <c r="S271" s="249"/>
      <c r="T271" s="250"/>
      <c r="U271" s="249"/>
      <c r="V271" s="249"/>
      <c r="W271" s="250"/>
      <c r="X271" s="249"/>
      <c r="Y271" s="249"/>
      <c r="Z271" s="250"/>
      <c r="AA271" s="249"/>
      <c r="AB271" s="249"/>
      <c r="AC271" s="250"/>
      <c r="AD271" s="249"/>
      <c r="AE271" s="249"/>
      <c r="AF271" s="250"/>
      <c r="AG271" s="249"/>
      <c r="AH271" s="249"/>
      <c r="AI271" s="250"/>
      <c r="AJ271" s="249"/>
      <c r="AK271" s="249"/>
      <c r="AL271" s="250"/>
      <c r="AM271" s="249"/>
      <c r="AN271" s="249"/>
      <c r="AO271" s="250"/>
      <c r="AP271" s="249"/>
      <c r="AQ271" s="249"/>
      <c r="AR271" s="250"/>
      <c r="AT271" s="358"/>
      <c r="AU271" s="358"/>
      <c r="AW271" s="203"/>
      <c r="AX271" s="96"/>
      <c r="AY271" s="146"/>
      <c r="AZ271" s="146"/>
      <c r="BA271" s="146"/>
      <c r="BB271" s="146"/>
      <c r="BC271" s="96"/>
      <c r="BD271" s="96"/>
      <c r="BE271" s="96"/>
      <c r="BF271" s="96"/>
      <c r="BG271" s="96"/>
      <c r="BH271" s="203"/>
    </row>
    <row r="272" spans="2:60" ht="14" thickBot="1">
      <c r="D272" s="156"/>
      <c r="E272" s="1"/>
      <c r="F272" s="1"/>
      <c r="G272" s="1"/>
      <c r="I272" s="578">
        <f>I7</f>
        <v>46174</v>
      </c>
      <c r="J272" s="578"/>
      <c r="K272" s="578"/>
      <c r="L272" s="578">
        <f>L7</f>
        <v>46206</v>
      </c>
      <c r="M272" s="578"/>
      <c r="N272" s="578"/>
      <c r="O272" s="578">
        <f>O7</f>
        <v>46238</v>
      </c>
      <c r="P272" s="578"/>
      <c r="Q272" s="578"/>
      <c r="R272" s="578">
        <f>R7</f>
        <v>46270</v>
      </c>
      <c r="S272" s="578"/>
      <c r="T272" s="578"/>
      <c r="U272" s="578">
        <f>U7</f>
        <v>46302</v>
      </c>
      <c r="V272" s="578"/>
      <c r="W272" s="578"/>
      <c r="X272" s="578">
        <f>X7</f>
        <v>46334</v>
      </c>
      <c r="Y272" s="578"/>
      <c r="Z272" s="578"/>
      <c r="AA272" s="578">
        <f>AA7</f>
        <v>46366</v>
      </c>
      <c r="AB272" s="578"/>
      <c r="AC272" s="578"/>
      <c r="AD272" s="578">
        <f>AD7</f>
        <v>46398</v>
      </c>
      <c r="AE272" s="578"/>
      <c r="AF272" s="578"/>
      <c r="AG272" s="578">
        <f>AG7</f>
        <v>46430</v>
      </c>
      <c r="AH272" s="578"/>
      <c r="AI272" s="578"/>
      <c r="AJ272" s="578">
        <f>AJ7</f>
        <v>46462</v>
      </c>
      <c r="AK272" s="578"/>
      <c r="AL272" s="578"/>
      <c r="AM272" s="578">
        <f>AM7</f>
        <v>46494</v>
      </c>
      <c r="AN272" s="578"/>
      <c r="AO272" s="578"/>
      <c r="AP272" s="578">
        <f>AP7</f>
        <v>46526</v>
      </c>
      <c r="AQ272" s="578"/>
      <c r="AR272" s="578"/>
      <c r="AT272" s="358"/>
      <c r="AU272" s="358"/>
      <c r="AW272" s="203"/>
      <c r="AX272" s="96"/>
      <c r="AY272" s="96"/>
      <c r="AZ272" s="96"/>
      <c r="BA272" s="96"/>
      <c r="BB272" s="96"/>
      <c r="BC272" s="96"/>
      <c r="BD272" s="96"/>
      <c r="BE272" s="96"/>
      <c r="BF272" s="96"/>
      <c r="BG272" s="96"/>
      <c r="BH272" s="203"/>
    </row>
    <row r="273" spans="4:60" ht="62.25" customHeight="1">
      <c r="D273" s="156"/>
      <c r="E273" s="1"/>
      <c r="F273" s="252" t="s">
        <v>581</v>
      </c>
      <c r="G273" s="1"/>
      <c r="I273" s="616"/>
      <c r="J273" s="617"/>
      <c r="K273" s="618"/>
      <c r="L273" s="619"/>
      <c r="M273" s="617"/>
      <c r="N273" s="618"/>
      <c r="O273" s="619"/>
      <c r="P273" s="617"/>
      <c r="Q273" s="618"/>
      <c r="R273" s="619"/>
      <c r="S273" s="617"/>
      <c r="T273" s="618"/>
      <c r="U273" s="619"/>
      <c r="V273" s="617"/>
      <c r="W273" s="618"/>
      <c r="X273" s="619"/>
      <c r="Y273" s="617"/>
      <c r="Z273" s="618"/>
      <c r="AA273" s="619"/>
      <c r="AB273" s="617"/>
      <c r="AC273" s="618"/>
      <c r="AD273" s="619"/>
      <c r="AE273" s="617"/>
      <c r="AF273" s="618"/>
      <c r="AG273" s="616"/>
      <c r="AH273" s="617"/>
      <c r="AI273" s="618"/>
      <c r="AJ273" s="619"/>
      <c r="AK273" s="617"/>
      <c r="AL273" s="618"/>
      <c r="AM273" s="619"/>
      <c r="AN273" s="617"/>
      <c r="AO273" s="618"/>
      <c r="AP273" s="619"/>
      <c r="AQ273" s="617"/>
      <c r="AR273" s="618"/>
      <c r="AT273" s="358"/>
      <c r="AU273" s="358"/>
      <c r="AW273" s="203"/>
      <c r="AX273" s="96"/>
      <c r="AY273" s="96"/>
      <c r="AZ273" s="96"/>
      <c r="BA273" s="96"/>
      <c r="BB273" s="96"/>
      <c r="BC273" s="96"/>
      <c r="BD273" s="96"/>
      <c r="BE273" s="96"/>
      <c r="BF273" s="96"/>
      <c r="BG273" s="96"/>
      <c r="BH273" s="203"/>
    </row>
    <row r="274" spans="4:60" s="1" customFormat="1">
      <c r="D274" s="156"/>
      <c r="AW274" s="203"/>
      <c r="AX274" s="203"/>
      <c r="AY274" s="203"/>
      <c r="AZ274" s="203"/>
      <c r="BA274" s="203"/>
      <c r="BB274" s="203"/>
      <c r="BC274" s="203"/>
      <c r="BD274" s="203"/>
      <c r="BE274" s="203"/>
      <c r="BF274" s="203"/>
      <c r="BG274" s="203"/>
      <c r="BH274" s="203"/>
    </row>
    <row r="275" spans="4:60" ht="14" thickBot="1">
      <c r="D275" s="156"/>
      <c r="E275" s="610" t="s">
        <v>226</v>
      </c>
      <c r="F275" s="610"/>
      <c r="G275" s="610"/>
      <c r="I275" s="578">
        <f>I7</f>
        <v>46174</v>
      </c>
      <c r="J275" s="578"/>
      <c r="K275" s="578"/>
      <c r="L275" s="578">
        <f>L7</f>
        <v>46206</v>
      </c>
      <c r="M275" s="578"/>
      <c r="N275" s="578"/>
      <c r="O275" s="578">
        <f>O7</f>
        <v>46238</v>
      </c>
      <c r="P275" s="578"/>
      <c r="Q275" s="578"/>
      <c r="R275" s="578">
        <f>R7</f>
        <v>46270</v>
      </c>
      <c r="S275" s="578"/>
      <c r="T275" s="578"/>
      <c r="U275" s="578">
        <f>U7</f>
        <v>46302</v>
      </c>
      <c r="V275" s="578"/>
      <c r="W275" s="578"/>
      <c r="X275" s="578">
        <f>X7</f>
        <v>46334</v>
      </c>
      <c r="Y275" s="578"/>
      <c r="Z275" s="578"/>
      <c r="AA275" s="578">
        <f>AA7</f>
        <v>46366</v>
      </c>
      <c r="AB275" s="578"/>
      <c r="AC275" s="578"/>
      <c r="AD275" s="578">
        <f>AD7</f>
        <v>46398</v>
      </c>
      <c r="AE275" s="578"/>
      <c r="AF275" s="578"/>
      <c r="AG275" s="578">
        <f>AG7</f>
        <v>46430</v>
      </c>
      <c r="AH275" s="578"/>
      <c r="AI275" s="578"/>
      <c r="AJ275" s="578">
        <f>AJ7</f>
        <v>46462</v>
      </c>
      <c r="AK275" s="578"/>
      <c r="AL275" s="578"/>
      <c r="AM275" s="578">
        <f>AM7</f>
        <v>46494</v>
      </c>
      <c r="AN275" s="578"/>
      <c r="AO275" s="578"/>
      <c r="AP275" s="578">
        <f>AP7</f>
        <v>46526</v>
      </c>
      <c r="AQ275" s="578"/>
      <c r="AR275" s="578"/>
      <c r="AT275" s="358"/>
      <c r="AU275" s="358"/>
      <c r="AY275" s="494"/>
      <c r="AZ275" s="494"/>
      <c r="BA275" s="494"/>
      <c r="BB275" s="1"/>
    </row>
    <row r="276" spans="4:60" ht="16">
      <c r="D276" s="156"/>
      <c r="E276" s="588" t="s">
        <v>108</v>
      </c>
      <c r="F276" s="588"/>
      <c r="G276" s="588"/>
      <c r="I276" s="608">
        <f>IF(I$265=0,0,I126/I$265)</f>
        <v>0.29942857142857143</v>
      </c>
      <c r="J276" s="609"/>
      <c r="K276" s="155"/>
      <c r="L276" s="608">
        <f t="shared" ref="L276" si="996">IF(L$265=0,0,L126/L$265)</f>
        <v>0.29942857142857143</v>
      </c>
      <c r="M276" s="609"/>
      <c r="N276" s="155"/>
      <c r="O276" s="608">
        <f t="shared" ref="O276" si="997">IF(O$265=0,0,O126/O$265)</f>
        <v>0.29942857142857143</v>
      </c>
      <c r="P276" s="609"/>
      <c r="Q276" s="155"/>
      <c r="R276" s="608">
        <f t="shared" ref="R276" si="998">IF(R$265=0,0,R126/R$265)</f>
        <v>0.29942857142857143</v>
      </c>
      <c r="S276" s="609"/>
      <c r="T276" s="155"/>
      <c r="U276" s="608">
        <f t="shared" ref="U276" si="999">IF(U$265=0,0,U126/U$265)</f>
        <v>0.22857142857142856</v>
      </c>
      <c r="V276" s="609"/>
      <c r="W276" s="155"/>
      <c r="X276" s="608">
        <f t="shared" ref="X276" si="1000">IF(X$265=0,0,X126/X$265)</f>
        <v>0.12857142857142856</v>
      </c>
      <c r="Y276" s="609"/>
      <c r="Z276" s="155"/>
      <c r="AA276" s="608">
        <f t="shared" ref="AA276" si="1001">IF(AA$265=0,0,AA126/AA$265)</f>
        <v>0.12857142857142856</v>
      </c>
      <c r="AB276" s="609"/>
      <c r="AC276" s="155"/>
      <c r="AD276" s="608">
        <f t="shared" ref="AD276" si="1002">IF(AD$265=0,0,AD126/AD$265)</f>
        <v>0.12857142857142856</v>
      </c>
      <c r="AE276" s="609"/>
      <c r="AF276" s="155"/>
      <c r="AG276" s="608">
        <f t="shared" ref="AG276" si="1003">IF(AG$265=0,0,AG126/AG$265)</f>
        <v>0.12857142857142856</v>
      </c>
      <c r="AH276" s="609"/>
      <c r="AI276" s="155"/>
      <c r="AJ276" s="608">
        <f t="shared" ref="AJ276" si="1004">IF(AJ$265=0,0,AJ126/AJ$265)</f>
        <v>0.12857142857142856</v>
      </c>
      <c r="AK276" s="609"/>
      <c r="AL276" s="155"/>
      <c r="AM276" s="608">
        <f t="shared" ref="AM276" si="1005">IF(AM$265=0,0,AM126/AM$265)</f>
        <v>0.12857142857142856</v>
      </c>
      <c r="AN276" s="609"/>
      <c r="AO276" s="155"/>
      <c r="AP276" s="608">
        <f t="shared" ref="AP276" si="1006">IF(AP$265=0,0,AP126/AP$265)</f>
        <v>0.12857142857142856</v>
      </c>
      <c r="AQ276" s="609"/>
      <c r="AR276" s="155"/>
      <c r="AT276" s="358"/>
      <c r="AU276" s="358"/>
      <c r="AY276" s="689"/>
      <c r="AZ276" s="689"/>
      <c r="BA276" s="689"/>
      <c r="BB276" s="1"/>
    </row>
    <row r="277" spans="4:60" ht="16">
      <c r="D277" s="156"/>
      <c r="E277" s="588" t="s">
        <v>109</v>
      </c>
      <c r="F277" s="588"/>
      <c r="G277" s="588"/>
      <c r="I277" s="604">
        <f>IF(I$265=0,0,I154/I$265)</f>
        <v>0</v>
      </c>
      <c r="J277" s="605"/>
      <c r="K277" s="155"/>
      <c r="L277" s="604">
        <f t="shared" ref="L277" si="1007">IF(L$265=0,0,L154/L$265)</f>
        <v>0</v>
      </c>
      <c r="M277" s="605"/>
      <c r="N277" s="155"/>
      <c r="O277" s="604">
        <f t="shared" ref="O277" si="1008">IF(O$265=0,0,O154/O$265)</f>
        <v>0</v>
      </c>
      <c r="P277" s="605"/>
      <c r="Q277" s="155"/>
      <c r="R277" s="604">
        <f t="shared" ref="R277" si="1009">IF(R$265=0,0,R154/R$265)</f>
        <v>0</v>
      </c>
      <c r="S277" s="605"/>
      <c r="T277" s="155"/>
      <c r="U277" s="604">
        <f t="shared" ref="U277" si="1010">IF(U$265=0,0,U154/U$265)</f>
        <v>0</v>
      </c>
      <c r="V277" s="605"/>
      <c r="W277" s="155"/>
      <c r="X277" s="604">
        <f t="shared" ref="X277" si="1011">IF(X$265=0,0,X154/X$265)</f>
        <v>0</v>
      </c>
      <c r="Y277" s="605"/>
      <c r="Z277" s="155"/>
      <c r="AA277" s="604">
        <f t="shared" ref="AA277" si="1012">IF(AA$265=0,0,AA154/AA$265)</f>
        <v>0</v>
      </c>
      <c r="AB277" s="605"/>
      <c r="AC277" s="155"/>
      <c r="AD277" s="604">
        <f t="shared" ref="AD277" si="1013">IF(AD$265=0,0,AD154/AD$265)</f>
        <v>0</v>
      </c>
      <c r="AE277" s="605"/>
      <c r="AF277" s="155"/>
      <c r="AG277" s="604">
        <f t="shared" ref="AG277" si="1014">IF(AG$265=0,0,AG154/AG$265)</f>
        <v>0</v>
      </c>
      <c r="AH277" s="605"/>
      <c r="AI277" s="155"/>
      <c r="AJ277" s="604">
        <f t="shared" ref="AJ277" si="1015">IF(AJ$265=0,0,AJ154/AJ$265)</f>
        <v>0</v>
      </c>
      <c r="AK277" s="605"/>
      <c r="AL277" s="155"/>
      <c r="AM277" s="604">
        <f t="shared" ref="AM277" si="1016">IF(AM$265=0,0,AM154/AM$265)</f>
        <v>0</v>
      </c>
      <c r="AN277" s="605"/>
      <c r="AO277" s="155"/>
      <c r="AP277" s="604">
        <f t="shared" ref="AP277" si="1017">IF(AP$265=0,0,AP154/AP$265)</f>
        <v>0</v>
      </c>
      <c r="AQ277" s="605"/>
      <c r="AR277" s="155"/>
      <c r="AT277" s="358"/>
      <c r="AU277" s="358"/>
      <c r="AY277" s="689"/>
      <c r="AZ277" s="689"/>
      <c r="BA277" s="689"/>
      <c r="BB277" s="1"/>
    </row>
    <row r="278" spans="4:60" ht="16">
      <c r="D278" s="156"/>
      <c r="E278" s="588" t="s">
        <v>170</v>
      </c>
      <c r="F278" s="588"/>
      <c r="G278" s="588"/>
      <c r="I278" s="604">
        <f>IF(I$265=0,0,I220/I$265)</f>
        <v>0.86</v>
      </c>
      <c r="J278" s="605"/>
      <c r="K278" s="155"/>
      <c r="L278" s="604">
        <f t="shared" ref="L278" si="1018">IF(L$265=0,0,L220/L$265)</f>
        <v>0.86</v>
      </c>
      <c r="M278" s="605"/>
      <c r="N278" s="155"/>
      <c r="O278" s="604">
        <f t="shared" ref="O278" si="1019">IF(O$265=0,0,O220/O$265)</f>
        <v>0.86</v>
      </c>
      <c r="P278" s="605"/>
      <c r="Q278" s="155"/>
      <c r="R278" s="604">
        <f t="shared" ref="R278" si="1020">IF(R$265=0,0,R220/R$265)</f>
        <v>0.86</v>
      </c>
      <c r="S278" s="605"/>
      <c r="T278" s="155"/>
      <c r="U278" s="604">
        <f t="shared" ref="U278" si="1021">IF(U$265=0,0,U220/U$265)</f>
        <v>0.45714285714285713</v>
      </c>
      <c r="V278" s="605"/>
      <c r="W278" s="155"/>
      <c r="X278" s="604">
        <f t="shared" ref="X278" si="1022">IF(X$265=0,0,X220/X$265)</f>
        <v>5.7142857142857141E-2</v>
      </c>
      <c r="Y278" s="605"/>
      <c r="Z278" s="155"/>
      <c r="AA278" s="604">
        <f t="shared" ref="AA278" si="1023">IF(AA$265=0,0,AA220/AA$265)</f>
        <v>5.7142857142857141E-2</v>
      </c>
      <c r="AB278" s="605"/>
      <c r="AC278" s="155"/>
      <c r="AD278" s="604">
        <f t="shared" ref="AD278" si="1024">IF(AD$265=0,0,AD220/AD$265)</f>
        <v>5.7142857142857141E-2</v>
      </c>
      <c r="AE278" s="605"/>
      <c r="AF278" s="155"/>
      <c r="AG278" s="604">
        <f t="shared" ref="AG278" si="1025">IF(AG$265=0,0,AG220/AG$265)</f>
        <v>5.7142857142857141E-2</v>
      </c>
      <c r="AH278" s="605"/>
      <c r="AI278" s="155"/>
      <c r="AJ278" s="604">
        <f t="shared" ref="AJ278" si="1026">IF(AJ$265=0,0,AJ220/AJ$265)</f>
        <v>5.7142857142857141E-2</v>
      </c>
      <c r="AK278" s="605"/>
      <c r="AL278" s="155"/>
      <c r="AM278" s="604">
        <f t="shared" ref="AM278" si="1027">IF(AM$265=0,0,AM220/AM$265)</f>
        <v>5.7142857142857141E-2</v>
      </c>
      <c r="AN278" s="605"/>
      <c r="AO278" s="155"/>
      <c r="AP278" s="604">
        <f t="shared" ref="AP278" si="1028">IF(AP$265=0,0,AP220/AP$265)</f>
        <v>5.7142857142857141E-2</v>
      </c>
      <c r="AQ278" s="605"/>
      <c r="AR278" s="155"/>
      <c r="AT278" s="358"/>
      <c r="AU278" s="358"/>
      <c r="AY278" s="689"/>
      <c r="AZ278" s="689"/>
      <c r="BA278" s="689"/>
      <c r="BB278" s="1"/>
    </row>
    <row r="279" spans="4:60" ht="16">
      <c r="D279" s="156"/>
      <c r="E279" s="588" t="s">
        <v>215</v>
      </c>
      <c r="F279" s="588"/>
      <c r="G279" s="588"/>
      <c r="I279" s="604">
        <f>IF(I$265=0,0,I248/I$265)</f>
        <v>0.29466952380952377</v>
      </c>
      <c r="J279" s="605"/>
      <c r="K279" s="155"/>
      <c r="L279" s="604">
        <f t="shared" ref="L279" si="1029">IF(L$265=0,0,L248/L$265)</f>
        <v>0.29466952380952377</v>
      </c>
      <c r="M279" s="605"/>
      <c r="N279" s="155"/>
      <c r="O279" s="604">
        <f t="shared" ref="O279" si="1030">IF(O$265=0,0,O248/O$265)</f>
        <v>0.29752666666666666</v>
      </c>
      <c r="P279" s="605"/>
      <c r="Q279" s="155"/>
      <c r="R279" s="604">
        <f t="shared" ref="R279" si="1031">IF(R$265=0,0,R248/R$265)</f>
        <v>0.29586000000000001</v>
      </c>
      <c r="S279" s="605"/>
      <c r="T279" s="155"/>
      <c r="U279" s="604">
        <f t="shared" ref="U279" si="1032">IF(U$265=0,0,U248/U$265)</f>
        <v>0.1</v>
      </c>
      <c r="V279" s="605"/>
      <c r="W279" s="155"/>
      <c r="X279" s="604">
        <f t="shared" ref="X279" si="1033">IF(X$265=0,0,X248/X$265)</f>
        <v>0.1</v>
      </c>
      <c r="Y279" s="605"/>
      <c r="Z279" s="155"/>
      <c r="AA279" s="604">
        <f t="shared" ref="AA279" si="1034">IF(AA$265=0,0,AA248/AA$265)</f>
        <v>0.1</v>
      </c>
      <c r="AB279" s="605"/>
      <c r="AC279" s="155"/>
      <c r="AD279" s="604">
        <f t="shared" ref="AD279" si="1035">IF(AD$265=0,0,AD248/AD$265)</f>
        <v>0.1</v>
      </c>
      <c r="AE279" s="605"/>
      <c r="AF279" s="155"/>
      <c r="AG279" s="604">
        <f t="shared" ref="AG279" si="1036">IF(AG$265=0,0,AG248/AG$265)</f>
        <v>0.1</v>
      </c>
      <c r="AH279" s="605"/>
      <c r="AI279" s="155"/>
      <c r="AJ279" s="604">
        <f t="shared" ref="AJ279" si="1037">IF(AJ$265=0,0,AJ248/AJ$265)</f>
        <v>0.1</v>
      </c>
      <c r="AK279" s="605"/>
      <c r="AL279" s="155"/>
      <c r="AM279" s="604">
        <f t="shared" ref="AM279" si="1038">IF(AM$265=0,0,AM248/AM$265)</f>
        <v>0.1</v>
      </c>
      <c r="AN279" s="605"/>
      <c r="AO279" s="155"/>
      <c r="AP279" s="604">
        <f t="shared" ref="AP279" si="1039">IF(AP$265=0,0,AP248/AP$265)</f>
        <v>0.1</v>
      </c>
      <c r="AQ279" s="605"/>
      <c r="AR279" s="155"/>
      <c r="AT279" s="358"/>
      <c r="AU279" s="358"/>
      <c r="AY279" s="689"/>
      <c r="AZ279" s="689"/>
      <c r="BA279" s="689"/>
      <c r="BB279" s="1"/>
    </row>
    <row r="280" spans="4:60" ht="16">
      <c r="D280" s="156"/>
      <c r="E280" s="588" t="s">
        <v>216</v>
      </c>
      <c r="F280" s="588"/>
      <c r="G280" s="588"/>
      <c r="I280" s="604">
        <f>IF(I$265=0,0,I261/I$265)</f>
        <v>0</v>
      </c>
      <c r="J280" s="605"/>
      <c r="K280" s="155"/>
      <c r="L280" s="604">
        <f t="shared" ref="L280" si="1040">IF(L$265=0,0,L261/L$265)</f>
        <v>0</v>
      </c>
      <c r="M280" s="605"/>
      <c r="N280" s="155"/>
      <c r="O280" s="604">
        <f t="shared" ref="O280" si="1041">IF(O$265=0,0,O261/O$265)</f>
        <v>0</v>
      </c>
      <c r="P280" s="605"/>
      <c r="Q280" s="155"/>
      <c r="R280" s="604">
        <f t="shared" ref="R280" si="1042">IF(R$265=0,0,R261/R$265)</f>
        <v>0</v>
      </c>
      <c r="S280" s="605"/>
      <c r="T280" s="155"/>
      <c r="U280" s="604">
        <f t="shared" ref="U280" si="1043">IF(U$265=0,0,U261/U$265)</f>
        <v>0</v>
      </c>
      <c r="V280" s="605"/>
      <c r="W280" s="155"/>
      <c r="X280" s="604">
        <f t="shared" ref="X280" si="1044">IF(X$265=0,0,X261/X$265)</f>
        <v>0</v>
      </c>
      <c r="Y280" s="605"/>
      <c r="Z280" s="155"/>
      <c r="AA280" s="604">
        <f t="shared" ref="AA280" si="1045">IF(AA$265=0,0,AA261/AA$265)</f>
        <v>0</v>
      </c>
      <c r="AB280" s="605"/>
      <c r="AC280" s="155"/>
      <c r="AD280" s="604">
        <f t="shared" ref="AD280" si="1046">IF(AD$265=0,0,AD261/AD$265)</f>
        <v>0</v>
      </c>
      <c r="AE280" s="605"/>
      <c r="AF280" s="155"/>
      <c r="AG280" s="604">
        <f t="shared" ref="AG280" si="1047">IF(AG$265=0,0,AG261/AG$265)</f>
        <v>0</v>
      </c>
      <c r="AH280" s="605"/>
      <c r="AI280" s="155"/>
      <c r="AJ280" s="604">
        <f t="shared" ref="AJ280" si="1048">IF(AJ$265=0,0,AJ261/AJ$265)</f>
        <v>0</v>
      </c>
      <c r="AK280" s="605"/>
      <c r="AL280" s="155"/>
      <c r="AM280" s="604">
        <f t="shared" ref="AM280" si="1049">IF(AM$265=0,0,AM261/AM$265)</f>
        <v>0</v>
      </c>
      <c r="AN280" s="605"/>
      <c r="AO280" s="155"/>
      <c r="AP280" s="604">
        <f t="shared" ref="AP280" si="1050">IF(AP$265=0,0,AP261/AP$265)</f>
        <v>0</v>
      </c>
      <c r="AQ280" s="605"/>
      <c r="AR280" s="155"/>
      <c r="AT280" s="358"/>
      <c r="AU280" s="358"/>
      <c r="AY280" s="689"/>
      <c r="AZ280" s="689"/>
      <c r="BA280" s="689"/>
      <c r="BB280" s="1"/>
    </row>
    <row r="281" spans="4:60" ht="16">
      <c r="D281" s="156"/>
      <c r="E281" s="611" t="s">
        <v>227</v>
      </c>
      <c r="F281" s="611"/>
      <c r="G281" s="611"/>
      <c r="I281" s="606">
        <f>SUM(I276:J280)</f>
        <v>1.4540980952380953</v>
      </c>
      <c r="J281" s="607"/>
      <c r="K281" s="155"/>
      <c r="L281" s="606">
        <f t="shared" ref="L281" si="1051">SUM(L276:M280)</f>
        <v>1.4540980952380953</v>
      </c>
      <c r="M281" s="607"/>
      <c r="N281" s="155"/>
      <c r="O281" s="606">
        <f t="shared" ref="O281" si="1052">SUM(O276:P280)</f>
        <v>1.4569552380952382</v>
      </c>
      <c r="P281" s="607"/>
      <c r="Q281" s="155"/>
      <c r="R281" s="606">
        <f t="shared" ref="R281" si="1053">SUM(R276:S280)</f>
        <v>1.4552885714285715</v>
      </c>
      <c r="S281" s="607"/>
      <c r="T281" s="155"/>
      <c r="U281" s="606">
        <f t="shared" ref="U281" si="1054">SUM(U276:V280)</f>
        <v>0.7857142857142857</v>
      </c>
      <c r="V281" s="607"/>
      <c r="W281" s="155"/>
      <c r="X281" s="606">
        <f t="shared" ref="X281" si="1055">SUM(X276:Y280)</f>
        <v>0.2857142857142857</v>
      </c>
      <c r="Y281" s="607"/>
      <c r="Z281" s="155"/>
      <c r="AA281" s="606">
        <f t="shared" ref="AA281" si="1056">SUM(AA276:AB280)</f>
        <v>0.2857142857142857</v>
      </c>
      <c r="AB281" s="607"/>
      <c r="AC281" s="155"/>
      <c r="AD281" s="606">
        <f t="shared" ref="AD281" si="1057">SUM(AD276:AE280)</f>
        <v>0.2857142857142857</v>
      </c>
      <c r="AE281" s="607"/>
      <c r="AF281" s="155"/>
      <c r="AG281" s="606">
        <f t="shared" ref="AG281" si="1058">SUM(AG276:AH280)</f>
        <v>0.2857142857142857</v>
      </c>
      <c r="AH281" s="607"/>
      <c r="AI281" s="155"/>
      <c r="AJ281" s="606">
        <f t="shared" ref="AJ281" si="1059">SUM(AJ276:AK280)</f>
        <v>0.2857142857142857</v>
      </c>
      <c r="AK281" s="607"/>
      <c r="AL281" s="155"/>
      <c r="AM281" s="606">
        <f t="shared" ref="AM281" si="1060">SUM(AM276:AN280)</f>
        <v>0.2857142857142857</v>
      </c>
      <c r="AN281" s="607"/>
      <c r="AO281" s="155"/>
      <c r="AP281" s="606">
        <f t="shared" ref="AP281" si="1061">SUM(AP276:AQ280)</f>
        <v>0.2857142857142857</v>
      </c>
      <c r="AQ281" s="607"/>
      <c r="AR281" s="155"/>
      <c r="AT281" s="358"/>
      <c r="AU281" s="358"/>
      <c r="AY281" s="690"/>
      <c r="AZ281" s="690"/>
      <c r="BA281" s="690"/>
      <c r="BB281" s="1"/>
    </row>
    <row r="282" spans="4:60">
      <c r="D282" s="156"/>
      <c r="E282" s="1"/>
      <c r="F282" s="1"/>
      <c r="G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T282" s="1"/>
      <c r="AU282" s="1"/>
      <c r="AY282" s="1"/>
      <c r="AZ282" s="1"/>
      <c r="BA282" s="1"/>
      <c r="BB282" s="1"/>
    </row>
    <row r="283" spans="4:60">
      <c r="D283" s="156"/>
      <c r="E283" s="1"/>
      <c r="F283" s="1"/>
      <c r="G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T283" s="1"/>
      <c r="AU283" s="1"/>
      <c r="AY283" s="494"/>
      <c r="AZ283" s="494"/>
      <c r="BA283" s="494"/>
      <c r="BB283" s="1"/>
    </row>
    <row r="284" spans="4:60" ht="16">
      <c r="D284" s="156"/>
      <c r="E284" s="1"/>
      <c r="F284" s="1"/>
      <c r="G284" s="435" t="s">
        <v>580</v>
      </c>
      <c r="I284" s="432" t="s">
        <v>579</v>
      </c>
      <c r="J284" s="431">
        <f>SUM(J54,J57,J60,J63,J66,J69,J72,J75,J78,J81,J84,J87,J90,J93,J96,J99,J102,J105,J108,J111,J134,J136,J138,J140,J142,J144,J146,J148,J150,J152,J160,J163,J166,J169,J172,J175,J178,J181,J184,J187,J190,J193,J196,J199,J202,J205,J227,J228,J229,J230,J231,J232,J233,J234,J235,J236,J237,J238,J239,J240,J241,J242,J243,J244,J245,J246,J247,J249,J250,J251,J252,J253,J254,J255,J256,J257,J258,J259,J260)</f>
        <v>5089.3433333333332</v>
      </c>
      <c r="K284" s="426"/>
      <c r="L284" s="432" t="s">
        <v>579</v>
      </c>
      <c r="M284" s="431">
        <f t="shared" ref="M284" si="1062">SUM(M54,M57,M60,M63,M66,M69,M72,M75,M78,M81,M84,M87,M90,M93,M96,M99,M102,M105,M108,M111,M134,M136,M138,M140,M142,M144,M146,M148,M150,M152,M160,M163,M166,M169,M172,M175,M178,M181,M184,M187,M190,M193,M196,M199,M202,M205,M227,M228,M229,M230,M231,M232,M233,M234,M235,M236,M237,M238,M239,M240,M241,M242,M243,M244,M245,M246,M247,M249,M250,M251,M252,M253,M254,M255,M256,M257,M258,M259,M260)</f>
        <v>5089.3433333333332</v>
      </c>
      <c r="N284" s="426"/>
      <c r="O284" s="432" t="s">
        <v>579</v>
      </c>
      <c r="P284" s="431">
        <f t="shared" ref="P284" si="1063">SUM(P54,P57,P60,P63,P66,P69,P72,P75,P78,P81,P84,P87,P90,P93,P96,P99,P102,P105,P108,P111,P134,P136,P138,P140,P142,P144,P146,P148,P150,P152,P160,P163,P166,P169,P172,P175,P178,P181,P184,P187,P190,P193,P196,P199,P202,P205,P227,P228,P229,P230,P231,P232,P233,P234,P235,P236,P237,P238,P239,P240,P241,P242,P243,P244,P245,P246,P247,P249,P250,P251,P252,P253,P254,P255,P256,P257,P258,P259,P260)</f>
        <v>5099.3433333333332</v>
      </c>
      <c r="Q284" s="426"/>
      <c r="R284" s="432" t="s">
        <v>579</v>
      </c>
      <c r="S284" s="431">
        <f>SUM(S54,S57,S60,S63,S66,S69,S72,S75,S78,S81,S84,S87,S90,S93,S96,S99,S102,S105,S108,S111,S134,S136,S138,S140,S142,S144,S146,S148,S150,S152,S160,S163,S166,S169,S172,S175,S178,S181,S184,S187,S190,S193,S196,S199,S202,S205,S227,S228,S229,S230,S231,S232,S233,S234,S235,S236,S237,S238,S239,S240,S241,S242,S243,S244,S245,S246,S247,S249,S250,S251,S252,S253,S254,S255,S256,S257,S258,S259,S260)</f>
        <v>5093.51</v>
      </c>
      <c r="T284" s="426"/>
      <c r="U284" s="432" t="s">
        <v>579</v>
      </c>
      <c r="V284" s="431">
        <f t="shared" ref="V284" si="1064">SUM(V54,V57,V60,V63,V66,V69,V72,V75,V78,V81,V84,V87,V90,V93,V96,V99,V102,V105,V108,V111,V134,V136,V138,V140,V142,V144,V146,V148,V150,V152,V160,V163,V166,V169,V172,V175,V178,V181,V184,V187,V190,V193,V196,V199,V202,V205,V227,V228,V229,V230,V231,V232,V233,V234,V235,V236,V237,V238,V239,V240,V241,V242,V243,V244,V245,V246,V247,V249,V250,V251,V252,V253,V254,V255,V256,V257,V258,V259,V260)</f>
        <v>2750</v>
      </c>
      <c r="W284" s="426"/>
      <c r="X284" s="432" t="s">
        <v>579</v>
      </c>
      <c r="Y284" s="431">
        <f t="shared" ref="Y284" si="1065">SUM(Y54,Y57,Y60,Y63,Y66,Y69,Y72,Y75,Y78,Y81,Y84,Y87,Y90,Y93,Y96,Y99,Y102,Y105,Y108,Y111,Y134,Y136,Y138,Y140,Y142,Y144,Y146,Y148,Y150,Y152,Y160,Y163,Y166,Y169,Y172,Y175,Y178,Y181,Y184,Y187,Y190,Y193,Y196,Y199,Y202,Y205,Y227,Y228,Y229,Y230,Y231,Y232,Y233,Y234,Y235,Y236,Y237,Y238,Y239,Y240,Y241,Y242,Y243,Y244,Y245,Y246,Y247,Y249,Y250,Y251,Y252,Y253,Y254,Y255,Y256,Y257,Y258,Y259,Y260)</f>
        <v>1000</v>
      </c>
      <c r="Z284" s="426"/>
      <c r="AA284" s="432" t="s">
        <v>579</v>
      </c>
      <c r="AB284" s="431">
        <f t="shared" ref="AB284" si="1066">SUM(AB54,AB57,AB60,AB63,AB66,AB69,AB72,AB75,AB78,AB81,AB84,AB87,AB90,AB93,AB96,AB99,AB102,AB105,AB108,AB111,AB134,AB136,AB138,AB140,AB142,AB144,AB146,AB148,AB150,AB152,AB160,AB163,AB166,AB169,AB172,AB175,AB178,AB181,AB184,AB187,AB190,AB193,AB196,AB199,AB202,AB205,AB227,AB228,AB229,AB230,AB231,AB232,AB233,AB234,AB235,AB236,AB237,AB238,AB239,AB240,AB241,AB242,AB243,AB244,AB245,AB246,AB247,AB249,AB250,AB251,AB252,AB253,AB254,AB255,AB256,AB257,AB258,AB259,AB260)</f>
        <v>1000</v>
      </c>
      <c r="AC284" s="426"/>
      <c r="AD284" s="432" t="s">
        <v>579</v>
      </c>
      <c r="AE284" s="431">
        <f t="shared" ref="AE284" si="1067">SUM(AE54,AE57,AE60,AE63,AE66,AE69,AE72,AE75,AE78,AE81,AE84,AE87,AE90,AE93,AE96,AE99,AE102,AE105,AE108,AE111,AE134,AE136,AE138,AE140,AE142,AE144,AE146,AE148,AE150,AE152,AE160,AE163,AE166,AE169,AE172,AE175,AE178,AE181,AE184,AE187,AE190,AE193,AE196,AE199,AE202,AE205,AE227,AE228,AE229,AE230,AE231,AE232,AE233,AE234,AE235,AE236,AE237,AE238,AE239,AE240,AE241,AE242,AE243,AE244,AE245,AE246,AE247,AE249,AE250,AE251,AE252,AE253,AE254,AE255,AE256,AE257,AE258,AE259,AE260)</f>
        <v>1000</v>
      </c>
      <c r="AF284" s="426"/>
      <c r="AG284" s="432" t="s">
        <v>579</v>
      </c>
      <c r="AH284" s="431">
        <f t="shared" ref="AH284" si="1068">SUM(AH54,AH57,AH60,AH63,AH66,AH69,AH72,AH75,AH78,AH81,AH84,AH87,AH90,AH93,AH96,AH99,AH102,AH105,AH108,AH111,AH134,AH136,AH138,AH140,AH142,AH144,AH146,AH148,AH150,AH152,AH160,AH163,AH166,AH169,AH172,AH175,AH178,AH181,AH184,AH187,AH190,AH193,AH196,AH199,AH202,AH205,AH227,AH228,AH229,AH230,AH231,AH232,AH233,AH234,AH235,AH236,AH237,AH238,AH239,AH240,AH241,AH242,AH243,AH244,AH245,AH246,AH247,AH249,AH250,AH251,AH252,AH253,AH254,AH255,AH256,AH257,AH258,AH259,AH260)</f>
        <v>1000</v>
      </c>
      <c r="AI284" s="426"/>
      <c r="AJ284" s="432" t="s">
        <v>579</v>
      </c>
      <c r="AK284" s="431">
        <f t="shared" ref="AK284" si="1069">SUM(AK54,AK57,AK60,AK63,AK66,AK69,AK72,AK75,AK78,AK81,AK84,AK87,AK90,AK93,AK96,AK99,AK102,AK105,AK108,AK111,AK134,AK136,AK138,AK140,AK142,AK144,AK146,AK148,AK150,AK152,AK160,AK163,AK166,AK169,AK172,AK175,AK178,AK181,AK184,AK187,AK190,AK193,AK196,AK199,AK202,AK205,AK227,AK228,AK229,AK230,AK231,AK232,AK233,AK234,AK235,AK236,AK237,AK238,AK239,AK240,AK241,AK242,AK243,AK244,AK245,AK246,AK247,AK249,AK250,AK251,AK252,AK253,AK254,AK255,AK256,AK257,AK258,AK259,AK260)</f>
        <v>1000</v>
      </c>
      <c r="AL284" s="426"/>
      <c r="AM284" s="432" t="s">
        <v>579</v>
      </c>
      <c r="AN284" s="431">
        <f t="shared" ref="AN284" si="1070">SUM(AN54,AN57,AN60,AN63,AN66,AN69,AN72,AN75,AN78,AN81,AN84,AN87,AN90,AN93,AN96,AN99,AN102,AN105,AN108,AN111,AN134,AN136,AN138,AN140,AN142,AN144,AN146,AN148,AN150,AN152,AN160,AN163,AN166,AN169,AN172,AN175,AN178,AN181,AN184,AN187,AN190,AN193,AN196,AN199,AN202,AN205,AN227,AN228,AN229,AN230,AN231,AN232,AN233,AN234,AN235,AN236,AN237,AN238,AN239,AN240,AN241,AN242,AN243,AN244,AN245,AN246,AN247,AN249,AN250,AN251,AN252,AN253,AN254,AN255,AN256,AN257,AN258,AN259,AN260)</f>
        <v>1000</v>
      </c>
      <c r="AO284" s="426"/>
      <c r="AP284" s="432" t="s">
        <v>579</v>
      </c>
      <c r="AQ284" s="431">
        <f t="shared" ref="AQ284" si="1071">SUM(AQ54,AQ57,AQ60,AQ63,AQ66,AQ69,AQ72,AQ75,AQ78,AQ81,AQ84,AQ87,AQ90,AQ93,AQ96,AQ99,AQ102,AQ105,AQ108,AQ111,AQ134,AQ136,AQ138,AQ140,AQ142,AQ144,AQ146,AQ148,AQ150,AQ152,AQ160,AQ163,AQ166,AQ169,AQ172,AQ175,AQ178,AQ181,AQ184,AQ187,AQ190,AQ193,AQ196,AQ199,AQ202,AQ205,AQ227,AQ228,AQ229,AQ230,AQ231,AQ232,AQ233,AQ234,AQ235,AQ236,AQ237,AQ238,AQ239,AQ240,AQ241,AQ242,AQ243,AQ244,AQ245,AQ246,AQ247,AQ249,AQ250,AQ251,AQ252,AQ253,AQ254,AQ255,AQ256,AQ257,AQ258,AQ259,AQ260)</f>
        <v>1000</v>
      </c>
      <c r="AR284" s="426"/>
      <c r="AT284" s="1"/>
      <c r="AU284" s="1"/>
      <c r="AY284" s="686"/>
      <c r="AZ284" s="686"/>
      <c r="BA284" s="686"/>
      <c r="BB284" s="1"/>
    </row>
    <row r="285" spans="4:60">
      <c r="D285" s="156"/>
      <c r="E285" s="1"/>
      <c r="F285" s="1"/>
      <c r="G285" s="1"/>
      <c r="I285" s="433" t="s">
        <v>578</v>
      </c>
      <c r="J285" s="427">
        <f>SUM(IF(K54="ok",J54,0), IF(K57="ok",J57,0), IF(K60="ok",J60,0),IF(K63="ok",J63,0), IF(K66="ok",J66,0), IF(K69="ok",J69,0), IF(K72="ok",J72,0), IF(K75="ok",J75,0), IF(K78="ok",J78,0), IF(K81="ok",J81,0), IF(K84="ok",J84,0), IF(K87="ok",J87,0), IF(K90="ok",J90,0), IF(K93="ok",J93,0), IF(K96="ok",J96,0), IF(K99="ok",J99,0), IF(K102="ok",J102,0), IF(K105="ok",J105,0), IF(K108="ok",J108,0), IF(K111="ok",J111,0), IF(K134="ok",J134,0), IF(K136="ok",J136,0), IF(K138="ok",J138,0), IF(K140="ok",J140,0), IF(K142="ok",J142,0), IF(K144="ok",J144,0), IF(K146="ok",J146,0), IF(K148="ok",J148,0), IF(K150="ok",J150,0), IF(K152="ok",J152,0), IF(K160="ok",J160,0), IF(K163="ok",J163,0), IF(K166="ok",J166,0), IF(K169="ok",J169,0), IF(K172="ok",J172,0), IF(K175="ok",J175,0), IF(K178="ok",J178,0), IF(K181="ok",J181,0), IF(K184="ok",J184,0), IF(K187="ok",J187,0), IF(K190="ok",J190,0), IF(K193="ok",J193,0), IF(K196="ok",J196,0), IF(K199="ok",J199,0), IF(K202="ok",J202,0), IF(K205="ok",J205,0), IF(K227="ok",J227,0), IF(K228="ok",J228,0), IF(K229="ok",J229,0), IF(K230="ok",J230,0), IF(K231="ok",J231,0), IF(K232="ok",J232,0), IF(K233="ok",J233,0), IF(K234="ok",J234,0), IF(K235="ok",J235,0), IF(K236="ok",J236,0), IF(K237="ok",J237,0), IF(K238="ok",J238,0), IF(K239="ok",J239,0), IF(K240="ok",J240,0), IF(K241="ok",J241,0), IF(K242="ok",J242,0), IF(K243="ok",J243,0), IF(K244="ok",J244,0), IF(K245="ok",J245,0), IF(K246="ok",J246,0), IF(K247="ok",J247,0), IF(K249="ok",J249,0), IF(K250="ok",J250,0), IF(K251="ok",J251,0), IF(K252="ok",J252,0), IF(K253="ok",J253,0), IF(K254="ok",J254,0), IF(K255="ok",J255,0), IF(K256="ok",J256,0), IF(K257="ok",J257,0), IF(K258="ok",J258,0), IF(K259="ok",J259,0), IF(K260="ok",J260,0))</f>
        <v>0</v>
      </c>
      <c r="K285" s="429">
        <f>IF(J284=0,"",J285/J284)</f>
        <v>0</v>
      </c>
      <c r="L285" s="433" t="s">
        <v>578</v>
      </c>
      <c r="M285" s="427">
        <f t="shared" ref="M285:P285" si="1072">SUM(IF(N54="ok",M54,0), IF(N57="ok",M57,0), IF(N60="ok",M60,0),IF(N63="ok",M63,0), IF(N66="ok",M66,0), IF(N69="ok",M69,0), IF(N72="ok",M72,0), IF(N75="ok",M75,0), IF(N78="ok",M78,0), IF(N81="ok",M81,0), IF(N84="ok",M84,0), IF(N87="ok",M87,0), IF(N90="ok",M90,0), IF(N93="ok",M93,0), IF(N96="ok",M96,0), IF(N99="ok",M99,0), IF(N102="ok",M102,0), IF(N105="ok",M105,0), IF(N108="ok",M108,0), IF(N111="ok",M111,0), IF(N134="ok",M134,0), IF(N136="ok",M136,0), IF(N138="ok",M138,0), IF(N140="ok",M140,0), IF(N142="ok",M142,0), IF(N144="ok",M144,0), IF(N146="ok",M146,0), IF(N148="ok",M148,0), IF(N150="ok",M150,0), IF(N152="ok",M152,0), IF(N160="ok",M160,0), IF(N163="ok",M163,0), IF(N166="ok",M166,0), IF(N169="ok",M169,0), IF(N172="ok",M172,0), IF(N175="ok",M175,0), IF(N178="ok",M178,0), IF(N181="ok",M181,0), IF(N184="ok",M184,0), IF(N187="ok",M187,0), IF(N190="ok",M190,0), IF(N193="ok",M193,0), IF(N196="ok",M196,0), IF(N199="ok",M199,0), IF(N202="ok",M202,0), IF(N205="ok",M205,0), IF(N227="ok",M227,0), IF(N228="ok",M228,0), IF(N229="ok",M229,0), IF(N230="ok",M230,0), IF(N231="ok",M231,0), IF(N232="ok",M232,0), IF(N233="ok",M233,0), IF(N234="ok",M234,0), IF(N235="ok",M235,0), IF(N236="ok",M236,0), IF(N237="ok",M237,0), IF(N238="ok",M238,0), IF(N239="ok",M239,0), IF(N240="ok",M240,0), IF(N241="ok",M241,0), IF(N242="ok",M242,0), IF(N243="ok",M243,0), IF(N244="ok",M244,0), IF(N245="ok",M245,0), IF(N246="ok",M246,0), IF(N247="ok",M247,0), IF(N249="ok",M249,0), IF(N250="ok",M250,0), IF(N251="ok",M251,0), IF(N252="ok",M252,0), IF(N253="ok",M253,0), IF(N254="ok",M254,0), IF(N255="ok",M255,0), IF(N256="ok",M256,0), IF(N257="ok",M257,0), IF(N258="ok",M258,0), IF(N259="ok",M259,0), IF(N260="ok",M260,0))</f>
        <v>0</v>
      </c>
      <c r="N285" s="429">
        <f>IF(M284=0,"",M285/M284)</f>
        <v>0</v>
      </c>
      <c r="O285" s="433" t="s">
        <v>578</v>
      </c>
      <c r="P285" s="427">
        <f t="shared" si="1072"/>
        <v>0</v>
      </c>
      <c r="Q285" s="429">
        <f>IF(P284=0,"",P285/P284)</f>
        <v>0</v>
      </c>
      <c r="R285" s="433" t="s">
        <v>578</v>
      </c>
      <c r="S285" s="427">
        <f>SUM(IF(T54="ok",S54,0), IF(T57="ok",S57,0), IF(T60="ok",S60,0),IF(T63="ok",S63,0), IF(T66="ok",S66,0), IF(T69="ok",S69,0), IF(T72="ok",S72,0), IF(T75="ok",S75,0), IF(T78="ok",S78,0), IF(T81="ok",S81,0), IF(T84="ok",S84,0), IF(T87="ok",S87,0), IF(T90="ok",S90,0), IF(T93="ok",S93,0), IF(T96="ok",S96,0), IF(T99="ok",S99,0), IF(T102="ok",S102,0), IF(T105="ok",S105,0), IF(T108="ok",S108,0), IF(T111="ok",S111,0), IF(T134="ok",S134,0), IF(T136="ok",S136,0), IF(T138="ok",S138,0), IF(T140="ok",S140,0), IF(T142="ok",S142,0), IF(T144="ok",S144,0), IF(T146="ok",S146,0), IF(T148="ok",S148,0), IF(T150="ok",S150,0), IF(T152="ok",S152,0), IF(T160="ok",S160,0), IF(T163="ok",S163,0), IF(T166="ok",S166,0), IF(T169="ok",S169,0), IF(T172="ok",S172,0), IF(T175="ok",S175,0), IF(T178="ok",S178,0), IF(T181="ok",S181,0), IF(T184="ok",S184,0), IF(T187="ok",S187,0), IF(T190="ok",S190,0), IF(T193="ok",S193,0), IF(T196="ok",S196,0), IF(T199="ok",S199,0), IF(T202="ok",S202,0), IF(T205="ok",S205,0), IF(T227="ok",S227,0), IF(T228="ok",S228,0), IF(T229="ok",S229,0), IF(T230="ok",S230,0), IF(T231="ok",S231,0), IF(T232="ok",S232,0), IF(T233="ok",S233,0), IF(T234="ok",S234,0), IF(T235="ok",S235,0), IF(T236="ok",S236,0), IF(T237="ok",S237,0), IF(T238="ok",S238,0), IF(T239="ok",S239,0), IF(T240="ok",S240,0), IF(T241="ok",S241,0), IF(T242="ok",S242,0), IF(T243="ok",S243,0), IF(T244="ok",S244,0), IF(T245="ok",S245,0), IF(T246="ok",S246,0), IF(T247="ok",S247,0), IF(T249="ok",S249,0), IF(T250="ok",S250,0), IF(T251="ok",S251,0), IF(T252="ok",S252,0), IF(T253="ok",S253,0), IF(T254="ok",S254,0), IF(T255="ok",S255,0), IF(T256="ok",S256,0), IF(T257="ok",S257,0), IF(T258="ok",S258,0), IF(T259="ok",S259,0), IF(T260="ok",S260,0))</f>
        <v>0</v>
      </c>
      <c r="T285" s="429">
        <f>IF(S284=0,"",S285/S284)</f>
        <v>0</v>
      </c>
      <c r="U285" s="433" t="s">
        <v>578</v>
      </c>
      <c r="V285" s="427">
        <f t="shared" ref="V285" si="1073">SUM(IF(W54="ok",V54,0), IF(W57="ok",V57,0), IF(W60="ok",V60,0),IF(W63="ok",V63,0), IF(W66="ok",V66,0), IF(W69="ok",V69,0), IF(W72="ok",V72,0), IF(W75="ok",V75,0), IF(W78="ok",V78,0), IF(W81="ok",V81,0), IF(W84="ok",V84,0), IF(W87="ok",V87,0), IF(W90="ok",V90,0), IF(W93="ok",V93,0), IF(W96="ok",V96,0), IF(W99="ok",V99,0), IF(W102="ok",V102,0), IF(W105="ok",V105,0), IF(W108="ok",V108,0), IF(W111="ok",V111,0), IF(W134="ok",V134,0), IF(W136="ok",V136,0), IF(W138="ok",V138,0), IF(W140="ok",V140,0), IF(W142="ok",V142,0), IF(W144="ok",V144,0), IF(W146="ok",V146,0), IF(W148="ok",V148,0), IF(W150="ok",V150,0), IF(W152="ok",V152,0), IF(W160="ok",V160,0), IF(W163="ok",V163,0), IF(W166="ok",V166,0), IF(W169="ok",V169,0), IF(W172="ok",V172,0), IF(W175="ok",V175,0), IF(W178="ok",V178,0), IF(W181="ok",V181,0), IF(W184="ok",V184,0), IF(W187="ok",V187,0), IF(W190="ok",V190,0), IF(W193="ok",V193,0), IF(W196="ok",V196,0), IF(W199="ok",V199,0), IF(W202="ok",V202,0), IF(W205="ok",V205,0), IF(W227="ok",V227,0), IF(W228="ok",V228,0), IF(W229="ok",V229,0), IF(W230="ok",V230,0), IF(W231="ok",V231,0), IF(W232="ok",V232,0), IF(W233="ok",V233,0), IF(W234="ok",V234,0), IF(W235="ok",V235,0), IF(W236="ok",V236,0), IF(W237="ok",V237,0), IF(W238="ok",V238,0), IF(W239="ok",V239,0), IF(W240="ok",V240,0), IF(W241="ok",V241,0), IF(W242="ok",V242,0), IF(W243="ok",V243,0), IF(W244="ok",V244,0), IF(W245="ok",V245,0), IF(W246="ok",V246,0), IF(W247="ok",V247,0), IF(W249="ok",V249,0), IF(W250="ok",V250,0), IF(W251="ok",V251,0), IF(W252="ok",V252,0), IF(W253="ok",V253,0), IF(W254="ok",V254,0), IF(W255="ok",V255,0), IF(W256="ok",V256,0), IF(W257="ok",V257,0), IF(W258="ok",V258,0), IF(W259="ok",V259,0), IF(W260="ok",V260,0))</f>
        <v>0</v>
      </c>
      <c r="W285" s="429">
        <f>IF(V284=0,"",V285/V284)</f>
        <v>0</v>
      </c>
      <c r="X285" s="433" t="s">
        <v>578</v>
      </c>
      <c r="Y285" s="427">
        <f t="shared" ref="Y285" si="1074">SUM(IF(Z54="ok",Y54,0), IF(Z57="ok",Y57,0), IF(Z60="ok",Y60,0),IF(Z63="ok",Y63,0), IF(Z66="ok",Y66,0), IF(Z69="ok",Y69,0), IF(Z72="ok",Y72,0), IF(Z75="ok",Y75,0), IF(Z78="ok",Y78,0), IF(Z81="ok",Y81,0), IF(Z84="ok",Y84,0), IF(Z87="ok",Y87,0), IF(Z90="ok",Y90,0), IF(Z93="ok",Y93,0), IF(Z96="ok",Y96,0), IF(Z99="ok",Y99,0), IF(Z102="ok",Y102,0), IF(Z105="ok",Y105,0), IF(Z108="ok",Y108,0), IF(Z111="ok",Y111,0), IF(Z134="ok",Y134,0), IF(Z136="ok",Y136,0), IF(Z138="ok",Y138,0), IF(Z140="ok",Y140,0), IF(Z142="ok",Y142,0), IF(Z144="ok",Y144,0), IF(Z146="ok",Y146,0), IF(Z148="ok",Y148,0), IF(Z150="ok",Y150,0), IF(Z152="ok",Y152,0), IF(Z160="ok",Y160,0), IF(Z163="ok",Y163,0), IF(Z166="ok",Y166,0), IF(Z169="ok",Y169,0), IF(Z172="ok",Y172,0), IF(Z175="ok",Y175,0), IF(Z178="ok",Y178,0), IF(Z181="ok",Y181,0), IF(Z184="ok",Y184,0), IF(Z187="ok",Y187,0), IF(Z190="ok",Y190,0), IF(Z193="ok",Y193,0), IF(Z196="ok",Y196,0), IF(Z199="ok",Y199,0), IF(Z202="ok",Y202,0), IF(Z205="ok",Y205,0), IF(Z227="ok",Y227,0), IF(Z228="ok",Y228,0), IF(Z229="ok",Y229,0), IF(Z230="ok",Y230,0), IF(Z231="ok",Y231,0), IF(Z232="ok",Y232,0), IF(Z233="ok",Y233,0), IF(Z234="ok",Y234,0), IF(Z235="ok",Y235,0), IF(Z236="ok",Y236,0), IF(Z237="ok",Y237,0), IF(Z238="ok",Y238,0), IF(Z239="ok",Y239,0), IF(Z240="ok",Y240,0), IF(Z241="ok",Y241,0), IF(Z242="ok",Y242,0), IF(Z243="ok",Y243,0), IF(Z244="ok",Y244,0), IF(Z245="ok",Y245,0), IF(Z246="ok",Y246,0), IF(Z247="ok",Y247,0), IF(Z249="ok",Y249,0), IF(Z250="ok",Y250,0), IF(Z251="ok",Y251,0), IF(Z252="ok",Y252,0), IF(Z253="ok",Y253,0), IF(Z254="ok",Y254,0), IF(Z255="ok",Y255,0), IF(Z256="ok",Y256,0), IF(Z257="ok",Y257,0), IF(Z258="ok",Y258,0), IF(Z259="ok",Y259,0), IF(Z260="ok",Y260,0))</f>
        <v>0</v>
      </c>
      <c r="Z285" s="429">
        <f>IF(Y284=0,"",Y285/Y284)</f>
        <v>0</v>
      </c>
      <c r="AA285" s="433" t="s">
        <v>578</v>
      </c>
      <c r="AB285" s="427">
        <f t="shared" ref="AB285" si="1075">SUM(IF(AC54="ok",AB54,0), IF(AC57="ok",AB57,0), IF(AC60="ok",AB60,0),IF(AC63="ok",AB63,0), IF(AC66="ok",AB66,0), IF(AC69="ok",AB69,0), IF(AC72="ok",AB72,0), IF(AC75="ok",AB75,0), IF(AC78="ok",AB78,0), IF(AC81="ok",AB81,0), IF(AC84="ok",AB84,0), IF(AC87="ok",AB87,0), IF(AC90="ok",AB90,0), IF(AC93="ok",AB93,0), IF(AC96="ok",AB96,0), IF(AC99="ok",AB99,0), IF(AC102="ok",AB102,0), IF(AC105="ok",AB105,0), IF(AC108="ok",AB108,0), IF(AC111="ok",AB111,0), IF(AC134="ok",AB134,0), IF(AC136="ok",AB136,0), IF(AC138="ok",AB138,0), IF(AC140="ok",AB140,0), IF(AC142="ok",AB142,0), IF(AC144="ok",AB144,0), IF(AC146="ok",AB146,0), IF(AC148="ok",AB148,0), IF(AC150="ok",AB150,0), IF(AC152="ok",AB152,0), IF(AC160="ok",AB160,0), IF(AC163="ok",AB163,0), IF(AC166="ok",AB166,0), IF(AC169="ok",AB169,0), IF(AC172="ok",AB172,0), IF(AC175="ok",AB175,0), IF(AC178="ok",AB178,0), IF(AC181="ok",AB181,0), IF(AC184="ok",AB184,0), IF(AC187="ok",AB187,0), IF(AC190="ok",AB190,0), IF(AC193="ok",AB193,0), IF(AC196="ok",AB196,0), IF(AC199="ok",AB199,0), IF(AC202="ok",AB202,0), IF(AC205="ok",AB205,0), IF(AC227="ok",AB227,0), IF(AC228="ok",AB228,0), IF(AC229="ok",AB229,0), IF(AC230="ok",AB230,0), IF(AC231="ok",AB231,0), IF(AC232="ok",AB232,0), IF(AC233="ok",AB233,0), IF(AC234="ok",AB234,0), IF(AC235="ok",AB235,0), IF(AC236="ok",AB236,0), IF(AC237="ok",AB237,0), IF(AC238="ok",AB238,0), IF(AC239="ok",AB239,0), IF(AC240="ok",AB240,0), IF(AC241="ok",AB241,0), IF(AC242="ok",AB242,0), IF(AC243="ok",AB243,0), IF(AC244="ok",AB244,0), IF(AC245="ok",AB245,0), IF(AC246="ok",AB246,0), IF(AC247="ok",AB247,0), IF(AC249="ok",AB249,0), IF(AC250="ok",AB250,0), IF(AC251="ok",AB251,0), IF(AC252="ok",AB252,0), IF(AC253="ok",AB253,0), IF(AC254="ok",AB254,0), IF(AC255="ok",AB255,0), IF(AC256="ok",AB256,0), IF(AC257="ok",AB257,0), IF(AC258="ok",AB258,0), IF(AC259="ok",AB259,0), IF(AC260="ok",AB260,0))</f>
        <v>0</v>
      </c>
      <c r="AC285" s="429">
        <f>IF(AB284=0,"",AB285/AB284)</f>
        <v>0</v>
      </c>
      <c r="AD285" s="433" t="s">
        <v>578</v>
      </c>
      <c r="AE285" s="427">
        <f t="shared" ref="AE285" si="1076">SUM(IF(AF54="ok",AE54,0), IF(AF57="ok",AE57,0), IF(AF60="ok",AE60,0),IF(AF63="ok",AE63,0), IF(AF66="ok",AE66,0), IF(AF69="ok",AE69,0), IF(AF72="ok",AE72,0), IF(AF75="ok",AE75,0), IF(AF78="ok",AE78,0), IF(AF81="ok",AE81,0), IF(AF84="ok",AE84,0), IF(AF87="ok",AE87,0), IF(AF90="ok",AE90,0), IF(AF93="ok",AE93,0), IF(AF96="ok",AE96,0), IF(AF99="ok",AE99,0), IF(AF102="ok",AE102,0), IF(AF105="ok",AE105,0), IF(AF108="ok",AE108,0), IF(AF111="ok",AE111,0), IF(AF134="ok",AE134,0), IF(AF136="ok",AE136,0), IF(AF138="ok",AE138,0), IF(AF140="ok",AE140,0), IF(AF142="ok",AE142,0), IF(AF144="ok",AE144,0), IF(AF146="ok",AE146,0), IF(AF148="ok",AE148,0), IF(AF150="ok",AE150,0), IF(AF152="ok",AE152,0), IF(AF160="ok",AE160,0), IF(AF163="ok",AE163,0), IF(AF166="ok",AE166,0), IF(AF169="ok",AE169,0), IF(AF172="ok",AE172,0), IF(AF175="ok",AE175,0), IF(AF178="ok",AE178,0), IF(AF181="ok",AE181,0), IF(AF184="ok",AE184,0), IF(AF187="ok",AE187,0), IF(AF190="ok",AE190,0), IF(AF193="ok",AE193,0), IF(AF196="ok",AE196,0), IF(AF199="ok",AE199,0), IF(AF202="ok",AE202,0), IF(AF205="ok",AE205,0), IF(AF227="ok",AE227,0), IF(AF228="ok",AE228,0), IF(AF229="ok",AE229,0), IF(AF230="ok",AE230,0), IF(AF231="ok",AE231,0), IF(AF232="ok",AE232,0), IF(AF233="ok",AE233,0), IF(AF234="ok",AE234,0), IF(AF235="ok",AE235,0), IF(AF236="ok",AE236,0), IF(AF237="ok",AE237,0), IF(AF238="ok",AE238,0), IF(AF239="ok",AE239,0), IF(AF240="ok",AE240,0), IF(AF241="ok",AE241,0), IF(AF242="ok",AE242,0), IF(AF243="ok",AE243,0), IF(AF244="ok",AE244,0), IF(AF245="ok",AE245,0), IF(AF246="ok",AE246,0), IF(AF247="ok",AE247,0), IF(AF249="ok",AE249,0), IF(AF250="ok",AE250,0), IF(AF251="ok",AE251,0), IF(AF252="ok",AE252,0), IF(AF253="ok",AE253,0), IF(AF254="ok",AE254,0), IF(AF255="ok",AE255,0), IF(AF256="ok",AE256,0), IF(AF257="ok",AE257,0), IF(AF258="ok",AE258,0), IF(AF259="ok",AE259,0), IF(AF260="ok",AE260,0))</f>
        <v>0</v>
      </c>
      <c r="AF285" s="429">
        <f>IF(AE284=0,"",AE285/AE284)</f>
        <v>0</v>
      </c>
      <c r="AG285" s="433" t="s">
        <v>578</v>
      </c>
      <c r="AH285" s="427">
        <f t="shared" ref="AH285" si="1077">SUM(IF(AI54="ok",AH54,0), IF(AI57="ok",AH57,0), IF(AI60="ok",AH60,0),IF(AI63="ok",AH63,0), IF(AI66="ok",AH66,0), IF(AI69="ok",AH69,0), IF(AI72="ok",AH72,0), IF(AI75="ok",AH75,0), IF(AI78="ok",AH78,0), IF(AI81="ok",AH81,0), IF(AI84="ok",AH84,0), IF(AI87="ok",AH87,0), IF(AI90="ok",AH90,0), IF(AI93="ok",AH93,0), IF(AI96="ok",AH96,0), IF(AI99="ok",AH99,0), IF(AI102="ok",AH102,0), IF(AI105="ok",AH105,0), IF(AI108="ok",AH108,0), IF(AI111="ok",AH111,0), IF(AI134="ok",AH134,0), IF(AI136="ok",AH136,0), IF(AI138="ok",AH138,0), IF(AI140="ok",AH140,0), IF(AI142="ok",AH142,0), IF(AI144="ok",AH144,0), IF(AI146="ok",AH146,0), IF(AI148="ok",AH148,0), IF(AI150="ok",AH150,0), IF(AI152="ok",AH152,0), IF(AI160="ok",AH160,0), IF(AI163="ok",AH163,0), IF(AI166="ok",AH166,0), IF(AI169="ok",AH169,0), IF(AI172="ok",AH172,0), IF(AI175="ok",AH175,0), IF(AI178="ok",AH178,0), IF(AI181="ok",AH181,0), IF(AI184="ok",AH184,0), IF(AI187="ok",AH187,0), IF(AI190="ok",AH190,0), IF(AI193="ok",AH193,0), IF(AI196="ok",AH196,0), IF(AI199="ok",AH199,0), IF(AI202="ok",AH202,0), IF(AI205="ok",AH205,0), IF(AI227="ok",AH227,0), IF(AI228="ok",AH228,0), IF(AI229="ok",AH229,0), IF(AI230="ok",AH230,0), IF(AI231="ok",AH231,0), IF(AI232="ok",AH232,0), IF(AI233="ok",AH233,0), IF(AI234="ok",AH234,0), IF(AI235="ok",AH235,0), IF(AI236="ok",AH236,0), IF(AI237="ok",AH237,0), IF(AI238="ok",AH238,0), IF(AI239="ok",AH239,0), IF(AI240="ok",AH240,0), IF(AI241="ok",AH241,0), IF(AI242="ok",AH242,0), IF(AI243="ok",AH243,0), IF(AI244="ok",AH244,0), IF(AI245="ok",AH245,0), IF(AI246="ok",AH246,0), IF(AI247="ok",AH247,0), IF(AI249="ok",AH249,0), IF(AI250="ok",AH250,0), IF(AI251="ok",AH251,0), IF(AI252="ok",AH252,0), IF(AI253="ok",AH253,0), IF(AI254="ok",AH254,0), IF(AI255="ok",AH255,0), IF(AI256="ok",AH256,0), IF(AI257="ok",AH257,0), IF(AI258="ok",AH258,0), IF(AI259="ok",AH259,0), IF(AI260="ok",AH260,0))</f>
        <v>0</v>
      </c>
      <c r="AI285" s="429">
        <f>IF(AH284=0,"",AH285/AH284)</f>
        <v>0</v>
      </c>
      <c r="AJ285" s="433" t="s">
        <v>578</v>
      </c>
      <c r="AK285" s="427">
        <f t="shared" ref="AK285" si="1078">SUM(IF(AL54="ok",AK54,0), IF(AL57="ok",AK57,0), IF(AL60="ok",AK60,0),IF(AL63="ok",AK63,0), IF(AL66="ok",AK66,0), IF(AL69="ok",AK69,0), IF(AL72="ok",AK72,0), IF(AL75="ok",AK75,0), IF(AL78="ok",AK78,0), IF(AL81="ok",AK81,0), IF(AL84="ok",AK84,0), IF(AL87="ok",AK87,0), IF(AL90="ok",AK90,0), IF(AL93="ok",AK93,0), IF(AL96="ok",AK96,0), IF(AL99="ok",AK99,0), IF(AL102="ok",AK102,0), IF(AL105="ok",AK105,0), IF(AL108="ok",AK108,0), IF(AL111="ok",AK111,0), IF(AL134="ok",AK134,0), IF(AL136="ok",AK136,0), IF(AL138="ok",AK138,0), IF(AL140="ok",AK140,0), IF(AL142="ok",AK142,0), IF(AL144="ok",AK144,0), IF(AL146="ok",AK146,0), IF(AL148="ok",AK148,0), IF(AL150="ok",AK150,0), IF(AL152="ok",AK152,0), IF(AL160="ok",AK160,0), IF(AL163="ok",AK163,0), IF(AL166="ok",AK166,0), IF(AL169="ok",AK169,0), IF(AL172="ok",AK172,0), IF(AL175="ok",AK175,0), IF(AL178="ok",AK178,0), IF(AL181="ok",AK181,0), IF(AL184="ok",AK184,0), IF(AL187="ok",AK187,0), IF(AL190="ok",AK190,0), IF(AL193="ok",AK193,0), IF(AL196="ok",AK196,0), IF(AL199="ok",AK199,0), IF(AL202="ok",AK202,0), IF(AL205="ok",AK205,0), IF(AL227="ok",AK227,0), IF(AL228="ok",AK228,0), IF(AL229="ok",AK229,0), IF(AL230="ok",AK230,0), IF(AL231="ok",AK231,0), IF(AL232="ok",AK232,0), IF(AL233="ok",AK233,0), IF(AL234="ok",AK234,0), IF(AL235="ok",AK235,0), IF(AL236="ok",AK236,0), IF(AL237="ok",AK237,0), IF(AL238="ok",AK238,0), IF(AL239="ok",AK239,0), IF(AL240="ok",AK240,0), IF(AL241="ok",AK241,0), IF(AL242="ok",AK242,0), IF(AL243="ok",AK243,0), IF(AL244="ok",AK244,0), IF(AL245="ok",AK245,0), IF(AL246="ok",AK246,0), IF(AL247="ok",AK247,0), IF(AL249="ok",AK249,0), IF(AL250="ok",AK250,0), IF(AL251="ok",AK251,0), IF(AL252="ok",AK252,0), IF(AL253="ok",AK253,0), IF(AL254="ok",AK254,0), IF(AL255="ok",AK255,0), IF(AL256="ok",AK256,0), IF(AL257="ok",AK257,0), IF(AL258="ok",AK258,0), IF(AL259="ok",AK259,0), IF(AL260="ok",AK260,0))</f>
        <v>0</v>
      </c>
      <c r="AL285" s="429">
        <f>IF(AK284=0,"",AK285/AK284)</f>
        <v>0</v>
      </c>
      <c r="AM285" s="433" t="s">
        <v>578</v>
      </c>
      <c r="AN285" s="427">
        <f t="shared" ref="AN285" si="1079">SUM(IF(AO54="ok",AN54,0), IF(AO57="ok",AN57,0), IF(AO60="ok",AN60,0),IF(AO63="ok",AN63,0), IF(AO66="ok",AN66,0), IF(AO69="ok",AN69,0), IF(AO72="ok",AN72,0), IF(AO75="ok",AN75,0), IF(AO78="ok",AN78,0), IF(AO81="ok",AN81,0), IF(AO84="ok",AN84,0), IF(AO87="ok",AN87,0), IF(AO90="ok",AN90,0), IF(AO93="ok",AN93,0), IF(AO96="ok",AN96,0), IF(AO99="ok",AN99,0), IF(AO102="ok",AN102,0), IF(AO105="ok",AN105,0), IF(AO108="ok",AN108,0), IF(AO111="ok",AN111,0), IF(AO134="ok",AN134,0), IF(AO136="ok",AN136,0), IF(AO138="ok",AN138,0), IF(AO140="ok",AN140,0), IF(AO142="ok",AN142,0), IF(AO144="ok",AN144,0), IF(AO146="ok",AN146,0), IF(AO148="ok",AN148,0), IF(AO150="ok",AN150,0), IF(AO152="ok",AN152,0), IF(AO160="ok",AN160,0), IF(AO163="ok",AN163,0), IF(AO166="ok",AN166,0), IF(AO169="ok",AN169,0), IF(AO172="ok",AN172,0), IF(AO175="ok",AN175,0), IF(AO178="ok",AN178,0), IF(AO181="ok",AN181,0), IF(AO184="ok",AN184,0), IF(AO187="ok",AN187,0), IF(AO190="ok",AN190,0), IF(AO193="ok",AN193,0), IF(AO196="ok",AN196,0), IF(AO199="ok",AN199,0), IF(AO202="ok",AN202,0), IF(AO205="ok",AN205,0), IF(AO227="ok",AN227,0), IF(AO228="ok",AN228,0), IF(AO229="ok",AN229,0), IF(AO230="ok",AN230,0), IF(AO231="ok",AN231,0), IF(AO232="ok",AN232,0), IF(AO233="ok",AN233,0), IF(AO234="ok",AN234,0), IF(AO235="ok",AN235,0), IF(AO236="ok",AN236,0), IF(AO237="ok",AN237,0), IF(AO238="ok",AN238,0), IF(AO239="ok",AN239,0), IF(AO240="ok",AN240,0), IF(AO241="ok",AN241,0), IF(AO242="ok",AN242,0), IF(AO243="ok",AN243,0), IF(AO244="ok",AN244,0), IF(AO245="ok",AN245,0), IF(AO246="ok",AN246,0), IF(AO247="ok",AN247,0), IF(AO249="ok",AN249,0), IF(AO250="ok",AN250,0), IF(AO251="ok",AN251,0), IF(AO252="ok",AN252,0), IF(AO253="ok",AN253,0), IF(AO254="ok",AN254,0), IF(AO255="ok",AN255,0), IF(AO256="ok",AN256,0), IF(AO257="ok",AN257,0), IF(AO258="ok",AN258,0), IF(AO259="ok",AN259,0), IF(AO260="ok",AN260,0))</f>
        <v>0</v>
      </c>
      <c r="AO285" s="429">
        <f>IF(AN284=0,"",AN285/AN284)</f>
        <v>0</v>
      </c>
      <c r="AP285" s="433" t="s">
        <v>578</v>
      </c>
      <c r="AQ285" s="427">
        <f t="shared" ref="AQ285" si="1080">SUM(IF(AR54="ok",AQ54,0), IF(AR57="ok",AQ57,0), IF(AR60="ok",AQ60,0),IF(AR63="ok",AQ63,0), IF(AR66="ok",AQ66,0), IF(AR69="ok",AQ69,0), IF(AR72="ok",AQ72,0), IF(AR75="ok",AQ75,0), IF(AR78="ok",AQ78,0), IF(AR81="ok",AQ81,0), IF(AR84="ok",AQ84,0), IF(AR87="ok",AQ87,0), IF(AR90="ok",AQ90,0), IF(AR93="ok",AQ93,0), IF(AR96="ok",AQ96,0), IF(AR99="ok",AQ99,0), IF(AR102="ok",AQ102,0), IF(AR105="ok",AQ105,0), IF(AR108="ok",AQ108,0), IF(AR111="ok",AQ111,0), IF(AR134="ok",AQ134,0), IF(AR136="ok",AQ136,0), IF(AR138="ok",AQ138,0), IF(AR140="ok",AQ140,0), IF(AR142="ok",AQ142,0), IF(AR144="ok",AQ144,0), IF(AR146="ok",AQ146,0), IF(AR148="ok",AQ148,0), IF(AR150="ok",AQ150,0), IF(AR152="ok",AQ152,0), IF(AR160="ok",AQ160,0), IF(AR163="ok",AQ163,0), IF(AR166="ok",AQ166,0), IF(AR169="ok",AQ169,0), IF(AR172="ok",AQ172,0), IF(AR175="ok",AQ175,0), IF(AR178="ok",AQ178,0), IF(AR181="ok",AQ181,0), IF(AR184="ok",AQ184,0), IF(AR187="ok",AQ187,0), IF(AR190="ok",AQ190,0), IF(AR193="ok",AQ193,0), IF(AR196="ok",AQ196,0), IF(AR199="ok",AQ199,0), IF(AR202="ok",AQ202,0), IF(AR205="ok",AQ205,0), IF(AR227="ok",AQ227,0), IF(AR228="ok",AQ228,0), IF(AR229="ok",AQ229,0), IF(AR230="ok",AQ230,0), IF(AR231="ok",AQ231,0), IF(AR232="ok",AQ232,0), IF(AR233="ok",AQ233,0), IF(AR234="ok",AQ234,0), IF(AR235="ok",AQ235,0), IF(AR236="ok",AQ236,0), IF(AR237="ok",AQ237,0), IF(AR238="ok",AQ238,0), IF(AR239="ok",AQ239,0), IF(AR240="ok",AQ240,0), IF(AR241="ok",AQ241,0), IF(AR242="ok",AQ242,0), IF(AR243="ok",AQ243,0), IF(AR244="ok",AQ244,0), IF(AR245="ok",AQ245,0), IF(AR246="ok",AQ246,0), IF(AR247="ok",AQ247,0), IF(AR249="ok",AQ249,0), IF(AR250="ok",AQ250,0), IF(AR251="ok",AQ251,0), IF(AR252="ok",AQ252,0), IF(AR253="ok",AQ253,0), IF(AR254="ok",AQ254,0), IF(AR255="ok",AQ255,0), IF(AR256="ok",AQ256,0), IF(AR257="ok",AQ257,0), IF(AR258="ok",AQ258,0), IF(AR259="ok",AQ259,0), IF(AR260="ok",AQ260,0))</f>
        <v>0</v>
      </c>
      <c r="AR285" s="429">
        <f>IF(AQ284=0,"",AQ285/AQ284)</f>
        <v>0</v>
      </c>
      <c r="AT285" s="1"/>
      <c r="AU285" s="1"/>
      <c r="AY285" s="686"/>
      <c r="AZ285" s="686"/>
      <c r="BA285" s="686"/>
      <c r="BB285" s="1"/>
    </row>
    <row r="286" spans="4:60">
      <c r="D286" s="156"/>
      <c r="E286" s="1"/>
      <c r="F286" s="1"/>
      <c r="G286" s="1"/>
      <c r="I286" s="434" t="s">
        <v>577</v>
      </c>
      <c r="J286" s="428">
        <f t="shared" ref="J286" si="1081">J284-J285</f>
        <v>5089.3433333333332</v>
      </c>
      <c r="K286" s="430">
        <f>IF(J284=0,"",J286/J284)</f>
        <v>1</v>
      </c>
      <c r="L286" s="434" t="s">
        <v>577</v>
      </c>
      <c r="M286" s="428">
        <f t="shared" ref="M286" si="1082">M284-M285</f>
        <v>5089.3433333333332</v>
      </c>
      <c r="N286" s="430">
        <f>IF(M284=0,"",M286/M284)</f>
        <v>1</v>
      </c>
      <c r="O286" s="434" t="s">
        <v>577</v>
      </c>
      <c r="P286" s="428">
        <f t="shared" ref="P286" si="1083">P284-P285</f>
        <v>5099.3433333333332</v>
      </c>
      <c r="Q286" s="430">
        <f>IF(P284=0,"",P286/P284)</f>
        <v>1</v>
      </c>
      <c r="R286" s="434" t="s">
        <v>577</v>
      </c>
      <c r="S286" s="428">
        <f>S284-S285</f>
        <v>5093.51</v>
      </c>
      <c r="T286" s="430">
        <f>IF(S284=0,"",S286/S284)</f>
        <v>1</v>
      </c>
      <c r="U286" s="434" t="s">
        <v>577</v>
      </c>
      <c r="V286" s="428">
        <f t="shared" ref="V286" si="1084">V284-V285</f>
        <v>2750</v>
      </c>
      <c r="W286" s="430">
        <f>IF(V284=0,"",V286/V284)</f>
        <v>1</v>
      </c>
      <c r="X286" s="434" t="s">
        <v>577</v>
      </c>
      <c r="Y286" s="428">
        <f t="shared" ref="Y286" si="1085">Y284-Y285</f>
        <v>1000</v>
      </c>
      <c r="Z286" s="430">
        <f>IF(Y284=0,"",Y286/Y284)</f>
        <v>1</v>
      </c>
      <c r="AA286" s="434" t="s">
        <v>577</v>
      </c>
      <c r="AB286" s="428">
        <f t="shared" ref="AB286" si="1086">AB284-AB285</f>
        <v>1000</v>
      </c>
      <c r="AC286" s="430">
        <f>IF(AB284=0,"",AB286/AB284)</f>
        <v>1</v>
      </c>
      <c r="AD286" s="434" t="s">
        <v>577</v>
      </c>
      <c r="AE286" s="428">
        <f t="shared" ref="AE286" si="1087">AE284-AE285</f>
        <v>1000</v>
      </c>
      <c r="AF286" s="430">
        <f>IF(AE284=0,"",AE286/AE284)</f>
        <v>1</v>
      </c>
      <c r="AG286" s="434" t="s">
        <v>577</v>
      </c>
      <c r="AH286" s="428">
        <f t="shared" ref="AH286" si="1088">AH284-AH285</f>
        <v>1000</v>
      </c>
      <c r="AI286" s="430">
        <f>IF(AH284=0,"",AH286/AH284)</f>
        <v>1</v>
      </c>
      <c r="AJ286" s="434" t="s">
        <v>577</v>
      </c>
      <c r="AK286" s="428">
        <f t="shared" ref="AK286" si="1089">AK284-AK285</f>
        <v>1000</v>
      </c>
      <c r="AL286" s="430">
        <f>IF(AK284=0,"",AK286/AK284)</f>
        <v>1</v>
      </c>
      <c r="AM286" s="434" t="s">
        <v>577</v>
      </c>
      <c r="AN286" s="428">
        <f t="shared" ref="AN286" si="1090">AN284-AN285</f>
        <v>1000</v>
      </c>
      <c r="AO286" s="430">
        <f>IF(AN284=0,"",AN286/AN284)</f>
        <v>1</v>
      </c>
      <c r="AP286" s="434" t="s">
        <v>577</v>
      </c>
      <c r="AQ286" s="428">
        <f t="shared" ref="AQ286" si="1091">AQ284-AQ285</f>
        <v>1000</v>
      </c>
      <c r="AR286" s="430">
        <f>IF(AQ284=0,"",AQ286/AQ284)</f>
        <v>1</v>
      </c>
      <c r="AT286" s="1"/>
      <c r="AU286" s="1"/>
      <c r="AY286" s="686"/>
      <c r="AZ286" s="686"/>
      <c r="BA286" s="686"/>
      <c r="BB286" s="1"/>
    </row>
    <row r="287" spans="4:60">
      <c r="D287" s="156"/>
      <c r="E287" s="1"/>
      <c r="F287" s="1"/>
      <c r="G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T287" s="1"/>
      <c r="AU287" s="1"/>
      <c r="AY287" s="686"/>
      <c r="AZ287" s="686"/>
      <c r="BA287" s="686"/>
      <c r="BB287" s="1"/>
    </row>
    <row r="288" spans="4:60">
      <c r="D288" s="156"/>
      <c r="E288" s="494" t="s">
        <v>228</v>
      </c>
      <c r="F288" s="494"/>
      <c r="G288" s="494"/>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T288" s="1"/>
      <c r="AU288" s="1"/>
      <c r="AY288" s="686"/>
      <c r="AZ288" s="686"/>
      <c r="BA288" s="686"/>
      <c r="BB288" s="1"/>
    </row>
    <row r="289" spans="4:54">
      <c r="D289" s="156"/>
      <c r="E289" s="495"/>
      <c r="F289" s="496"/>
      <c r="G289" s="496"/>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T289" s="1"/>
      <c r="AU289" s="1"/>
      <c r="AY289" s="686"/>
      <c r="AZ289" s="686"/>
      <c r="BA289" s="686"/>
      <c r="BB289" s="1"/>
    </row>
    <row r="290" spans="4:54">
      <c r="D290" s="156"/>
      <c r="E290" s="496"/>
      <c r="F290" s="496"/>
      <c r="G290" s="496"/>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T290" s="1"/>
      <c r="AU290" s="1"/>
      <c r="AY290" s="686"/>
      <c r="AZ290" s="686"/>
      <c r="BA290" s="686"/>
      <c r="BB290" s="1"/>
    </row>
    <row r="291" spans="4:54">
      <c r="D291" s="156"/>
      <c r="E291" s="496"/>
      <c r="F291" s="496"/>
      <c r="G291" s="496"/>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T291" s="1"/>
      <c r="AU291" s="1"/>
      <c r="AY291" s="686"/>
      <c r="AZ291" s="686"/>
      <c r="BA291" s="686"/>
      <c r="BB291" s="1"/>
    </row>
    <row r="292" spans="4:54" s="1" customFormat="1">
      <c r="D292" s="156"/>
      <c r="E292" s="496"/>
      <c r="F292" s="496"/>
      <c r="G292" s="496"/>
    </row>
    <row r="293" spans="4:54" s="1" customFormat="1">
      <c r="D293" s="156"/>
      <c r="E293" s="496"/>
      <c r="F293" s="496"/>
      <c r="G293" s="496"/>
    </row>
    <row r="294" spans="4:54" s="1" customFormat="1">
      <c r="D294" s="156"/>
      <c r="E294" s="496"/>
      <c r="F294" s="496"/>
      <c r="G294" s="496"/>
    </row>
    <row r="295" spans="4:54" s="1" customFormat="1">
      <c r="D295" s="156"/>
      <c r="E295" s="496"/>
      <c r="F295" s="496"/>
      <c r="G295" s="496"/>
    </row>
    <row r="296" spans="4:54" s="1" customFormat="1" ht="33.5" customHeight="1">
      <c r="D296" s="156"/>
      <c r="E296" s="496"/>
      <c r="F296" s="496"/>
      <c r="G296" s="496"/>
    </row>
    <row r="297" spans="4:54" s="1" customFormat="1">
      <c r="D297" s="156"/>
    </row>
    <row r="298" spans="4:54" s="1" customFormat="1">
      <c r="D298" s="156"/>
    </row>
    <row r="299" spans="4:54" s="1" customFormat="1">
      <c r="D299" s="156"/>
    </row>
    <row r="300" spans="4:54" s="1" customFormat="1" ht="46" customHeight="1">
      <c r="D300" s="156"/>
    </row>
    <row r="301" spans="4:54" s="1" customFormat="1">
      <c r="D301" s="156"/>
    </row>
    <row r="302" spans="4:54" s="1" customFormat="1">
      <c r="D302" s="156"/>
    </row>
    <row r="303" spans="4:54" s="1" customFormat="1">
      <c r="D303" s="156"/>
    </row>
    <row r="304" spans="4:54" s="1" customFormat="1">
      <c r="D304" s="156"/>
    </row>
    <row r="305" spans="4:4" s="1" customFormat="1">
      <c r="D305" s="156"/>
    </row>
    <row r="306" spans="4:4" s="1" customFormat="1">
      <c r="D306" s="156"/>
    </row>
    <row r="307" spans="4:4" s="1" customFormat="1">
      <c r="D307" s="156"/>
    </row>
    <row r="308" spans="4:4" s="1" customFormat="1">
      <c r="D308" s="156"/>
    </row>
    <row r="309" spans="4:4" s="1" customFormat="1">
      <c r="D309" s="156"/>
    </row>
    <row r="310" spans="4:4" s="1" customFormat="1">
      <c r="D310" s="156"/>
    </row>
    <row r="311" spans="4:4" s="1" customFormat="1">
      <c r="D311" s="156"/>
    </row>
    <row r="312" spans="4:4" s="1" customFormat="1">
      <c r="D312" s="156"/>
    </row>
    <row r="313" spans="4:4" s="1" customFormat="1">
      <c r="D313" s="156"/>
    </row>
    <row r="314" spans="4:4" s="1" customFormat="1">
      <c r="D314" s="156"/>
    </row>
    <row r="315" spans="4:4" s="1" customFormat="1">
      <c r="D315" s="156"/>
    </row>
    <row r="316" spans="4:4" s="1" customFormat="1">
      <c r="D316" s="156"/>
    </row>
    <row r="317" spans="4:4" s="1" customFormat="1">
      <c r="D317" s="156"/>
    </row>
    <row r="318" spans="4:4" s="1" customFormat="1">
      <c r="D318" s="156"/>
    </row>
    <row r="319" spans="4:4" s="1" customFormat="1">
      <c r="D319" s="156"/>
    </row>
    <row r="320" spans="4:4" s="1" customFormat="1">
      <c r="D320" s="156"/>
    </row>
    <row r="321" spans="4:4" s="1" customFormat="1">
      <c r="D321" s="156"/>
    </row>
    <row r="322" spans="4:4" s="1" customFormat="1">
      <c r="D322" s="156"/>
    </row>
    <row r="323" spans="4:4" s="1" customFormat="1">
      <c r="D323" s="156"/>
    </row>
    <row r="324" spans="4:4" s="1" customFormat="1">
      <c r="D324" s="156"/>
    </row>
    <row r="325" spans="4:4" s="1" customFormat="1">
      <c r="D325" s="156"/>
    </row>
    <row r="326" spans="4:4" s="1" customFormat="1">
      <c r="D326" s="156"/>
    </row>
    <row r="327" spans="4:4" s="1" customFormat="1">
      <c r="D327" s="156"/>
    </row>
    <row r="328" spans="4:4" s="1" customFormat="1">
      <c r="D328" s="156"/>
    </row>
    <row r="329" spans="4:4" s="1" customFormat="1">
      <c r="D329" s="156"/>
    </row>
    <row r="330" spans="4:4" s="1" customFormat="1">
      <c r="D330" s="156"/>
    </row>
    <row r="331" spans="4:4" s="1" customFormat="1">
      <c r="D331" s="156"/>
    </row>
    <row r="332" spans="4:4" s="1" customFormat="1">
      <c r="D332" s="156"/>
    </row>
    <row r="333" spans="4:4" s="1" customFormat="1">
      <c r="D333" s="156"/>
    </row>
    <row r="334" spans="4:4" s="1" customFormat="1">
      <c r="D334" s="156"/>
    </row>
    <row r="335" spans="4:4" s="1" customFormat="1">
      <c r="D335" s="156"/>
    </row>
    <row r="336" spans="4:4" s="1" customFormat="1">
      <c r="D336" s="156"/>
    </row>
    <row r="337" spans="4:4" s="1" customFormat="1">
      <c r="D337" s="156"/>
    </row>
    <row r="338" spans="4:4" s="1" customFormat="1">
      <c r="D338" s="156"/>
    </row>
    <row r="339" spans="4:4" s="1" customFormat="1">
      <c r="D339" s="156"/>
    </row>
    <row r="340" spans="4:4" s="1" customFormat="1">
      <c r="D340" s="156"/>
    </row>
    <row r="341" spans="4:4" s="1" customFormat="1">
      <c r="D341" s="156"/>
    </row>
    <row r="342" spans="4:4" s="1" customFormat="1">
      <c r="D342" s="156"/>
    </row>
    <row r="343" spans="4:4" s="1" customFormat="1">
      <c r="D343" s="156"/>
    </row>
    <row r="344" spans="4:4" s="1" customFormat="1">
      <c r="D344" s="156"/>
    </row>
    <row r="345" spans="4:4" s="1" customFormat="1">
      <c r="D345" s="156"/>
    </row>
    <row r="346" spans="4:4" s="1" customFormat="1">
      <c r="D346" s="156"/>
    </row>
    <row r="347" spans="4:4" s="1" customFormat="1">
      <c r="D347" s="156"/>
    </row>
    <row r="348" spans="4:4" s="1" customFormat="1">
      <c r="D348" s="156"/>
    </row>
    <row r="349" spans="4:4" s="1" customFormat="1">
      <c r="D349" s="156"/>
    </row>
    <row r="350" spans="4:4" s="1" customFormat="1">
      <c r="D350" s="156"/>
    </row>
    <row r="351" spans="4:4" s="1" customFormat="1">
      <c r="D351" s="156"/>
    </row>
    <row r="352" spans="4:4" s="1" customFormat="1">
      <c r="D352" s="156"/>
    </row>
    <row r="353" spans="4:4" s="1" customFormat="1">
      <c r="D353" s="156"/>
    </row>
    <row r="354" spans="4:4" s="1" customFormat="1">
      <c r="D354" s="156"/>
    </row>
    <row r="355" spans="4:4" s="1" customFormat="1">
      <c r="D355" s="156"/>
    </row>
    <row r="356" spans="4:4" s="1" customFormat="1">
      <c r="D356" s="156"/>
    </row>
    <row r="357" spans="4:4" s="1" customFormat="1">
      <c r="D357" s="156"/>
    </row>
    <row r="358" spans="4:4" s="1" customFormat="1">
      <c r="D358" s="156"/>
    </row>
    <row r="359" spans="4:4" s="1" customFormat="1">
      <c r="D359" s="156"/>
    </row>
    <row r="360" spans="4:4" s="1" customFormat="1">
      <c r="D360" s="156"/>
    </row>
    <row r="361" spans="4:4" s="1" customFormat="1">
      <c r="D361" s="156"/>
    </row>
    <row r="362" spans="4:4" s="1" customFormat="1">
      <c r="D362" s="156"/>
    </row>
    <row r="363" spans="4:4" s="1" customFormat="1">
      <c r="D363" s="156"/>
    </row>
    <row r="364" spans="4:4" s="1" customFormat="1">
      <c r="D364" s="156"/>
    </row>
    <row r="365" spans="4:4" s="1" customFormat="1">
      <c r="D365" s="156"/>
    </row>
    <row r="366" spans="4:4" s="1" customFormat="1">
      <c r="D366" s="156"/>
    </row>
    <row r="367" spans="4:4" s="1" customFormat="1">
      <c r="D367" s="156"/>
    </row>
    <row r="368" spans="4:4" s="1" customFormat="1">
      <c r="D368" s="156"/>
    </row>
    <row r="369" spans="4:4" s="1" customFormat="1">
      <c r="D369" s="156"/>
    </row>
    <row r="370" spans="4:4" s="1" customFormat="1"/>
    <row r="371" spans="4:4" s="1" customFormat="1"/>
    <row r="372" spans="4:4" s="1" customFormat="1"/>
    <row r="373" spans="4:4" s="1" customFormat="1"/>
    <row r="374" spans="4:4" s="1" customFormat="1"/>
    <row r="375" spans="4:4" s="1" customFormat="1"/>
    <row r="376" spans="4:4" s="1" customFormat="1"/>
    <row r="377" spans="4:4" s="1" customFormat="1"/>
    <row r="378" spans="4:4" s="1" customFormat="1"/>
    <row r="379" spans="4:4" s="1" customFormat="1"/>
    <row r="380" spans="4:4" s="1" customFormat="1"/>
    <row r="381" spans="4:4" s="1" customFormat="1"/>
    <row r="382" spans="4:4" s="1" customFormat="1"/>
    <row r="383" spans="4:4" s="1" customFormat="1"/>
    <row r="384" spans="4:4" s="1" customFormat="1"/>
    <row r="385" s="1" customFormat="1"/>
    <row r="386" s="1" customFormat="1"/>
    <row r="387" s="1" customFormat="1"/>
    <row r="388" s="1" customFormat="1"/>
    <row r="389" s="1" customFormat="1"/>
    <row r="390" s="1" customFormat="1"/>
    <row r="391" s="1" customFormat="1"/>
    <row r="392" s="1" customFormat="1"/>
    <row r="393" s="1" customFormat="1"/>
    <row r="394" s="1" customFormat="1"/>
    <row r="395" s="1" customFormat="1"/>
    <row r="396" s="1" customFormat="1"/>
    <row r="397" s="1" customFormat="1"/>
    <row r="398" s="1" customFormat="1"/>
    <row r="399" s="1" customFormat="1"/>
    <row r="400" s="1" customFormat="1"/>
    <row r="401" s="1" customFormat="1"/>
    <row r="402" s="1" customFormat="1"/>
    <row r="403" s="1" customFormat="1"/>
    <row r="404" s="1" customFormat="1"/>
    <row r="405" s="1" customFormat="1"/>
    <row r="406" s="1" customFormat="1"/>
    <row r="407" s="1" customFormat="1"/>
    <row r="408" s="1" customFormat="1"/>
    <row r="409" s="1" customFormat="1"/>
    <row r="410" s="1" customFormat="1"/>
    <row r="411" s="1" customFormat="1"/>
    <row r="412" s="1" customFormat="1"/>
    <row r="413" s="1" customFormat="1"/>
    <row r="414" s="1" customFormat="1"/>
    <row r="415" s="1" customFormat="1"/>
    <row r="416" s="1" customFormat="1"/>
    <row r="417" s="1" customFormat="1"/>
    <row r="418" s="1" customFormat="1"/>
    <row r="419" s="1" customFormat="1"/>
    <row r="420" s="1" customFormat="1"/>
    <row r="421" s="1" customFormat="1"/>
    <row r="422" s="1" customFormat="1"/>
    <row r="423" s="1" customFormat="1"/>
    <row r="424" s="1" customFormat="1"/>
    <row r="425" s="1" customFormat="1"/>
    <row r="426" s="1" customFormat="1"/>
    <row r="427" s="1" customFormat="1"/>
    <row r="428" s="1" customFormat="1"/>
    <row r="429" s="1" customFormat="1"/>
    <row r="430" s="1" customFormat="1"/>
    <row r="431" s="1" customFormat="1"/>
    <row r="432" s="1" customFormat="1"/>
    <row r="433" s="1" customFormat="1"/>
    <row r="434" s="1" customFormat="1"/>
    <row r="435" s="1" customFormat="1"/>
    <row r="436" s="1" customFormat="1"/>
    <row r="437" s="1" customFormat="1"/>
    <row r="438" s="1" customFormat="1"/>
    <row r="439" s="1" customFormat="1"/>
    <row r="440" s="1" customFormat="1"/>
    <row r="441" s="1" customFormat="1"/>
    <row r="442" s="1" customFormat="1"/>
    <row r="443" s="1" customFormat="1"/>
    <row r="444" s="1" customFormat="1"/>
    <row r="445" s="1" customFormat="1"/>
    <row r="446" s="1" customFormat="1"/>
    <row r="447" s="1" customFormat="1"/>
    <row r="448" s="1" customFormat="1"/>
    <row r="449" s="1" customFormat="1"/>
    <row r="450" s="1" customFormat="1"/>
    <row r="451" s="1" customFormat="1"/>
    <row r="452" s="1" customFormat="1"/>
    <row r="453" s="1" customFormat="1"/>
    <row r="454" s="1" customFormat="1"/>
    <row r="455" s="1" customFormat="1"/>
    <row r="456" s="1" customFormat="1"/>
    <row r="457" s="1" customFormat="1"/>
    <row r="458" s="1" customFormat="1"/>
    <row r="459" s="1" customFormat="1"/>
    <row r="460" s="1" customFormat="1"/>
    <row r="461" s="1" customFormat="1"/>
    <row r="462" s="1" customFormat="1"/>
    <row r="463" s="1" customFormat="1"/>
    <row r="464" s="1" customFormat="1"/>
    <row r="465" s="1" customFormat="1"/>
    <row r="466" s="1" customFormat="1"/>
    <row r="467" s="1" customFormat="1"/>
    <row r="468" s="1" customFormat="1"/>
    <row r="469" s="1" customFormat="1"/>
    <row r="470" s="1" customFormat="1"/>
    <row r="471" s="1" customFormat="1"/>
    <row r="472" s="1" customFormat="1"/>
    <row r="473" s="1" customFormat="1"/>
    <row r="474" s="1" customFormat="1"/>
    <row r="475" s="1" customFormat="1"/>
    <row r="476" s="1" customFormat="1"/>
    <row r="477" s="1" customFormat="1"/>
    <row r="478" s="1" customFormat="1"/>
    <row r="479" s="1" customFormat="1"/>
    <row r="480" s="1" customFormat="1"/>
    <row r="481" s="1" customFormat="1"/>
    <row r="482" s="1" customFormat="1"/>
    <row r="483" s="1" customFormat="1"/>
    <row r="484" s="1" customFormat="1"/>
    <row r="485" s="1" customFormat="1"/>
    <row r="486" s="1" customFormat="1"/>
    <row r="487" s="1" customFormat="1"/>
    <row r="488" s="1" customFormat="1"/>
    <row r="489" s="1" customFormat="1"/>
    <row r="490" s="1" customFormat="1"/>
    <row r="491" s="1" customFormat="1"/>
    <row r="492" s="1" customFormat="1"/>
    <row r="493" s="1" customFormat="1"/>
    <row r="494" s="1" customFormat="1"/>
    <row r="495" s="1" customFormat="1"/>
    <row r="496" s="1" customFormat="1"/>
    <row r="497" s="1" customFormat="1"/>
    <row r="498" s="1" customFormat="1"/>
    <row r="499" s="1" customFormat="1"/>
    <row r="500" s="1" customFormat="1"/>
    <row r="501" s="1" customFormat="1"/>
    <row r="502" s="1" customFormat="1"/>
    <row r="503" s="1" customFormat="1"/>
    <row r="504" s="1" customFormat="1"/>
    <row r="505" s="1" customFormat="1"/>
    <row r="506" s="1" customFormat="1"/>
    <row r="507" s="1" customFormat="1"/>
    <row r="508" s="1" customFormat="1"/>
    <row r="509" s="1" customFormat="1"/>
    <row r="510" s="1" customFormat="1"/>
    <row r="511" s="1" customFormat="1"/>
    <row r="512" s="1" customFormat="1"/>
    <row r="513" s="1" customFormat="1"/>
    <row r="514" s="1" customFormat="1"/>
    <row r="515" s="1" customFormat="1"/>
    <row r="516" s="1" customFormat="1"/>
    <row r="517" s="1" customFormat="1"/>
    <row r="518" s="1" customFormat="1"/>
    <row r="519" s="1" customFormat="1"/>
    <row r="520" s="1" customFormat="1"/>
    <row r="521" s="1" customFormat="1"/>
    <row r="522" s="1" customFormat="1"/>
    <row r="523" s="1" customFormat="1"/>
    <row r="524" s="1" customFormat="1"/>
    <row r="525" s="1" customFormat="1"/>
    <row r="526" s="1" customFormat="1"/>
    <row r="527" s="1" customFormat="1"/>
    <row r="528" s="1" customFormat="1"/>
    <row r="529" s="1" customFormat="1"/>
    <row r="530" s="1" customFormat="1"/>
    <row r="531" s="1" customFormat="1"/>
    <row r="532" s="1" customFormat="1"/>
    <row r="533" s="1" customFormat="1"/>
    <row r="534" s="1" customFormat="1"/>
    <row r="535" s="1" customFormat="1"/>
    <row r="536" s="1" customFormat="1"/>
    <row r="537" s="1" customFormat="1"/>
    <row r="538" s="1" customFormat="1"/>
    <row r="539" s="1" customFormat="1"/>
    <row r="540" s="1" customFormat="1"/>
    <row r="541" s="1" customFormat="1"/>
    <row r="542" s="1" customFormat="1"/>
    <row r="543" s="1" customFormat="1"/>
    <row r="544" s="1" customFormat="1"/>
    <row r="545" s="1" customFormat="1"/>
    <row r="546" s="1" customFormat="1"/>
    <row r="547" s="1" customFormat="1"/>
    <row r="548" s="1" customFormat="1"/>
    <row r="549" s="1" customFormat="1"/>
    <row r="550" s="1" customFormat="1"/>
    <row r="551" s="1" customFormat="1"/>
    <row r="552" s="1" customFormat="1"/>
    <row r="553" s="1" customFormat="1"/>
    <row r="554" s="1" customFormat="1"/>
    <row r="555" s="1" customFormat="1"/>
    <row r="556" s="1" customFormat="1"/>
    <row r="557" s="1" customFormat="1"/>
    <row r="558" s="1" customFormat="1"/>
    <row r="559" s="1" customFormat="1"/>
    <row r="560" s="1" customFormat="1"/>
    <row r="561" s="1" customFormat="1"/>
    <row r="562" s="1" customFormat="1"/>
    <row r="563" s="1" customFormat="1"/>
    <row r="564" s="1" customFormat="1"/>
    <row r="565" s="1" customFormat="1"/>
    <row r="566" s="1" customFormat="1"/>
    <row r="567" s="1" customFormat="1"/>
    <row r="568" s="1" customFormat="1"/>
    <row r="569" s="1" customFormat="1"/>
    <row r="570" s="1" customFormat="1"/>
    <row r="571" s="1" customFormat="1"/>
    <row r="572" s="1" customFormat="1"/>
    <row r="573" s="1" customFormat="1"/>
    <row r="574" s="1" customFormat="1"/>
    <row r="575" s="1" customFormat="1"/>
    <row r="576" s="1" customFormat="1"/>
    <row r="577" s="1" customFormat="1"/>
    <row r="578" s="1" customFormat="1"/>
    <row r="579" s="1" customFormat="1"/>
    <row r="580" s="1" customFormat="1"/>
    <row r="581" s="1" customFormat="1"/>
    <row r="582" s="1" customFormat="1"/>
    <row r="583" s="1" customFormat="1"/>
    <row r="584" s="1" customFormat="1"/>
    <row r="585" s="1" customFormat="1"/>
    <row r="586" s="1" customFormat="1"/>
    <row r="587" s="1" customFormat="1"/>
    <row r="588" s="1" customFormat="1"/>
    <row r="589" s="1" customFormat="1"/>
    <row r="590" s="1" customFormat="1"/>
    <row r="591" s="1" customFormat="1"/>
    <row r="592" s="1" customFormat="1"/>
    <row r="593" s="1" customFormat="1"/>
    <row r="594" s="1" customFormat="1"/>
    <row r="595" s="1" customFormat="1"/>
    <row r="596" s="1" customFormat="1"/>
    <row r="597" s="1" customFormat="1"/>
    <row r="598" s="1" customFormat="1"/>
    <row r="599" s="1" customFormat="1"/>
    <row r="600" s="1" customFormat="1"/>
    <row r="601" s="1" customFormat="1"/>
    <row r="602" s="1" customFormat="1"/>
    <row r="603" s="1" customFormat="1"/>
    <row r="604" s="1" customFormat="1"/>
    <row r="605" s="1" customFormat="1"/>
    <row r="606" s="1" customFormat="1"/>
    <row r="607" s="1" customFormat="1"/>
    <row r="608" s="1" customFormat="1"/>
    <row r="609" s="1" customFormat="1"/>
    <row r="610" s="1" customFormat="1"/>
    <row r="611" s="1" customFormat="1"/>
    <row r="612" s="1" customFormat="1"/>
    <row r="613" s="1" customFormat="1"/>
    <row r="614" s="1" customFormat="1"/>
    <row r="615" s="1" customFormat="1"/>
    <row r="616" s="1" customFormat="1"/>
    <row r="617" s="1" customFormat="1"/>
    <row r="618" s="1" customFormat="1"/>
    <row r="619" s="1" customFormat="1"/>
    <row r="620" s="1" customFormat="1"/>
    <row r="621" s="1" customFormat="1"/>
    <row r="622" s="1" customFormat="1"/>
    <row r="623" s="1" customFormat="1"/>
    <row r="624" s="1" customFormat="1"/>
    <row r="625" s="1" customFormat="1"/>
    <row r="626" s="1" customFormat="1"/>
    <row r="627" s="1" customFormat="1"/>
    <row r="628" s="1" customFormat="1"/>
    <row r="629" s="1" customFormat="1"/>
    <row r="630" s="1" customFormat="1"/>
    <row r="631" s="1" customFormat="1"/>
    <row r="632" s="1" customFormat="1"/>
    <row r="633" s="1" customFormat="1"/>
    <row r="634" s="1" customFormat="1"/>
    <row r="635" s="1" customFormat="1"/>
    <row r="636" s="1" customFormat="1"/>
    <row r="637" s="1" customFormat="1"/>
    <row r="638" s="1" customFormat="1"/>
    <row r="639" s="1" customFormat="1"/>
    <row r="640" s="1" customFormat="1"/>
    <row r="641" s="1" customFormat="1"/>
    <row r="642" s="1" customFormat="1"/>
    <row r="643" s="1" customFormat="1"/>
    <row r="644" s="1" customFormat="1"/>
    <row r="645" s="1" customFormat="1"/>
    <row r="646" s="1" customFormat="1"/>
    <row r="647" s="1" customFormat="1"/>
    <row r="648" s="1" customFormat="1"/>
    <row r="649" s="1" customFormat="1"/>
    <row r="650" s="1" customFormat="1"/>
    <row r="651" s="1" customFormat="1"/>
    <row r="652" s="1" customFormat="1"/>
    <row r="653" s="1" customFormat="1"/>
    <row r="654" s="1" customFormat="1"/>
    <row r="655" s="1" customFormat="1"/>
    <row r="656" s="1" customFormat="1"/>
    <row r="657" s="1" customFormat="1"/>
    <row r="658" s="1" customFormat="1"/>
    <row r="659" s="1" customFormat="1"/>
    <row r="660" s="1" customFormat="1"/>
    <row r="661" s="1" customFormat="1"/>
    <row r="662" s="1" customFormat="1"/>
    <row r="663" s="1" customFormat="1"/>
    <row r="664" s="1" customFormat="1"/>
    <row r="665" s="1" customFormat="1"/>
    <row r="666" s="1" customFormat="1"/>
    <row r="667" s="1" customFormat="1"/>
    <row r="668" s="1" customFormat="1"/>
    <row r="669" s="1" customFormat="1"/>
    <row r="670" s="1" customFormat="1"/>
    <row r="671" s="1" customFormat="1"/>
    <row r="672" s="1" customFormat="1"/>
    <row r="673" s="1" customFormat="1"/>
    <row r="674" s="1" customFormat="1"/>
    <row r="675" s="1" customFormat="1"/>
    <row r="676" s="1" customFormat="1"/>
    <row r="677" s="1" customFormat="1"/>
    <row r="678" s="1" customFormat="1"/>
    <row r="679" s="1" customFormat="1"/>
    <row r="680" s="1" customFormat="1"/>
    <row r="681" s="1" customFormat="1"/>
    <row r="682" s="1" customFormat="1"/>
    <row r="683" s="1" customFormat="1"/>
    <row r="684" s="1" customFormat="1"/>
    <row r="685" s="1" customFormat="1"/>
    <row r="686" s="1" customFormat="1"/>
    <row r="687" s="1" customFormat="1"/>
    <row r="688" s="1" customFormat="1"/>
    <row r="689" s="1" customFormat="1"/>
    <row r="690" s="1" customFormat="1"/>
    <row r="691" s="1" customFormat="1"/>
    <row r="692" s="1" customFormat="1"/>
    <row r="693" s="1" customFormat="1"/>
    <row r="694" s="1" customFormat="1"/>
    <row r="695" s="1" customFormat="1"/>
    <row r="696" s="1" customFormat="1"/>
    <row r="697" s="1" customFormat="1"/>
    <row r="698" s="1" customFormat="1"/>
    <row r="699" s="1" customFormat="1"/>
    <row r="700" s="1" customFormat="1"/>
    <row r="701" s="1" customFormat="1"/>
    <row r="702" s="1" customFormat="1"/>
    <row r="703" s="1" customFormat="1"/>
    <row r="704" s="1" customFormat="1"/>
    <row r="705" s="1" customFormat="1"/>
    <row r="706" s="1" customFormat="1"/>
    <row r="707" s="1" customFormat="1"/>
    <row r="708" s="1" customFormat="1"/>
    <row r="709" s="1" customFormat="1"/>
    <row r="710" s="1" customFormat="1"/>
    <row r="711" s="1" customFormat="1"/>
    <row r="712" s="1" customFormat="1"/>
    <row r="713" s="1" customFormat="1"/>
    <row r="714" s="1" customFormat="1"/>
    <row r="715" s="1" customFormat="1"/>
    <row r="716" s="1" customFormat="1"/>
    <row r="717" s="1" customFormat="1"/>
    <row r="718" s="1" customFormat="1"/>
    <row r="719" s="1" customFormat="1"/>
    <row r="720" s="1" customFormat="1"/>
    <row r="721" s="1" customFormat="1"/>
    <row r="722" s="1" customFormat="1"/>
    <row r="723" s="1" customFormat="1"/>
    <row r="724" s="1" customFormat="1"/>
    <row r="725" s="1" customFormat="1"/>
    <row r="726" s="1" customFormat="1"/>
    <row r="727" s="1" customFormat="1"/>
    <row r="728" s="1" customFormat="1"/>
    <row r="729" s="1" customFormat="1"/>
    <row r="730" s="1" customFormat="1"/>
    <row r="731" s="1" customFormat="1"/>
    <row r="732" s="1" customFormat="1"/>
    <row r="733" s="1" customFormat="1"/>
    <row r="734" s="1" customFormat="1"/>
    <row r="735" s="1" customFormat="1"/>
    <row r="736" s="1" customFormat="1"/>
    <row r="737" s="1" customFormat="1"/>
    <row r="738" s="1" customFormat="1"/>
    <row r="739" s="1" customFormat="1"/>
    <row r="740" s="1" customFormat="1"/>
    <row r="741" s="1" customFormat="1"/>
    <row r="742" s="1" customFormat="1"/>
    <row r="743" s="1" customFormat="1"/>
    <row r="744" s="1" customFormat="1"/>
    <row r="745" s="1" customFormat="1"/>
    <row r="746" s="1" customFormat="1"/>
    <row r="747" s="1" customFormat="1"/>
    <row r="748" s="1" customFormat="1"/>
    <row r="749" s="1" customFormat="1"/>
    <row r="750" s="1" customFormat="1"/>
    <row r="751" s="1" customFormat="1"/>
    <row r="752" s="1" customFormat="1"/>
    <row r="753" s="1" customFormat="1"/>
    <row r="754" s="1" customFormat="1"/>
    <row r="755" s="1" customFormat="1"/>
    <row r="756" s="1" customFormat="1"/>
    <row r="757" s="1" customFormat="1"/>
    <row r="758" s="1" customFormat="1"/>
    <row r="759" s="1" customFormat="1"/>
    <row r="760" s="1" customFormat="1"/>
    <row r="761" s="1" customFormat="1"/>
    <row r="762" s="1" customFormat="1"/>
    <row r="763" s="1" customFormat="1"/>
    <row r="764" s="1" customFormat="1"/>
    <row r="765" s="1" customFormat="1"/>
    <row r="766" s="1" customFormat="1"/>
    <row r="767" s="1" customFormat="1"/>
    <row r="768" s="1" customFormat="1"/>
    <row r="769" s="1" customFormat="1"/>
    <row r="770" s="1" customFormat="1"/>
    <row r="771" s="1" customFormat="1"/>
    <row r="772" s="1" customFormat="1"/>
    <row r="773" s="1" customFormat="1"/>
    <row r="774" s="1" customFormat="1"/>
    <row r="775" s="1" customFormat="1"/>
    <row r="776" s="1" customFormat="1"/>
    <row r="777" s="1" customFormat="1"/>
    <row r="778" s="1" customFormat="1"/>
    <row r="779" s="1" customFormat="1"/>
    <row r="780" s="1" customFormat="1"/>
    <row r="781" s="1" customFormat="1"/>
    <row r="782" s="1" customFormat="1"/>
    <row r="783" s="1" customFormat="1"/>
    <row r="784" s="1" customFormat="1"/>
    <row r="785" s="1" customFormat="1"/>
    <row r="786" s="1" customFormat="1"/>
    <row r="787" s="1" customFormat="1"/>
    <row r="788" s="1" customFormat="1"/>
    <row r="789" s="1" customFormat="1"/>
    <row r="790" s="1" customFormat="1"/>
    <row r="791" s="1" customFormat="1"/>
    <row r="792" s="1" customFormat="1"/>
    <row r="793" s="1" customFormat="1"/>
    <row r="794" s="1" customFormat="1"/>
    <row r="795" s="1" customFormat="1"/>
    <row r="796" s="1" customFormat="1"/>
    <row r="797" s="1" customFormat="1"/>
    <row r="798" s="1" customFormat="1"/>
    <row r="799" s="1" customFormat="1"/>
    <row r="800" s="1" customFormat="1"/>
    <row r="801" s="1" customFormat="1"/>
    <row r="802" s="1" customFormat="1"/>
    <row r="803" s="1" customFormat="1"/>
    <row r="804" s="1" customFormat="1"/>
    <row r="805" s="1" customFormat="1"/>
    <row r="806" s="1" customFormat="1"/>
    <row r="807" s="1" customFormat="1"/>
    <row r="808" s="1" customFormat="1"/>
    <row r="809" s="1" customFormat="1"/>
    <row r="810" s="1" customFormat="1"/>
    <row r="811" s="1" customFormat="1"/>
    <row r="812" s="1" customFormat="1"/>
    <row r="813" s="1" customFormat="1"/>
    <row r="814" s="1" customFormat="1"/>
    <row r="815" s="1" customFormat="1"/>
    <row r="816" s="1" customFormat="1"/>
    <row r="817" s="1" customFormat="1"/>
    <row r="818" s="1" customFormat="1"/>
    <row r="819" s="1" customFormat="1"/>
    <row r="820" s="1" customFormat="1"/>
    <row r="821" s="1" customFormat="1"/>
    <row r="822" s="1" customFormat="1"/>
    <row r="823" s="1" customFormat="1"/>
    <row r="824" s="1" customFormat="1"/>
    <row r="825" s="1" customFormat="1"/>
    <row r="826" s="1" customFormat="1"/>
    <row r="827" s="1" customFormat="1"/>
    <row r="828" s="1" customFormat="1"/>
    <row r="829" s="1" customFormat="1"/>
    <row r="830" s="1" customFormat="1"/>
    <row r="831" s="1" customFormat="1"/>
    <row r="832" s="1" customFormat="1"/>
    <row r="833" s="1" customFormat="1"/>
    <row r="834" s="1" customFormat="1"/>
    <row r="835" s="1" customFormat="1"/>
    <row r="836" s="1" customFormat="1"/>
    <row r="837" s="1" customFormat="1"/>
    <row r="838" s="1" customFormat="1"/>
    <row r="839" s="1" customFormat="1"/>
    <row r="840" s="1" customFormat="1"/>
    <row r="841" s="1" customFormat="1"/>
    <row r="842" s="1" customFormat="1"/>
    <row r="843" s="1" customFormat="1"/>
    <row r="844" s="1" customFormat="1"/>
    <row r="845" s="1" customFormat="1"/>
    <row r="846" s="1" customFormat="1"/>
    <row r="847" s="1" customFormat="1"/>
    <row r="848" s="1" customFormat="1"/>
    <row r="849" s="1" customFormat="1"/>
    <row r="850" s="1" customFormat="1"/>
    <row r="851" s="1" customFormat="1"/>
    <row r="852" s="1" customFormat="1"/>
    <row r="853" s="1" customFormat="1"/>
    <row r="854" s="1" customFormat="1"/>
    <row r="855" s="1" customFormat="1"/>
    <row r="856" s="1" customFormat="1"/>
    <row r="857" s="1" customFormat="1"/>
    <row r="858" s="1" customFormat="1"/>
    <row r="859" s="1" customFormat="1"/>
    <row r="860" s="1" customFormat="1"/>
    <row r="861" s="1" customFormat="1"/>
    <row r="862" s="1" customFormat="1"/>
    <row r="863" s="1" customFormat="1"/>
    <row r="864" s="1" customFormat="1"/>
    <row r="865" s="1" customFormat="1"/>
    <row r="866" s="1" customFormat="1"/>
    <row r="867" s="1" customFormat="1"/>
    <row r="868" s="1" customFormat="1"/>
    <row r="869" s="1" customFormat="1"/>
    <row r="870" s="1" customFormat="1"/>
    <row r="871" s="1" customFormat="1"/>
    <row r="872" s="1" customFormat="1"/>
    <row r="873" s="1" customFormat="1"/>
    <row r="874" s="1" customFormat="1"/>
    <row r="875" s="1" customFormat="1"/>
    <row r="876" s="1" customFormat="1"/>
    <row r="877" s="1" customFormat="1"/>
    <row r="878" s="1" customFormat="1"/>
    <row r="879" s="1" customFormat="1"/>
    <row r="880" s="1" customFormat="1"/>
    <row r="881" s="1" customFormat="1"/>
    <row r="882" s="1" customFormat="1"/>
    <row r="883" s="1" customFormat="1"/>
    <row r="884" s="1" customFormat="1"/>
    <row r="885" s="1" customFormat="1"/>
    <row r="886" s="1" customFormat="1"/>
    <row r="887" s="1" customFormat="1"/>
    <row r="888" s="1" customFormat="1"/>
    <row r="889" s="1" customFormat="1"/>
    <row r="890" s="1" customFormat="1"/>
    <row r="891" s="1" customFormat="1"/>
    <row r="892" s="1" customFormat="1"/>
    <row r="893" s="1" customFormat="1"/>
    <row r="894" s="1" customFormat="1"/>
    <row r="895" s="1" customFormat="1"/>
    <row r="896" s="1" customFormat="1"/>
    <row r="897" s="1" customFormat="1"/>
    <row r="898" s="1" customFormat="1"/>
    <row r="899" s="1" customFormat="1"/>
    <row r="900" s="1" customFormat="1"/>
    <row r="901" s="1" customFormat="1"/>
    <row r="902" s="1" customFormat="1"/>
    <row r="903" s="1" customFormat="1"/>
    <row r="904" s="1" customFormat="1"/>
    <row r="905" s="1" customFormat="1"/>
    <row r="906" s="1" customFormat="1"/>
    <row r="907" s="1" customFormat="1"/>
    <row r="908" s="1" customFormat="1"/>
    <row r="909" s="1" customFormat="1"/>
    <row r="910" s="1" customFormat="1"/>
    <row r="911" s="1" customFormat="1"/>
    <row r="912" s="1" customFormat="1"/>
    <row r="913" s="1" customFormat="1"/>
    <row r="914" s="1" customFormat="1"/>
    <row r="915" s="1" customFormat="1"/>
    <row r="916" s="1" customFormat="1"/>
    <row r="917" s="1" customFormat="1"/>
    <row r="918" s="1" customFormat="1"/>
    <row r="919" s="1" customFormat="1"/>
    <row r="920" s="1" customFormat="1"/>
    <row r="921" s="1" customFormat="1"/>
    <row r="922" s="1" customFormat="1"/>
    <row r="923" s="1" customFormat="1"/>
    <row r="924" s="1" customFormat="1"/>
    <row r="925" s="1" customFormat="1"/>
    <row r="926" s="1" customFormat="1"/>
    <row r="927" s="1" customFormat="1"/>
    <row r="928" s="1" customFormat="1"/>
    <row r="929" s="1" customFormat="1"/>
    <row r="930" s="1" customFormat="1"/>
    <row r="931" s="1" customFormat="1"/>
    <row r="932" s="1" customFormat="1"/>
    <row r="933" s="1" customFormat="1"/>
    <row r="934" s="1" customFormat="1"/>
    <row r="935" s="1" customFormat="1"/>
    <row r="936" s="1" customFormat="1"/>
    <row r="937" s="1" customFormat="1"/>
    <row r="938" s="1" customFormat="1"/>
    <row r="939" s="1" customFormat="1"/>
    <row r="940" s="1" customFormat="1"/>
    <row r="941" s="1" customFormat="1"/>
    <row r="942" s="1" customFormat="1"/>
    <row r="943" s="1" customFormat="1"/>
    <row r="944" s="1" customFormat="1"/>
    <row r="945" s="1" customFormat="1"/>
    <row r="946" s="1" customFormat="1"/>
    <row r="947" s="1" customFormat="1"/>
    <row r="948" s="1" customFormat="1"/>
    <row r="949" s="1" customFormat="1"/>
    <row r="950" s="1" customFormat="1"/>
    <row r="951" s="1" customFormat="1"/>
    <row r="952" s="1" customFormat="1"/>
    <row r="953" s="1" customFormat="1"/>
    <row r="954" s="1" customFormat="1"/>
    <row r="955" s="1" customFormat="1"/>
    <row r="956" s="1" customFormat="1"/>
    <row r="957" s="1" customFormat="1"/>
    <row r="958" s="1" customFormat="1"/>
    <row r="959" s="1" customFormat="1"/>
    <row r="960" s="1" customFormat="1"/>
    <row r="961" s="1" customFormat="1"/>
    <row r="962" s="1" customFormat="1"/>
    <row r="963" s="1" customFormat="1"/>
    <row r="964" s="1" customFormat="1"/>
    <row r="965" s="1" customFormat="1"/>
    <row r="966" s="1" customFormat="1"/>
    <row r="967" s="1" customFormat="1"/>
    <row r="968" s="1" customFormat="1"/>
    <row r="969" s="1" customFormat="1"/>
    <row r="970" s="1" customFormat="1"/>
    <row r="971" s="1" customFormat="1"/>
    <row r="972" s="1" customFormat="1"/>
    <row r="973" s="1" customFormat="1"/>
    <row r="974" s="1" customFormat="1"/>
    <row r="975" s="1" customFormat="1"/>
    <row r="976" s="1" customFormat="1"/>
    <row r="977" s="1" customFormat="1"/>
    <row r="978" s="1" customFormat="1"/>
    <row r="979" s="1" customFormat="1"/>
    <row r="980" s="1" customFormat="1"/>
    <row r="981" s="1" customFormat="1"/>
    <row r="982" s="1" customFormat="1"/>
    <row r="983" s="1" customFormat="1"/>
    <row r="984" s="1" customFormat="1"/>
    <row r="985" s="1" customFormat="1"/>
    <row r="986" s="1" customFormat="1"/>
    <row r="987" s="1" customFormat="1"/>
    <row r="988" s="1" customFormat="1"/>
    <row r="989" s="1" customFormat="1"/>
    <row r="990" s="1" customFormat="1"/>
    <row r="991" s="1" customFormat="1"/>
    <row r="992" s="1" customFormat="1"/>
    <row r="993" s="1" customFormat="1"/>
    <row r="994" s="1" customFormat="1"/>
    <row r="995" s="1" customFormat="1"/>
    <row r="996" s="1" customFormat="1"/>
    <row r="997" s="1" customFormat="1"/>
    <row r="998" s="1" customFormat="1"/>
    <row r="999" s="1" customFormat="1"/>
    <row r="1000" s="1" customFormat="1"/>
    <row r="1001" s="1" customFormat="1"/>
    <row r="1002" s="1" customFormat="1"/>
    <row r="1003" s="1" customFormat="1"/>
    <row r="1004" s="1" customFormat="1"/>
    <row r="1005" s="1" customFormat="1"/>
    <row r="1006" s="1" customFormat="1"/>
    <row r="1007" s="1" customFormat="1"/>
    <row r="1008" s="1" customFormat="1"/>
    <row r="1009" s="1" customFormat="1"/>
    <row r="1010" s="1" customFormat="1"/>
    <row r="1011" s="1" customFormat="1"/>
    <row r="1012" s="1" customFormat="1"/>
    <row r="1013" s="1" customFormat="1"/>
    <row r="1014" s="1" customFormat="1"/>
    <row r="1015" s="1" customFormat="1"/>
    <row r="1016" s="1" customFormat="1"/>
    <row r="1017" s="1" customFormat="1"/>
    <row r="1018" s="1" customFormat="1"/>
    <row r="1019" s="1" customFormat="1"/>
    <row r="1020" s="1" customFormat="1"/>
    <row r="1021" s="1" customFormat="1"/>
    <row r="1022" s="1" customFormat="1"/>
    <row r="1023" s="1" customFormat="1"/>
    <row r="1024" s="1" customFormat="1"/>
    <row r="1025" s="1" customFormat="1"/>
    <row r="1026" s="1" customFormat="1"/>
    <row r="1027" s="1" customFormat="1"/>
    <row r="1028" s="1" customFormat="1"/>
    <row r="1029" s="1" customFormat="1"/>
    <row r="1030" s="1" customFormat="1"/>
    <row r="1031" s="1" customFormat="1"/>
    <row r="1032" s="1" customFormat="1"/>
    <row r="1033" s="1" customFormat="1"/>
    <row r="1034" s="1" customFormat="1"/>
    <row r="1035" s="1" customFormat="1"/>
    <row r="1036" s="1" customFormat="1"/>
    <row r="1037" s="1" customFormat="1"/>
    <row r="1038" s="1" customFormat="1"/>
    <row r="1039" s="1" customFormat="1"/>
    <row r="1040" s="1" customFormat="1"/>
    <row r="1041" s="1" customFormat="1"/>
    <row r="1042" s="1" customFormat="1"/>
    <row r="1043" s="1" customFormat="1"/>
    <row r="1044" s="1" customFormat="1"/>
    <row r="1045" s="1" customFormat="1"/>
    <row r="1046" s="1" customFormat="1"/>
    <row r="1047" s="1" customFormat="1"/>
    <row r="1048" s="1" customFormat="1"/>
    <row r="1049" s="1" customFormat="1"/>
    <row r="1050" s="1" customFormat="1"/>
    <row r="1051" s="1" customFormat="1"/>
    <row r="1052" s="1" customFormat="1"/>
    <row r="1053" s="1" customFormat="1"/>
    <row r="1054" s="1" customFormat="1"/>
    <row r="1055" s="1" customFormat="1"/>
    <row r="1056" s="1" customFormat="1"/>
    <row r="1057" s="1" customFormat="1"/>
    <row r="1058" s="1" customFormat="1"/>
    <row r="1059" s="1" customFormat="1"/>
    <row r="1060" s="1" customFormat="1"/>
    <row r="1061" s="1" customFormat="1"/>
    <row r="1062" s="1" customFormat="1"/>
    <row r="1063" s="1" customFormat="1"/>
    <row r="1064" s="1" customFormat="1"/>
    <row r="1065" s="1" customFormat="1"/>
    <row r="1066" s="1" customFormat="1"/>
    <row r="1067" s="1" customFormat="1"/>
    <row r="1068" s="1" customFormat="1"/>
    <row r="1069" s="1" customFormat="1"/>
    <row r="1070" s="1" customFormat="1"/>
    <row r="1071" s="1" customFormat="1"/>
    <row r="1072" s="1" customFormat="1"/>
    <row r="1073" s="1" customFormat="1"/>
    <row r="1074" s="1" customFormat="1"/>
    <row r="1075" s="1" customFormat="1"/>
    <row r="1076" s="1" customFormat="1"/>
    <row r="1077" s="1" customFormat="1"/>
    <row r="1078" s="1" customFormat="1"/>
    <row r="1079" s="1" customFormat="1"/>
    <row r="1080" s="1" customFormat="1"/>
    <row r="1081" s="1" customFormat="1"/>
    <row r="1082" s="1" customFormat="1"/>
    <row r="1083" s="1" customFormat="1"/>
    <row r="1084" s="1" customFormat="1"/>
    <row r="1085" s="1" customFormat="1"/>
    <row r="1086" s="1" customFormat="1"/>
    <row r="1087" s="1" customFormat="1"/>
    <row r="1088" s="1" customFormat="1"/>
    <row r="1089" s="1" customFormat="1"/>
    <row r="1090" s="1" customFormat="1"/>
    <row r="1091" s="1" customFormat="1"/>
    <row r="1092" s="1" customFormat="1"/>
    <row r="1093" s="1" customFormat="1"/>
    <row r="1094" s="1" customFormat="1"/>
    <row r="1095" s="1" customFormat="1"/>
    <row r="1096" s="1" customFormat="1"/>
    <row r="1097" s="1" customFormat="1"/>
    <row r="1098" s="1" customFormat="1"/>
    <row r="1099" s="1" customFormat="1"/>
    <row r="1100" s="1" customFormat="1"/>
    <row r="1101" s="1" customFormat="1"/>
    <row r="1102" s="1" customFormat="1"/>
    <row r="1103" s="1" customFormat="1"/>
    <row r="1104" s="1" customFormat="1"/>
    <row r="1105" s="1" customFormat="1"/>
    <row r="1106" s="1" customFormat="1"/>
    <row r="1107" s="1" customFormat="1"/>
    <row r="1108" s="1" customFormat="1"/>
    <row r="1109" s="1" customFormat="1"/>
    <row r="1110" s="1" customFormat="1"/>
    <row r="1111" s="1" customFormat="1"/>
    <row r="1112" s="1" customFormat="1"/>
    <row r="1113" s="1" customFormat="1"/>
    <row r="1114" s="1" customFormat="1"/>
    <row r="1115" s="1" customFormat="1"/>
    <row r="1116" s="1" customFormat="1"/>
    <row r="1117" s="1" customFormat="1"/>
    <row r="1118" s="1" customFormat="1"/>
    <row r="1119" s="1" customFormat="1"/>
    <row r="1120" s="1" customFormat="1"/>
    <row r="1121" s="1" customFormat="1"/>
    <row r="1122" s="1" customFormat="1"/>
    <row r="1123" s="1" customFormat="1"/>
    <row r="1124" s="1" customFormat="1"/>
    <row r="1125" s="1" customFormat="1"/>
    <row r="1126" s="1" customFormat="1"/>
    <row r="1127" s="1" customFormat="1"/>
    <row r="1128" s="1" customFormat="1"/>
    <row r="1129" s="1" customFormat="1"/>
    <row r="1130" s="1" customFormat="1"/>
    <row r="1131" s="1" customFormat="1"/>
    <row r="1132" s="1" customFormat="1"/>
    <row r="1133" s="1" customFormat="1"/>
    <row r="1134" s="1" customFormat="1"/>
    <row r="1135" s="1" customFormat="1"/>
    <row r="1136" s="1" customFormat="1"/>
    <row r="1137" s="1" customFormat="1"/>
    <row r="1138" s="1" customFormat="1"/>
    <row r="1139" s="1" customFormat="1"/>
    <row r="1140" s="1" customFormat="1"/>
    <row r="1141" s="1" customFormat="1"/>
    <row r="1142" s="1" customFormat="1"/>
    <row r="1143" s="1" customFormat="1"/>
    <row r="1144" s="1" customFormat="1"/>
    <row r="1145" s="1" customFormat="1"/>
    <row r="1146" s="1" customFormat="1"/>
    <row r="1147" s="1" customFormat="1"/>
    <row r="1148" s="1" customFormat="1"/>
    <row r="1149" s="1" customFormat="1"/>
    <row r="1150" s="1" customFormat="1"/>
    <row r="1151" s="1" customFormat="1"/>
    <row r="1152" s="1" customFormat="1"/>
    <row r="1153" s="1" customFormat="1"/>
    <row r="1154" s="1" customFormat="1"/>
    <row r="1155" s="1" customFormat="1"/>
    <row r="1156" s="1" customFormat="1"/>
    <row r="1157" s="1" customFormat="1"/>
    <row r="1158" s="1" customFormat="1"/>
    <row r="1159" s="1" customFormat="1"/>
    <row r="1160" s="1" customFormat="1"/>
    <row r="1161" s="1" customFormat="1"/>
    <row r="1162" s="1" customFormat="1"/>
    <row r="1163" s="1" customFormat="1"/>
    <row r="1164" s="1" customFormat="1"/>
    <row r="1165" s="1" customFormat="1"/>
    <row r="1166" s="1" customFormat="1"/>
    <row r="1167" s="1" customFormat="1"/>
    <row r="1168" s="1" customFormat="1"/>
    <row r="1169" s="1" customFormat="1"/>
    <row r="1170" s="1" customFormat="1"/>
    <row r="1171" s="1" customFormat="1"/>
    <row r="1172" s="1" customFormat="1"/>
    <row r="1173" s="1" customFormat="1"/>
    <row r="1174" s="1" customFormat="1"/>
    <row r="1175" s="1" customFormat="1"/>
    <row r="1176" s="1" customFormat="1"/>
    <row r="1177" s="1" customFormat="1"/>
    <row r="1178" s="1" customFormat="1"/>
    <row r="1179" s="1" customFormat="1"/>
    <row r="1180" s="1" customFormat="1"/>
    <row r="1181" s="1" customFormat="1"/>
    <row r="1182" s="1" customFormat="1"/>
    <row r="1183" s="1" customFormat="1"/>
    <row r="1184" s="1" customFormat="1"/>
    <row r="1185" s="1" customFormat="1"/>
    <row r="1186" s="1" customFormat="1"/>
    <row r="1187" s="1" customFormat="1"/>
    <row r="1188" s="1" customFormat="1"/>
    <row r="1189" s="1" customFormat="1"/>
    <row r="1190" s="1" customFormat="1"/>
    <row r="1191" s="1" customFormat="1"/>
    <row r="1192" s="1" customFormat="1"/>
    <row r="1193" s="1" customFormat="1"/>
    <row r="1194" s="1" customFormat="1"/>
    <row r="1195" s="1" customFormat="1"/>
    <row r="1196" s="1" customFormat="1"/>
    <row r="1197" s="1" customFormat="1"/>
    <row r="1198" s="1" customFormat="1"/>
    <row r="1199" s="1" customFormat="1"/>
    <row r="1200" s="1" customFormat="1"/>
    <row r="1201" s="1" customFormat="1"/>
    <row r="1202" s="1" customFormat="1"/>
    <row r="1203" s="1" customFormat="1"/>
    <row r="1204" s="1" customFormat="1"/>
    <row r="1205" s="1" customFormat="1"/>
    <row r="1206" s="1" customFormat="1"/>
    <row r="1207" s="1" customFormat="1"/>
    <row r="1208" s="1" customFormat="1"/>
    <row r="1209" s="1" customFormat="1"/>
    <row r="1210" s="1" customFormat="1"/>
    <row r="1211" s="1" customFormat="1"/>
    <row r="1212" s="1" customFormat="1"/>
    <row r="1213" s="1" customFormat="1"/>
    <row r="1214" s="1" customFormat="1"/>
    <row r="1215" s="1" customFormat="1"/>
    <row r="1216" s="1" customFormat="1"/>
    <row r="1217" s="1" customFormat="1"/>
    <row r="1218" s="1" customFormat="1"/>
    <row r="1219" s="1" customFormat="1"/>
    <row r="1220" s="1" customFormat="1"/>
    <row r="1221" s="1" customFormat="1"/>
    <row r="1222" s="1" customFormat="1"/>
    <row r="1223" s="1" customFormat="1"/>
    <row r="1224" s="1" customFormat="1"/>
    <row r="1225" s="1" customFormat="1"/>
    <row r="1226" s="1" customFormat="1"/>
    <row r="1227" s="1" customFormat="1"/>
    <row r="1228" s="1" customFormat="1"/>
    <row r="1229" s="1" customFormat="1"/>
    <row r="1230" s="1" customFormat="1"/>
    <row r="1231" s="1" customFormat="1"/>
    <row r="1232" s="1" customFormat="1"/>
    <row r="1233" s="1" customFormat="1"/>
    <row r="1234" s="1" customFormat="1"/>
    <row r="1235" s="1" customFormat="1"/>
    <row r="1236" s="1" customFormat="1"/>
    <row r="1237" s="1" customFormat="1"/>
    <row r="1238" s="1" customFormat="1"/>
    <row r="1239" s="1" customFormat="1"/>
    <row r="1240" s="1" customFormat="1"/>
    <row r="1241" s="1" customFormat="1"/>
    <row r="1242" s="1" customFormat="1"/>
    <row r="1243" s="1" customFormat="1"/>
    <row r="1244" s="1" customFormat="1"/>
    <row r="1245" s="1" customFormat="1"/>
    <row r="1246" s="1" customFormat="1"/>
    <row r="1247" s="1" customFormat="1"/>
    <row r="1248" s="1" customFormat="1"/>
    <row r="1249" s="1" customFormat="1"/>
    <row r="1250" s="1" customFormat="1"/>
    <row r="1251" s="1" customFormat="1"/>
    <row r="1252" s="1" customFormat="1"/>
    <row r="1253" s="1" customFormat="1"/>
    <row r="1254" s="1" customFormat="1"/>
    <row r="1255" s="1" customFormat="1"/>
    <row r="1256" s="1" customFormat="1"/>
    <row r="1257" s="1" customFormat="1"/>
    <row r="1258" s="1" customFormat="1"/>
    <row r="1259" s="1" customFormat="1"/>
    <row r="1260" s="1" customFormat="1"/>
    <row r="1261" s="1" customFormat="1"/>
    <row r="1262" s="1" customFormat="1"/>
    <row r="1263" s="1" customFormat="1"/>
    <row r="1264" s="1" customFormat="1"/>
    <row r="1265" s="1" customFormat="1"/>
    <row r="1266" s="1" customFormat="1"/>
    <row r="1267" s="1" customFormat="1"/>
    <row r="1268" s="1" customFormat="1"/>
    <row r="1269" s="1" customFormat="1"/>
    <row r="1270" s="1" customFormat="1"/>
    <row r="1271" s="1" customFormat="1"/>
    <row r="1272" s="1" customFormat="1"/>
    <row r="1273" s="1" customFormat="1"/>
    <row r="1274" s="1" customFormat="1"/>
    <row r="1275" s="1" customFormat="1"/>
    <row r="1276" s="1" customFormat="1"/>
    <row r="1277" s="1" customFormat="1"/>
    <row r="1278" s="1" customFormat="1"/>
    <row r="1279" s="1" customFormat="1"/>
    <row r="1280" s="1" customFormat="1"/>
    <row r="1281" s="1" customFormat="1"/>
    <row r="1282" s="1" customFormat="1"/>
    <row r="1283" s="1" customFormat="1"/>
    <row r="1284" s="1" customFormat="1"/>
    <row r="1285" s="1" customFormat="1"/>
    <row r="1286" s="1" customFormat="1"/>
    <row r="1287" s="1" customFormat="1"/>
    <row r="1288" s="1" customFormat="1"/>
    <row r="1289" s="1" customFormat="1"/>
    <row r="1290" s="1" customFormat="1"/>
    <row r="1291" s="1" customFormat="1"/>
    <row r="1292" s="1" customFormat="1"/>
    <row r="1293" s="1" customFormat="1"/>
    <row r="1294" s="1" customFormat="1"/>
    <row r="1295" s="1" customFormat="1"/>
    <row r="1296" s="1" customFormat="1"/>
    <row r="1297" s="1" customFormat="1"/>
    <row r="1298" s="1" customFormat="1"/>
    <row r="1299" s="1" customFormat="1"/>
    <row r="1300" s="1" customFormat="1"/>
    <row r="1301" s="1" customFormat="1"/>
    <row r="1302" s="1" customFormat="1"/>
    <row r="1303" s="1" customFormat="1"/>
    <row r="1304" s="1" customFormat="1"/>
    <row r="1305" s="1" customFormat="1"/>
    <row r="1306" s="1" customFormat="1"/>
    <row r="1307" s="1" customFormat="1"/>
    <row r="1308" s="1" customFormat="1"/>
    <row r="1309" s="1" customFormat="1"/>
    <row r="1310" s="1" customFormat="1"/>
    <row r="1311" s="1" customFormat="1"/>
    <row r="1312" s="1" customFormat="1"/>
    <row r="1313" s="1" customFormat="1"/>
    <row r="1314" s="1" customFormat="1"/>
    <row r="1315" s="1" customFormat="1"/>
    <row r="1316" s="1" customFormat="1"/>
    <row r="1317" s="1" customFormat="1"/>
    <row r="1318" s="1" customFormat="1"/>
    <row r="1319" s="1" customFormat="1"/>
    <row r="1320" s="1" customFormat="1"/>
    <row r="1321" s="1" customFormat="1"/>
    <row r="1322" s="1" customFormat="1"/>
    <row r="1323" s="1" customFormat="1"/>
    <row r="1324" s="1" customFormat="1"/>
    <row r="1325" s="1" customFormat="1"/>
    <row r="1326" s="1" customFormat="1"/>
    <row r="1327" s="1" customFormat="1"/>
    <row r="1328" s="1" customFormat="1"/>
    <row r="1329" s="1" customFormat="1"/>
    <row r="1330" s="1" customFormat="1"/>
    <row r="1331" s="1" customFormat="1"/>
    <row r="1332" s="1" customFormat="1"/>
    <row r="1333" s="1" customFormat="1"/>
    <row r="1334" s="1" customFormat="1"/>
    <row r="1335" s="1" customFormat="1"/>
    <row r="1336" s="1" customFormat="1"/>
    <row r="1337" s="1" customFormat="1"/>
    <row r="1338" s="1" customFormat="1"/>
    <row r="1339" s="1" customFormat="1"/>
    <row r="1340" s="1" customFormat="1"/>
    <row r="1341" s="1" customFormat="1"/>
    <row r="1342" s="1" customFormat="1"/>
    <row r="1343" s="1" customFormat="1"/>
    <row r="1344" s="1" customFormat="1"/>
    <row r="1345" s="1" customFormat="1"/>
    <row r="1346" s="1" customFormat="1"/>
    <row r="1347" s="1" customFormat="1"/>
    <row r="1348" s="1" customFormat="1"/>
    <row r="1349" s="1" customFormat="1"/>
    <row r="1350" s="1" customFormat="1"/>
    <row r="1351" s="1" customFormat="1"/>
    <row r="1352" s="1" customFormat="1"/>
    <row r="1353" s="1" customFormat="1"/>
    <row r="1354" s="1" customFormat="1"/>
    <row r="1355" s="1" customFormat="1"/>
    <row r="1356" s="1" customFormat="1"/>
    <row r="1357" s="1" customFormat="1"/>
    <row r="1358" s="1" customFormat="1"/>
    <row r="1359" s="1" customFormat="1"/>
    <row r="1360" s="1" customFormat="1"/>
    <row r="1361" s="1" customFormat="1"/>
    <row r="1362" s="1" customFormat="1"/>
    <row r="1363" s="1" customFormat="1"/>
    <row r="1364" s="1" customFormat="1"/>
    <row r="1365" s="1" customFormat="1"/>
    <row r="1366" s="1" customFormat="1"/>
    <row r="1367" s="1" customFormat="1"/>
    <row r="1368" s="1" customFormat="1"/>
    <row r="1369" s="1" customFormat="1"/>
    <row r="1370" s="1" customFormat="1"/>
    <row r="1371" s="1" customFormat="1"/>
    <row r="1372" s="1" customFormat="1"/>
    <row r="1373" s="1" customFormat="1"/>
    <row r="1374" s="1" customFormat="1"/>
    <row r="1375" s="1" customFormat="1"/>
    <row r="1376" s="1" customFormat="1"/>
    <row r="1377" s="1" customFormat="1"/>
    <row r="1378" s="1" customFormat="1"/>
    <row r="1379" s="1" customFormat="1"/>
    <row r="1380" s="1" customFormat="1"/>
    <row r="1381" s="1" customFormat="1"/>
    <row r="1382" s="1" customFormat="1"/>
    <row r="1383" s="1" customFormat="1"/>
    <row r="1384" s="1" customFormat="1"/>
    <row r="1385" s="1" customFormat="1"/>
    <row r="1386" s="1" customFormat="1"/>
    <row r="1387" s="1" customFormat="1"/>
    <row r="1388" s="1" customFormat="1"/>
    <row r="1389" s="1" customFormat="1"/>
    <row r="1390" s="1" customFormat="1"/>
    <row r="1391" s="1" customFormat="1"/>
    <row r="1392" s="1" customFormat="1"/>
    <row r="1393" s="1" customFormat="1"/>
    <row r="1394" s="1" customFormat="1"/>
    <row r="1395" s="1" customFormat="1"/>
    <row r="1396" s="1" customFormat="1"/>
    <row r="1397" s="1" customFormat="1"/>
    <row r="1398" s="1" customFormat="1"/>
    <row r="1399" s="1" customFormat="1"/>
    <row r="1400" s="1" customFormat="1"/>
    <row r="1401" s="1" customFormat="1"/>
    <row r="1402" s="1" customFormat="1"/>
    <row r="1403" s="1" customFormat="1"/>
    <row r="1404" s="1" customFormat="1"/>
    <row r="1405" s="1" customFormat="1"/>
    <row r="1406" s="1" customFormat="1"/>
    <row r="1407" s="1" customFormat="1"/>
    <row r="1408" s="1" customFormat="1"/>
    <row r="1409" s="1" customFormat="1"/>
    <row r="1410" s="1" customFormat="1"/>
    <row r="1411" s="1" customFormat="1"/>
    <row r="1412" s="1" customFormat="1"/>
    <row r="1413" s="1" customFormat="1"/>
    <row r="1414" s="1" customFormat="1"/>
    <row r="1415" s="1" customFormat="1"/>
    <row r="1416" s="1" customFormat="1"/>
    <row r="1417" s="1" customFormat="1"/>
    <row r="1418" s="1" customFormat="1"/>
    <row r="1419" s="1" customFormat="1"/>
    <row r="1420" s="1" customFormat="1"/>
    <row r="1421" s="1" customFormat="1"/>
    <row r="1422" s="1" customFormat="1"/>
    <row r="1423" s="1" customFormat="1"/>
    <row r="1424" s="1" customFormat="1"/>
    <row r="1425" s="1" customFormat="1"/>
    <row r="1426" s="1" customFormat="1"/>
    <row r="1427" s="1" customFormat="1"/>
    <row r="1428" s="1" customFormat="1"/>
    <row r="1429" s="1" customFormat="1"/>
    <row r="1430" s="1" customFormat="1"/>
    <row r="1431" s="1" customFormat="1"/>
    <row r="1432" s="1" customFormat="1"/>
    <row r="1433" s="1" customFormat="1"/>
    <row r="1434" s="1" customFormat="1"/>
    <row r="1435" s="1" customFormat="1"/>
    <row r="1436" s="1" customFormat="1"/>
    <row r="1437" s="1" customFormat="1"/>
    <row r="1438" s="1" customFormat="1"/>
    <row r="1439" s="1" customFormat="1"/>
    <row r="1440" s="1" customFormat="1"/>
    <row r="1441" s="1" customFormat="1"/>
    <row r="1442" s="1" customFormat="1"/>
    <row r="1443" s="1" customFormat="1"/>
    <row r="1444" s="1" customFormat="1"/>
    <row r="1445" s="1" customFormat="1"/>
    <row r="1446" s="1" customFormat="1"/>
    <row r="1447" s="1" customFormat="1"/>
    <row r="1448" s="1" customFormat="1"/>
    <row r="1449" s="1" customFormat="1"/>
    <row r="1450" s="1" customFormat="1"/>
    <row r="1451" s="1" customFormat="1"/>
    <row r="1452" s="1" customFormat="1"/>
    <row r="1453" s="1" customFormat="1"/>
    <row r="1454" s="1" customFormat="1"/>
    <row r="1455" s="1" customFormat="1"/>
    <row r="1456" s="1" customFormat="1"/>
    <row r="1457" s="1" customFormat="1"/>
    <row r="1458" s="1" customFormat="1"/>
    <row r="1459" s="1" customFormat="1"/>
    <row r="1460" s="1" customFormat="1"/>
    <row r="1461" s="1" customFormat="1"/>
    <row r="1462" s="1" customFormat="1"/>
    <row r="1463" s="1" customFormat="1"/>
    <row r="1464" s="1" customFormat="1"/>
    <row r="1465" s="1" customFormat="1"/>
    <row r="1466" s="1" customFormat="1"/>
    <row r="1467" s="1" customFormat="1"/>
    <row r="1468" s="1" customFormat="1"/>
    <row r="1469" s="1" customFormat="1"/>
    <row r="1470" s="1" customFormat="1"/>
    <row r="1471" s="1" customFormat="1"/>
    <row r="1472" s="1" customFormat="1"/>
    <row r="1473" s="1" customFormat="1"/>
    <row r="1474" s="1" customFormat="1"/>
    <row r="1475" s="1" customFormat="1"/>
    <row r="1476" s="1" customFormat="1"/>
    <row r="1477" s="1" customFormat="1"/>
    <row r="1478" s="1" customFormat="1"/>
    <row r="1479" s="1" customFormat="1"/>
    <row r="1480" s="1" customFormat="1"/>
    <row r="1481" s="1" customFormat="1"/>
    <row r="1482" s="1" customFormat="1"/>
    <row r="1483" s="1" customFormat="1"/>
    <row r="1484" s="1" customFormat="1"/>
    <row r="1485" s="1" customFormat="1"/>
    <row r="1486" s="1" customFormat="1"/>
    <row r="1487" s="1" customFormat="1"/>
    <row r="1488" s="1" customFormat="1"/>
  </sheetData>
  <sheetProtection algorithmName="SHA-512" hashValue="MtTwTMjRb4gS+O9tjxxEaK+WPqJNTyuqjyjRMoZefKCZsc8MSPTc7pv+0bpVxOhl1NBlLV9+gSpPLN2JRYt2SA==" saltValue="cEetRhtXePB+6E9VctHwUw==" spinCount="100000" sheet="1" formatCells="0" insertHyperlinks="0"/>
  <mergeCells count="2025">
    <mergeCell ref="E244:G244"/>
    <mergeCell ref="E245:G245"/>
    <mergeCell ref="E246:G246"/>
    <mergeCell ref="E247:G247"/>
    <mergeCell ref="E249:G249"/>
    <mergeCell ref="E250:G250"/>
    <mergeCell ref="U110:V110"/>
    <mergeCell ref="X110:Y110"/>
    <mergeCell ref="R131:T131"/>
    <mergeCell ref="R137:T137"/>
    <mergeCell ref="R135:T135"/>
    <mergeCell ref="E144:G144"/>
    <mergeCell ref="E146:G146"/>
    <mergeCell ref="I151:K151"/>
    <mergeCell ref="L151:N151"/>
    <mergeCell ref="O151:Q151"/>
    <mergeCell ref="Y133:Z133"/>
    <mergeCell ref="E151:F151"/>
    <mergeCell ref="E140:G140"/>
    <mergeCell ref="E142:G142"/>
    <mergeCell ref="E139:F139"/>
    <mergeCell ref="E143:F143"/>
    <mergeCell ref="R151:T151"/>
    <mergeCell ref="U137:W137"/>
    <mergeCell ref="U135:W135"/>
    <mergeCell ref="X135:Z135"/>
    <mergeCell ref="E136:G136"/>
    <mergeCell ref="E138:G138"/>
    <mergeCell ref="E137:F137"/>
    <mergeCell ref="I145:K145"/>
    <mergeCell ref="L145:N145"/>
    <mergeCell ref="O145:Q145"/>
    <mergeCell ref="AJ141:AL141"/>
    <mergeCell ref="AM141:AO141"/>
    <mergeCell ref="AP141:AR141"/>
    <mergeCell ref="AP83:AQ83"/>
    <mergeCell ref="AJ86:AK86"/>
    <mergeCell ref="AP127:AQ127"/>
    <mergeCell ref="X98:Y98"/>
    <mergeCell ref="X101:Y101"/>
    <mergeCell ref="AA101:AB101"/>
    <mergeCell ref="AD101:AE101"/>
    <mergeCell ref="AA80:AB80"/>
    <mergeCell ref="AD80:AE80"/>
    <mergeCell ref="AG80:AH80"/>
    <mergeCell ref="AJ80:AK80"/>
    <mergeCell ref="AP101:AQ101"/>
    <mergeCell ref="AA98:AB98"/>
    <mergeCell ref="AA83:AB83"/>
    <mergeCell ref="AD83:AE83"/>
    <mergeCell ref="AJ126:AK126"/>
    <mergeCell ref="AM126:AN126"/>
    <mergeCell ref="L23:M23"/>
    <mergeCell ref="O23:P23"/>
    <mergeCell ref="R23:S23"/>
    <mergeCell ref="U23:V23"/>
    <mergeCell ref="X23:Y23"/>
    <mergeCell ref="AA23:AB23"/>
    <mergeCell ref="AD23:AE23"/>
    <mergeCell ref="AG23:AH23"/>
    <mergeCell ref="AJ23:AK23"/>
    <mergeCell ref="AM23:AN23"/>
    <mergeCell ref="AP23:AQ23"/>
    <mergeCell ref="R24:S24"/>
    <mergeCell ref="U24:V24"/>
    <mergeCell ref="X24:Y24"/>
    <mergeCell ref="AA24:AB24"/>
    <mergeCell ref="AD24:AE24"/>
    <mergeCell ref="AG24:AH24"/>
    <mergeCell ref="AJ24:AK24"/>
    <mergeCell ref="AM24:AN24"/>
    <mergeCell ref="AP24:AQ24"/>
    <mergeCell ref="O21:P21"/>
    <mergeCell ref="R21:S21"/>
    <mergeCell ref="U21:V21"/>
    <mergeCell ref="X21:Y21"/>
    <mergeCell ref="AA21:AB21"/>
    <mergeCell ref="AD21:AE21"/>
    <mergeCell ref="AG21:AH21"/>
    <mergeCell ref="AJ21:AK21"/>
    <mergeCell ref="AM21:AN21"/>
    <mergeCell ref="AP21:AQ21"/>
    <mergeCell ref="L20:M20"/>
    <mergeCell ref="R22:S22"/>
    <mergeCell ref="U22:V22"/>
    <mergeCell ref="X22:Y22"/>
    <mergeCell ref="AA22:AB22"/>
    <mergeCell ref="AD22:AE22"/>
    <mergeCell ref="AG22:AH22"/>
    <mergeCell ref="AJ22:AK22"/>
    <mergeCell ref="AM22:AN22"/>
    <mergeCell ref="AP22:AQ22"/>
    <mergeCell ref="R19:S19"/>
    <mergeCell ref="U19:V19"/>
    <mergeCell ref="X19:Y19"/>
    <mergeCell ref="AA19:AB19"/>
    <mergeCell ref="AD19:AE19"/>
    <mergeCell ref="AG19:AH19"/>
    <mergeCell ref="AJ19:AK19"/>
    <mergeCell ref="AM19:AN19"/>
    <mergeCell ref="AP19:AQ19"/>
    <mergeCell ref="O18:P18"/>
    <mergeCell ref="R20:S20"/>
    <mergeCell ref="U20:V20"/>
    <mergeCell ref="X20:Y20"/>
    <mergeCell ref="AA20:AB20"/>
    <mergeCell ref="AD20:AE20"/>
    <mergeCell ref="AG20:AH20"/>
    <mergeCell ref="AJ20:AK20"/>
    <mergeCell ref="AM20:AN20"/>
    <mergeCell ref="AP20:AQ20"/>
    <mergeCell ref="R17:S17"/>
    <mergeCell ref="U17:V17"/>
    <mergeCell ref="X17:Y17"/>
    <mergeCell ref="AA17:AB17"/>
    <mergeCell ref="AD17:AE17"/>
    <mergeCell ref="AG17:AH17"/>
    <mergeCell ref="AJ17:AK17"/>
    <mergeCell ref="AM17:AN17"/>
    <mergeCell ref="AP17:AQ17"/>
    <mergeCell ref="R18:S18"/>
    <mergeCell ref="U18:V18"/>
    <mergeCell ref="X18:Y18"/>
    <mergeCell ref="AA18:AB18"/>
    <mergeCell ref="AD18:AE18"/>
    <mergeCell ref="AG18:AH18"/>
    <mergeCell ref="AJ18:AK18"/>
    <mergeCell ref="AM18:AN18"/>
    <mergeCell ref="AP18:AQ18"/>
    <mergeCell ref="AD14:AE14"/>
    <mergeCell ref="AG14:AH14"/>
    <mergeCell ref="AJ14:AK14"/>
    <mergeCell ref="AM14:AN14"/>
    <mergeCell ref="AP14:AQ14"/>
    <mergeCell ref="L15:M15"/>
    <mergeCell ref="O15:P15"/>
    <mergeCell ref="R15:S15"/>
    <mergeCell ref="U15:V15"/>
    <mergeCell ref="X15:Y15"/>
    <mergeCell ref="AA15:AB15"/>
    <mergeCell ref="AD15:AE15"/>
    <mergeCell ref="AG15:AH15"/>
    <mergeCell ref="AJ15:AK15"/>
    <mergeCell ref="AM15:AN15"/>
    <mergeCell ref="AP15:AQ15"/>
    <mergeCell ref="R16:S16"/>
    <mergeCell ref="U16:V16"/>
    <mergeCell ref="X16:Y16"/>
    <mergeCell ref="AA16:AB16"/>
    <mergeCell ref="AD16:AE16"/>
    <mergeCell ref="AG16:AH16"/>
    <mergeCell ref="AJ16:AK16"/>
    <mergeCell ref="AM16:AN16"/>
    <mergeCell ref="AP16:AQ16"/>
    <mergeCell ref="R14:S14"/>
    <mergeCell ref="U14:V14"/>
    <mergeCell ref="X14:Y14"/>
    <mergeCell ref="AA14:AB14"/>
    <mergeCell ref="AM12:AN12"/>
    <mergeCell ref="AP10:AQ10"/>
    <mergeCell ref="AP11:AQ11"/>
    <mergeCell ref="AP12:AQ12"/>
    <mergeCell ref="R13:S13"/>
    <mergeCell ref="AA13:AB13"/>
    <mergeCell ref="AJ13:AK13"/>
    <mergeCell ref="AP13:AQ13"/>
    <mergeCell ref="O13:P13"/>
    <mergeCell ref="U13:V13"/>
    <mergeCell ref="X13:Y13"/>
    <mergeCell ref="AD13:AE13"/>
    <mergeCell ref="AG13:AH13"/>
    <mergeCell ref="AM13:AN13"/>
    <mergeCell ref="R10:S10"/>
    <mergeCell ref="R11:S11"/>
    <mergeCell ref="R12:S12"/>
    <mergeCell ref="U10:V10"/>
    <mergeCell ref="U11:V11"/>
    <mergeCell ref="U12:V12"/>
    <mergeCell ref="X10:Y10"/>
    <mergeCell ref="X11:Y11"/>
    <mergeCell ref="X12:Y12"/>
    <mergeCell ref="AA10:AB10"/>
    <mergeCell ref="AA11:AB11"/>
    <mergeCell ref="AA12:AB12"/>
    <mergeCell ref="AD10:AE10"/>
    <mergeCell ref="AD11:AE11"/>
    <mergeCell ref="AD12:AE12"/>
    <mergeCell ref="AG10:AH10"/>
    <mergeCell ref="AG11:AH11"/>
    <mergeCell ref="AG12:AH12"/>
    <mergeCell ref="I15:J15"/>
    <mergeCell ref="I16:J16"/>
    <mergeCell ref="I17:J17"/>
    <mergeCell ref="I18:J18"/>
    <mergeCell ref="I19:J19"/>
    <mergeCell ref="I20:J20"/>
    <mergeCell ref="I21:J21"/>
    <mergeCell ref="I22:J22"/>
    <mergeCell ref="I23:J23"/>
    <mergeCell ref="I24:J24"/>
    <mergeCell ref="L13:M13"/>
    <mergeCell ref="L10:M10"/>
    <mergeCell ref="L11:M11"/>
    <mergeCell ref="L12:M12"/>
    <mergeCell ref="O10:P10"/>
    <mergeCell ref="O11:P11"/>
    <mergeCell ref="O12:P12"/>
    <mergeCell ref="L14:M14"/>
    <mergeCell ref="O14:P14"/>
    <mergeCell ref="L16:M16"/>
    <mergeCell ref="O16:P16"/>
    <mergeCell ref="L18:M18"/>
    <mergeCell ref="O20:P20"/>
    <mergeCell ref="L22:M22"/>
    <mergeCell ref="O22:P22"/>
    <mergeCell ref="L24:M24"/>
    <mergeCell ref="O24:P24"/>
    <mergeCell ref="L17:M17"/>
    <mergeCell ref="O17:P17"/>
    <mergeCell ref="L19:M19"/>
    <mergeCell ref="O19:P19"/>
    <mergeCell ref="L21:M21"/>
    <mergeCell ref="BD203:BD204"/>
    <mergeCell ref="BD206:BD207"/>
    <mergeCell ref="BD106:BD107"/>
    <mergeCell ref="BD109:BD110"/>
    <mergeCell ref="BD112:BD113"/>
    <mergeCell ref="BD161:BD162"/>
    <mergeCell ref="BD164:BD165"/>
    <mergeCell ref="BD167:BD168"/>
    <mergeCell ref="BD170:BD171"/>
    <mergeCell ref="BD173:BD174"/>
    <mergeCell ref="BD176:BD177"/>
    <mergeCell ref="BD179:BD180"/>
    <mergeCell ref="BD182:BD183"/>
    <mergeCell ref="BD185:BD186"/>
    <mergeCell ref="BD188:BD189"/>
    <mergeCell ref="BD191:BD192"/>
    <mergeCell ref="BD194:BD195"/>
    <mergeCell ref="BD197:BD198"/>
    <mergeCell ref="BD200:BD201"/>
    <mergeCell ref="BC126:BD126"/>
    <mergeCell ref="BC154:BD154"/>
    <mergeCell ref="BD115:BD116"/>
    <mergeCell ref="BD118:BD119"/>
    <mergeCell ref="BD124:BD125"/>
    <mergeCell ref="BD121:BD122"/>
    <mergeCell ref="U98:V98"/>
    <mergeCell ref="O127:P127"/>
    <mergeCell ref="AM98:AN98"/>
    <mergeCell ref="F127:G127"/>
    <mergeCell ref="BD55:BD56"/>
    <mergeCell ref="BD58:BD59"/>
    <mergeCell ref="BD61:BD62"/>
    <mergeCell ref="BD64:BD65"/>
    <mergeCell ref="BD67:BD68"/>
    <mergeCell ref="BD70:BD71"/>
    <mergeCell ref="BD73:BD74"/>
    <mergeCell ref="BD76:BD77"/>
    <mergeCell ref="BD79:BD80"/>
    <mergeCell ref="BD82:BD83"/>
    <mergeCell ref="BD85:BD86"/>
    <mergeCell ref="BD88:BD89"/>
    <mergeCell ref="BD91:BD92"/>
    <mergeCell ref="BD94:BD95"/>
    <mergeCell ref="BD97:BD98"/>
    <mergeCell ref="BD100:BD101"/>
    <mergeCell ref="BD103:BD104"/>
    <mergeCell ref="AA110:AB110"/>
    <mergeCell ref="AD110:AE110"/>
    <mergeCell ref="AG110:AH110"/>
    <mergeCell ref="AJ110:AK110"/>
    <mergeCell ref="AM71:AN71"/>
    <mergeCell ref="AP71:AQ71"/>
    <mergeCell ref="AM62:AN62"/>
    <mergeCell ref="AP62:AQ62"/>
    <mergeCell ref="U56:V56"/>
    <mergeCell ref="R62:S62"/>
    <mergeCell ref="AA162:AB162"/>
    <mergeCell ref="AD162:AE162"/>
    <mergeCell ref="AM154:AN154"/>
    <mergeCell ref="AP154:AQ154"/>
    <mergeCell ref="AG162:AH162"/>
    <mergeCell ref="AJ162:AK162"/>
    <mergeCell ref="AM162:AN162"/>
    <mergeCell ref="L158:N158"/>
    <mergeCell ref="F263:G263"/>
    <mergeCell ref="I129:J129"/>
    <mergeCell ref="L129:M129"/>
    <mergeCell ref="O129:P129"/>
    <mergeCell ref="R129:S129"/>
    <mergeCell ref="U129:V129"/>
    <mergeCell ref="X129:Y129"/>
    <mergeCell ref="E147:F147"/>
    <mergeCell ref="I153:K153"/>
    <mergeCell ref="L153:N153"/>
    <mergeCell ref="O153:Q153"/>
    <mergeCell ref="X147:Z147"/>
    <mergeCell ref="AA147:AC147"/>
    <mergeCell ref="AD137:AF137"/>
    <mergeCell ref="AD139:AF139"/>
    <mergeCell ref="AG137:AI137"/>
    <mergeCell ref="AG139:AI139"/>
    <mergeCell ref="AJ137:AL137"/>
    <mergeCell ref="AJ139:AL139"/>
    <mergeCell ref="AM137:AO137"/>
    <mergeCell ref="AM139:AO139"/>
    <mergeCell ref="F222:G222"/>
    <mergeCell ref="AD141:AF141"/>
    <mergeCell ref="AG141:AI141"/>
    <mergeCell ref="AY70:BA70"/>
    <mergeCell ref="AY71:BA71"/>
    <mergeCell ref="AY72:BA72"/>
    <mergeCell ref="AY73:BA73"/>
    <mergeCell ref="AY74:BA74"/>
    <mergeCell ref="AY75:BA75"/>
    <mergeCell ref="AY76:BA76"/>
    <mergeCell ref="AY77:BA77"/>
    <mergeCell ref="AP168:AQ168"/>
    <mergeCell ref="AY194:BA194"/>
    <mergeCell ref="AY195:BA195"/>
    <mergeCell ref="AY220:BA220"/>
    <mergeCell ref="R153:T153"/>
    <mergeCell ref="U153:W153"/>
    <mergeCell ref="E160:G160"/>
    <mergeCell ref="E162:G162"/>
    <mergeCell ref="I162:J162"/>
    <mergeCell ref="L162:M162"/>
    <mergeCell ref="O162:P162"/>
    <mergeCell ref="R162:S162"/>
    <mergeCell ref="U162:V162"/>
    <mergeCell ref="X162:Y162"/>
    <mergeCell ref="E159:G159"/>
    <mergeCell ref="J159:K159"/>
    <mergeCell ref="AP157:AR157"/>
    <mergeCell ref="O157:Q157"/>
    <mergeCell ref="R157:T157"/>
    <mergeCell ref="R168:S168"/>
    <mergeCell ref="U168:V168"/>
    <mergeCell ref="X168:Y168"/>
    <mergeCell ref="AJ165:AK165"/>
    <mergeCell ref="I158:K158"/>
    <mergeCell ref="AP129:AQ129"/>
    <mergeCell ref="AZ155:BA155"/>
    <mergeCell ref="F155:G155"/>
    <mergeCell ref="D51:D53"/>
    <mergeCell ref="D157:D159"/>
    <mergeCell ref="AY126:BA126"/>
    <mergeCell ref="AY127:BA127"/>
    <mergeCell ref="AY131:BA131"/>
    <mergeCell ref="AG30:AI30"/>
    <mergeCell ref="AJ30:AL30"/>
    <mergeCell ref="AM30:AO30"/>
    <mergeCell ref="AP30:AR30"/>
    <mergeCell ref="AY164:BA164"/>
    <mergeCell ref="AY165:BA165"/>
    <mergeCell ref="AY166:BA166"/>
    <mergeCell ref="AY158:BA158"/>
    <mergeCell ref="AZ156:BA156"/>
    <mergeCell ref="AY132:BA132"/>
    <mergeCell ref="AZ129:BA129"/>
    <mergeCell ref="AY105:BA105"/>
    <mergeCell ref="AY106:BA106"/>
    <mergeCell ref="AP137:AR137"/>
    <mergeCell ref="AP139:AR139"/>
    <mergeCell ref="AY133:BA133"/>
    <mergeCell ref="AY134:BA134"/>
    <mergeCell ref="AY135:AZ135"/>
    <mergeCell ref="AY136:BA136"/>
    <mergeCell ref="AY137:AZ137"/>
    <mergeCell ref="AY138:BA138"/>
    <mergeCell ref="AY139:AZ139"/>
    <mergeCell ref="AY140:BA140"/>
    <mergeCell ref="AY141:AZ141"/>
    <mergeCell ref="AY279:BA279"/>
    <mergeCell ref="AY265:BA265"/>
    <mergeCell ref="AY266:BA266"/>
    <mergeCell ref="AY267:BA267"/>
    <mergeCell ref="AY275:BA275"/>
    <mergeCell ref="AY262:BA262"/>
    <mergeCell ref="AY260:BA260"/>
    <mergeCell ref="AZ263:BA263"/>
    <mergeCell ref="S4:V4"/>
    <mergeCell ref="F7:G7"/>
    <mergeCell ref="A4:D4"/>
    <mergeCell ref="AY4:BB4"/>
    <mergeCell ref="AY149:AZ149"/>
    <mergeCell ref="AY150:BA150"/>
    <mergeCell ref="AY151:AZ151"/>
    <mergeCell ref="AY152:BA152"/>
    <mergeCell ref="AY153:AZ153"/>
    <mergeCell ref="AY154:BA154"/>
    <mergeCell ref="AY157:BA157"/>
    <mergeCell ref="AY159:BA159"/>
    <mergeCell ref="AY160:BA160"/>
    <mergeCell ref="AY161:BA161"/>
    <mergeCell ref="AY162:BA162"/>
    <mergeCell ref="AY163:BA163"/>
    <mergeCell ref="F157:G157"/>
    <mergeCell ref="E157:E158"/>
    <mergeCell ref="F158:G158"/>
    <mergeCell ref="AA129:AB129"/>
    <mergeCell ref="AD129:AE129"/>
    <mergeCell ref="AG129:AH129"/>
    <mergeCell ref="AJ129:AK129"/>
    <mergeCell ref="AM129:AN129"/>
    <mergeCell ref="AY252:BA252"/>
    <mergeCell ref="AY253:BA253"/>
    <mergeCell ref="AY254:BA254"/>
    <mergeCell ref="AY101:BA101"/>
    <mergeCell ref="AY255:BA255"/>
    <mergeCell ref="AY256:BA256"/>
    <mergeCell ref="AY257:BA257"/>
    <mergeCell ref="AY258:BA258"/>
    <mergeCell ref="AY259:BA259"/>
    <mergeCell ref="AY280:BA280"/>
    <mergeCell ref="AY281:BA281"/>
    <mergeCell ref="AY261:BA261"/>
    <mergeCell ref="AY228:BA228"/>
    <mergeCell ref="AY229:BA229"/>
    <mergeCell ref="AY230:BA230"/>
    <mergeCell ref="AY231:BA231"/>
    <mergeCell ref="AY232:BA232"/>
    <mergeCell ref="AY233:BA233"/>
    <mergeCell ref="AY234:BA234"/>
    <mergeCell ref="AY235:BA235"/>
    <mergeCell ref="AY236:BA236"/>
    <mergeCell ref="AY237:BA237"/>
    <mergeCell ref="AY238:BA238"/>
    <mergeCell ref="AY239:BA239"/>
    <mergeCell ref="AY240:BA240"/>
    <mergeCell ref="AY241:BA241"/>
    <mergeCell ref="AY242:BA242"/>
    <mergeCell ref="AY243:BA243"/>
    <mergeCell ref="AY244:BA244"/>
    <mergeCell ref="AY276:BA276"/>
    <mergeCell ref="AY277:BA277"/>
    <mergeCell ref="AY278:BA278"/>
    <mergeCell ref="AY190:BA190"/>
    <mergeCell ref="AY191:BA191"/>
    <mergeCell ref="AY192:BA192"/>
    <mergeCell ref="AY193:BA193"/>
    <mergeCell ref="AY167:BA167"/>
    <mergeCell ref="AY168:BA168"/>
    <mergeCell ref="AY181:BA181"/>
    <mergeCell ref="AY184:BA184"/>
    <mergeCell ref="AY185:BA185"/>
    <mergeCell ref="AY283:BA283"/>
    <mergeCell ref="AY284:BA291"/>
    <mergeCell ref="AY28:BA28"/>
    <mergeCell ref="AY11:BA11"/>
    <mergeCell ref="AY12:BA12"/>
    <mergeCell ref="AY13:BA13"/>
    <mergeCell ref="AY14:BA14"/>
    <mergeCell ref="AY15:BA15"/>
    <mergeCell ref="AY16:BA16"/>
    <mergeCell ref="AY17:BA17"/>
    <mergeCell ref="AY18:BA18"/>
    <mergeCell ref="AY19:BA19"/>
    <mergeCell ref="AY20:BA20"/>
    <mergeCell ref="AY21:BA21"/>
    <mergeCell ref="AY22:BA22"/>
    <mergeCell ref="AY23:BA23"/>
    <mergeCell ref="AY245:BA245"/>
    <mergeCell ref="AY246:BA246"/>
    <mergeCell ref="AY247:BA247"/>
    <mergeCell ref="AY248:BA248"/>
    <mergeCell ref="AY249:BA249"/>
    <mergeCell ref="AY250:BA250"/>
    <mergeCell ref="AY251:BA251"/>
    <mergeCell ref="AY78:BA78"/>
    <mergeCell ref="AY79:BA79"/>
    <mergeCell ref="AY80:BA80"/>
    <mergeCell ref="AY81:BA81"/>
    <mergeCell ref="AY82:BA82"/>
    <mergeCell ref="AY83:BA83"/>
    <mergeCell ref="AY142:BA142"/>
    <mergeCell ref="AY143:AZ143"/>
    <mergeCell ref="AY144:BA144"/>
    <mergeCell ref="AY111:BA111"/>
    <mergeCell ref="AP92:AQ92"/>
    <mergeCell ref="AJ95:AK95"/>
    <mergeCell ref="AM89:AN89"/>
    <mergeCell ref="AP89:AQ89"/>
    <mergeCell ref="AP86:AQ86"/>
    <mergeCell ref="AY116:BA116"/>
    <mergeCell ref="AZ222:BA222"/>
    <mergeCell ref="AY201:BA201"/>
    <mergeCell ref="AY202:BA202"/>
    <mergeCell ref="AY203:BA203"/>
    <mergeCell ref="AY221:BA221"/>
    <mergeCell ref="AY88:BA88"/>
    <mergeCell ref="AY89:BA89"/>
    <mergeCell ref="AY90:BA90"/>
    <mergeCell ref="AY91:BA91"/>
    <mergeCell ref="AY92:BA92"/>
    <mergeCell ref="AY93:BA93"/>
    <mergeCell ref="AY94:BA94"/>
    <mergeCell ref="AY95:BA95"/>
    <mergeCell ref="AY96:BA96"/>
    <mergeCell ref="AY97:BA97"/>
    <mergeCell ref="AY98:BA98"/>
    <mergeCell ref="AY224:BA224"/>
    <mergeCell ref="AY226:BA226"/>
    <mergeCell ref="AY227:BA227"/>
    <mergeCell ref="AY225:BA225"/>
    <mergeCell ref="AY182:BA182"/>
    <mergeCell ref="AY183:BA183"/>
    <mergeCell ref="AY145:AZ145"/>
    <mergeCell ref="AY146:BA146"/>
    <mergeCell ref="AY204:BA204"/>
    <mergeCell ref="AY147:AZ147"/>
    <mergeCell ref="AY148:BA148"/>
    <mergeCell ref="AY169:BA169"/>
    <mergeCell ref="AY170:BA170"/>
    <mergeCell ref="AY171:BA171"/>
    <mergeCell ref="AY172:BA172"/>
    <mergeCell ref="AY173:BA173"/>
    <mergeCell ref="AY174:BA174"/>
    <mergeCell ref="AY175:BA175"/>
    <mergeCell ref="AY176:BA176"/>
    <mergeCell ref="AY177:BA177"/>
    <mergeCell ref="AY199:BA199"/>
    <mergeCell ref="AY200:BA200"/>
    <mergeCell ref="AY197:BA197"/>
    <mergeCell ref="AY216:BA216"/>
    <mergeCell ref="AY178:BA178"/>
    <mergeCell ref="AY179:BA179"/>
    <mergeCell ref="AY180:BA180"/>
    <mergeCell ref="AY198:BA198"/>
    <mergeCell ref="AY186:BA186"/>
    <mergeCell ref="AY187:BA187"/>
    <mergeCell ref="AY188:BA188"/>
    <mergeCell ref="AY189:BA189"/>
    <mergeCell ref="AY87:BA87"/>
    <mergeCell ref="AY84:BA84"/>
    <mergeCell ref="AY99:BA99"/>
    <mergeCell ref="AY100:BA100"/>
    <mergeCell ref="AY85:BA85"/>
    <mergeCell ref="AY86:BA86"/>
    <mergeCell ref="AY7:BA7"/>
    <mergeCell ref="AY24:BA24"/>
    <mergeCell ref="AY27:BA27"/>
    <mergeCell ref="AY10:BA10"/>
    <mergeCell ref="AY52:BA52"/>
    <mergeCell ref="AZ29:BA29"/>
    <mergeCell ref="AZ31:BA31"/>
    <mergeCell ref="AY25:BA25"/>
    <mergeCell ref="AZ33:BA33"/>
    <mergeCell ref="AJ77:AK77"/>
    <mergeCell ref="AY51:BA51"/>
    <mergeCell ref="AY53:BA53"/>
    <mergeCell ref="AY54:BA54"/>
    <mergeCell ref="AY55:BA55"/>
    <mergeCell ref="AY56:BA56"/>
    <mergeCell ref="AY57:BA57"/>
    <mergeCell ref="AY58:BA58"/>
    <mergeCell ref="AY59:BA59"/>
    <mergeCell ref="AY60:BA60"/>
    <mergeCell ref="AY61:BA61"/>
    <mergeCell ref="AY62:BA62"/>
    <mergeCell ref="AY63:BA63"/>
    <mergeCell ref="AY64:BA64"/>
    <mergeCell ref="AY65:BA65"/>
    <mergeCell ref="AY66:BA66"/>
    <mergeCell ref="AY67:BA67"/>
    <mergeCell ref="AM11:AN11"/>
    <mergeCell ref="AJ51:AL51"/>
    <mergeCell ref="AM51:AO51"/>
    <mergeCell ref="AP51:AR51"/>
    <mergeCell ref="AQ53:AR53"/>
    <mergeCell ref="AP52:AR52"/>
    <mergeCell ref="AA107:AB107"/>
    <mergeCell ref="AD107:AE107"/>
    <mergeCell ref="AG107:AH107"/>
    <mergeCell ref="AY68:BA68"/>
    <mergeCell ref="AY69:BA69"/>
    <mergeCell ref="AJ10:AK10"/>
    <mergeCell ref="AJ11:AK11"/>
    <mergeCell ref="AJ12:AK12"/>
    <mergeCell ref="AM10:AN10"/>
    <mergeCell ref="I126:J126"/>
    <mergeCell ref="I127:J127"/>
    <mergeCell ref="L126:M126"/>
    <mergeCell ref="O126:P126"/>
    <mergeCell ref="AM27:AN27"/>
    <mergeCell ref="AP27:AQ27"/>
    <mergeCell ref="U28:W28"/>
    <mergeCell ref="X28:Z28"/>
    <mergeCell ref="AA28:AC28"/>
    <mergeCell ref="AD28:AF28"/>
    <mergeCell ref="AG28:AI28"/>
    <mergeCell ref="AJ28:AL28"/>
    <mergeCell ref="AM28:AO28"/>
    <mergeCell ref="AP28:AR28"/>
    <mergeCell ref="U27:V27"/>
    <mergeCell ref="X27:Y27"/>
    <mergeCell ref="AA27:AB27"/>
    <mergeCell ref="AD27:AE27"/>
    <mergeCell ref="AG27:AH27"/>
    <mergeCell ref="AJ27:AK27"/>
    <mergeCell ref="AM101:AN101"/>
    <mergeCell ref="O110:P110"/>
    <mergeCell ref="R110:S110"/>
    <mergeCell ref="AA95:AB95"/>
    <mergeCell ref="AD95:AE95"/>
    <mergeCell ref="AG95:AH95"/>
    <mergeCell ref="O92:P92"/>
    <mergeCell ref="R92:S92"/>
    <mergeCell ref="U92:V92"/>
    <mergeCell ref="E102:G102"/>
    <mergeCell ref="O101:P101"/>
    <mergeCell ref="AJ83:AK83"/>
    <mergeCell ref="AM77:AN77"/>
    <mergeCell ref="O80:P80"/>
    <mergeCell ref="R80:S80"/>
    <mergeCell ref="U80:V80"/>
    <mergeCell ref="R101:S101"/>
    <mergeCell ref="U101:V101"/>
    <mergeCell ref="AG98:AH98"/>
    <mergeCell ref="L101:M101"/>
    <mergeCell ref="U95:V95"/>
    <mergeCell ref="X95:Y95"/>
    <mergeCell ref="AM92:AN92"/>
    <mergeCell ref="AG83:AH83"/>
    <mergeCell ref="X92:Y92"/>
    <mergeCell ref="AA92:AB92"/>
    <mergeCell ref="AD98:AE98"/>
    <mergeCell ref="AD92:AE92"/>
    <mergeCell ref="X83:Y83"/>
    <mergeCell ref="AJ92:AK92"/>
    <mergeCell ref="R83:S83"/>
    <mergeCell ref="U83:V83"/>
    <mergeCell ref="X80:Y80"/>
    <mergeCell ref="AM83:AN83"/>
    <mergeCell ref="AM74:AN74"/>
    <mergeCell ref="AG74:AH74"/>
    <mergeCell ref="AJ74:AK74"/>
    <mergeCell ref="E114:G114"/>
    <mergeCell ref="AM86:AN86"/>
    <mergeCell ref="O89:P89"/>
    <mergeCell ref="R89:S89"/>
    <mergeCell ref="U89:V89"/>
    <mergeCell ref="X89:Y89"/>
    <mergeCell ref="AA89:AB89"/>
    <mergeCell ref="AD89:AE89"/>
    <mergeCell ref="AG89:AH89"/>
    <mergeCell ref="AJ89:AK89"/>
    <mergeCell ref="O86:P86"/>
    <mergeCell ref="R86:S86"/>
    <mergeCell ref="U86:V86"/>
    <mergeCell ref="X86:Y86"/>
    <mergeCell ref="AA86:AB86"/>
    <mergeCell ref="AD86:AE86"/>
    <mergeCell ref="AJ98:AK98"/>
    <mergeCell ref="O83:P83"/>
    <mergeCell ref="R95:S95"/>
    <mergeCell ref="AG101:AH101"/>
    <mergeCell ref="AJ101:AK101"/>
    <mergeCell ref="AM95:AN95"/>
    <mergeCell ref="O98:P98"/>
    <mergeCell ref="R98:S98"/>
    <mergeCell ref="E93:G93"/>
    <mergeCell ref="E95:G95"/>
    <mergeCell ref="R107:S107"/>
    <mergeCell ref="E96:G96"/>
    <mergeCell ref="E98:G98"/>
    <mergeCell ref="I101:J101"/>
    <mergeCell ref="R71:S71"/>
    <mergeCell ref="U71:V71"/>
    <mergeCell ref="X71:Y71"/>
    <mergeCell ref="AP77:AQ77"/>
    <mergeCell ref="AA71:AB71"/>
    <mergeCell ref="AD71:AE71"/>
    <mergeCell ref="AJ65:AK65"/>
    <mergeCell ref="AG65:AH65"/>
    <mergeCell ref="AM65:AN65"/>
    <mergeCell ref="AD74:AE74"/>
    <mergeCell ref="AP74:AQ74"/>
    <mergeCell ref="O74:P74"/>
    <mergeCell ref="R74:S74"/>
    <mergeCell ref="U74:V74"/>
    <mergeCell ref="X74:Y74"/>
    <mergeCell ref="R68:S68"/>
    <mergeCell ref="U68:V68"/>
    <mergeCell ref="X68:Y68"/>
    <mergeCell ref="AA68:AB68"/>
    <mergeCell ref="AD68:AE68"/>
    <mergeCell ref="AG68:AH68"/>
    <mergeCell ref="AJ68:AK68"/>
    <mergeCell ref="AM68:AN68"/>
    <mergeCell ref="O68:P68"/>
    <mergeCell ref="O77:P77"/>
    <mergeCell ref="R77:S77"/>
    <mergeCell ref="L65:M65"/>
    <mergeCell ref="L68:M68"/>
    <mergeCell ref="L71:M71"/>
    <mergeCell ref="L74:M74"/>
    <mergeCell ref="L77:M77"/>
    <mergeCell ref="L80:M80"/>
    <mergeCell ref="L83:M83"/>
    <mergeCell ref="L86:M86"/>
    <mergeCell ref="I83:J83"/>
    <mergeCell ref="I86:J86"/>
    <mergeCell ref="I89:J89"/>
    <mergeCell ref="I92:J92"/>
    <mergeCell ref="I95:J95"/>
    <mergeCell ref="I98:J98"/>
    <mergeCell ref="I65:J65"/>
    <mergeCell ref="I68:J68"/>
    <mergeCell ref="O71:P71"/>
    <mergeCell ref="I59:J59"/>
    <mergeCell ref="L59:M59"/>
    <mergeCell ref="O59:P59"/>
    <mergeCell ref="L62:M62"/>
    <mergeCell ref="I62:J62"/>
    <mergeCell ref="O95:P95"/>
    <mergeCell ref="AA74:AB74"/>
    <mergeCell ref="X59:Y59"/>
    <mergeCell ref="AA59:AB59"/>
    <mergeCell ref="AD59:AE59"/>
    <mergeCell ref="AG59:AH59"/>
    <mergeCell ref="AJ59:AK59"/>
    <mergeCell ref="AM59:AN59"/>
    <mergeCell ref="AP59:AQ59"/>
    <mergeCell ref="X56:Y56"/>
    <mergeCell ref="AA56:AB56"/>
    <mergeCell ref="AD56:AE56"/>
    <mergeCell ref="AG56:AH56"/>
    <mergeCell ref="AJ56:AK56"/>
    <mergeCell ref="AM56:AN56"/>
    <mergeCell ref="U62:V62"/>
    <mergeCell ref="X62:Y62"/>
    <mergeCell ref="AA62:AB62"/>
    <mergeCell ref="AP68:AQ68"/>
    <mergeCell ref="AG62:AH62"/>
    <mergeCell ref="AJ62:AK62"/>
    <mergeCell ref="AP65:AQ65"/>
    <mergeCell ref="AP56:AQ56"/>
    <mergeCell ref="R65:S65"/>
    <mergeCell ref="U65:V65"/>
    <mergeCell ref="U77:V77"/>
    <mergeCell ref="X65:Y65"/>
    <mergeCell ref="AJ7:AL7"/>
    <mergeCell ref="E56:G56"/>
    <mergeCell ref="E57:G57"/>
    <mergeCell ref="E59:G59"/>
    <mergeCell ref="AL39:AL40"/>
    <mergeCell ref="F52:G52"/>
    <mergeCell ref="L27:M27"/>
    <mergeCell ref="I10:J10"/>
    <mergeCell ref="I11:J11"/>
    <mergeCell ref="I12:J12"/>
    <mergeCell ref="I13:J13"/>
    <mergeCell ref="I14:J14"/>
    <mergeCell ref="I26:J26"/>
    <mergeCell ref="L26:M26"/>
    <mergeCell ref="O26:P26"/>
    <mergeCell ref="R26:S26"/>
    <mergeCell ref="E37:G37"/>
    <mergeCell ref="E38:G38"/>
    <mergeCell ref="I56:J56"/>
    <mergeCell ref="L56:M56"/>
    <mergeCell ref="O56:P56"/>
    <mergeCell ref="I27:J27"/>
    <mergeCell ref="R51:T51"/>
    <mergeCell ref="U51:W51"/>
    <mergeCell ref="X51:Z51"/>
    <mergeCell ref="AA51:AC51"/>
    <mergeCell ref="AD51:AF51"/>
    <mergeCell ref="AE53:AF53"/>
    <mergeCell ref="AH53:AI53"/>
    <mergeCell ref="AK53:AL53"/>
    <mergeCell ref="U52:W52"/>
    <mergeCell ref="X52:Z52"/>
    <mergeCell ref="L38:N38"/>
    <mergeCell ref="O38:Q38"/>
    <mergeCell ref="R38:T38"/>
    <mergeCell ref="U37:W37"/>
    <mergeCell ref="X37:Z37"/>
    <mergeCell ref="AA37:AC37"/>
    <mergeCell ref="U38:W38"/>
    <mergeCell ref="X38:Z38"/>
    <mergeCell ref="AA38:AC38"/>
    <mergeCell ref="U39:V40"/>
    <mergeCell ref="W39:W40"/>
    <mergeCell ref="T41:T42"/>
    <mergeCell ref="O37:Q37"/>
    <mergeCell ref="I52:K52"/>
    <mergeCell ref="L52:N52"/>
    <mergeCell ref="O52:Q52"/>
    <mergeCell ref="R52:T52"/>
    <mergeCell ref="L51:N51"/>
    <mergeCell ref="I41:J42"/>
    <mergeCell ref="I43:J44"/>
    <mergeCell ref="L41:M42"/>
    <mergeCell ref="L43:M44"/>
    <mergeCell ref="O41:P42"/>
    <mergeCell ref="R37:T37"/>
    <mergeCell ref="AA52:AC52"/>
    <mergeCell ref="I51:K51"/>
    <mergeCell ref="E39:E40"/>
    <mergeCell ref="E41:E42"/>
    <mergeCell ref="AM7:AO7"/>
    <mergeCell ref="AP7:AR7"/>
    <mergeCell ref="I7:K7"/>
    <mergeCell ref="L7:N7"/>
    <mergeCell ref="O7:Q7"/>
    <mergeCell ref="R7:T7"/>
    <mergeCell ref="U7:W7"/>
    <mergeCell ref="X7:Z7"/>
    <mergeCell ref="AA7:AC7"/>
    <mergeCell ref="AD7:AF7"/>
    <mergeCell ref="AG7:AI7"/>
    <mergeCell ref="F28:G28"/>
    <mergeCell ref="O27:P27"/>
    <mergeCell ref="R27:S27"/>
    <mergeCell ref="I28:K28"/>
    <mergeCell ref="L28:N28"/>
    <mergeCell ref="O28:Q28"/>
    <mergeCell ref="R28:T28"/>
    <mergeCell ref="I30:K30"/>
    <mergeCell ref="L30:N30"/>
    <mergeCell ref="O30:Q30"/>
    <mergeCell ref="R30:T30"/>
    <mergeCell ref="U30:W30"/>
    <mergeCell ref="X30:Z30"/>
    <mergeCell ref="AA30:AC30"/>
    <mergeCell ref="AD30:AF30"/>
    <mergeCell ref="AM39:AN40"/>
    <mergeCell ref="AO39:AO40"/>
    <mergeCell ref="AP39:AQ40"/>
    <mergeCell ref="AR39:AR40"/>
    <mergeCell ref="AN133:AO133"/>
    <mergeCell ref="AQ133:AR133"/>
    <mergeCell ref="AD52:AF52"/>
    <mergeCell ref="AG52:AI52"/>
    <mergeCell ref="AJ52:AL52"/>
    <mergeCell ref="AP126:AQ126"/>
    <mergeCell ref="AP80:AQ80"/>
    <mergeCell ref="AG92:AH92"/>
    <mergeCell ref="AP98:AQ98"/>
    <mergeCell ref="AP95:AQ95"/>
    <mergeCell ref="AJ43:AK44"/>
    <mergeCell ref="AL43:AL44"/>
    <mergeCell ref="AM43:AN44"/>
    <mergeCell ref="AG47:AI47"/>
    <mergeCell ref="F39:G40"/>
    <mergeCell ref="F41:G42"/>
    <mergeCell ref="F43:G44"/>
    <mergeCell ref="F45:G46"/>
    <mergeCell ref="E53:G53"/>
    <mergeCell ref="J53:K53"/>
    <mergeCell ref="M53:N53"/>
    <mergeCell ref="P53:Q53"/>
    <mergeCell ref="E63:G63"/>
    <mergeCell ref="E65:G65"/>
    <mergeCell ref="E66:G66"/>
    <mergeCell ref="E68:G68"/>
    <mergeCell ref="E83:G83"/>
    <mergeCell ref="E84:G84"/>
    <mergeCell ref="E86:G86"/>
    <mergeCell ref="E60:G60"/>
    <mergeCell ref="E62:G62"/>
    <mergeCell ref="E78:G78"/>
    <mergeCell ref="O116:P116"/>
    <mergeCell ref="R116:S116"/>
    <mergeCell ref="AG37:AI37"/>
    <mergeCell ref="AJ37:AL37"/>
    <mergeCell ref="AM37:AO37"/>
    <mergeCell ref="AO43:AO44"/>
    <mergeCell ref="AP37:AR37"/>
    <mergeCell ref="AD38:AF38"/>
    <mergeCell ref="AG38:AI38"/>
    <mergeCell ref="AJ38:AL38"/>
    <mergeCell ref="AM38:AO38"/>
    <mergeCell ref="AP38:AR38"/>
    <mergeCell ref="AD39:AE40"/>
    <mergeCell ref="AF39:AF40"/>
    <mergeCell ref="AG39:AH40"/>
    <mergeCell ref="AI39:AI40"/>
    <mergeCell ref="AJ39:AK40"/>
    <mergeCell ref="O62:P62"/>
    <mergeCell ref="AN53:AO53"/>
    <mergeCell ref="AM52:AO52"/>
    <mergeCell ref="R59:S59"/>
    <mergeCell ref="U59:V59"/>
    <mergeCell ref="AA65:AB65"/>
    <mergeCell ref="AD65:AE65"/>
    <mergeCell ref="AG71:AH71"/>
    <mergeCell ref="AJ71:AK71"/>
    <mergeCell ref="AG77:AH77"/>
    <mergeCell ref="X77:Y77"/>
    <mergeCell ref="AA77:AB77"/>
    <mergeCell ref="AD77:AE77"/>
    <mergeCell ref="AG86:AH86"/>
    <mergeCell ref="AM80:AN80"/>
    <mergeCell ref="Y53:Z53"/>
    <mergeCell ref="AB53:AC53"/>
    <mergeCell ref="E71:G71"/>
    <mergeCell ref="E72:G72"/>
    <mergeCell ref="E74:G74"/>
    <mergeCell ref="AE133:AF133"/>
    <mergeCell ref="AH133:AI133"/>
    <mergeCell ref="AK133:AL133"/>
    <mergeCell ref="P133:Q133"/>
    <mergeCell ref="E133:G133"/>
    <mergeCell ref="E134:G134"/>
    <mergeCell ref="E135:F135"/>
    <mergeCell ref="E75:G75"/>
    <mergeCell ref="E77:G77"/>
    <mergeCell ref="F51:G51"/>
    <mergeCell ref="E87:G87"/>
    <mergeCell ref="E89:G89"/>
    <mergeCell ref="E90:G90"/>
    <mergeCell ref="E92:G92"/>
    <mergeCell ref="E81:G81"/>
    <mergeCell ref="E69:G69"/>
    <mergeCell ref="O51:Q51"/>
    <mergeCell ref="F129:G129"/>
    <mergeCell ref="E107:G107"/>
    <mergeCell ref="I107:J107"/>
    <mergeCell ref="L107:M107"/>
    <mergeCell ref="E54:G54"/>
    <mergeCell ref="O107:P107"/>
    <mergeCell ref="U132:W132"/>
    <mergeCell ref="E116:G116"/>
    <mergeCell ref="I116:J116"/>
    <mergeCell ref="L116:M116"/>
    <mergeCell ref="U139:W139"/>
    <mergeCell ref="X139:Z139"/>
    <mergeCell ref="AA139:AC139"/>
    <mergeCell ref="L143:N143"/>
    <mergeCell ref="O143:Q143"/>
    <mergeCell ref="X132:Z132"/>
    <mergeCell ref="AA132:AC132"/>
    <mergeCell ref="I132:K132"/>
    <mergeCell ref="L132:N132"/>
    <mergeCell ref="O132:Q132"/>
    <mergeCell ref="R132:T132"/>
    <mergeCell ref="AA135:AC135"/>
    <mergeCell ref="AD135:AF135"/>
    <mergeCell ref="AG135:AI135"/>
    <mergeCell ref="AG51:AI51"/>
    <mergeCell ref="AD62:AE62"/>
    <mergeCell ref="K43:K44"/>
    <mergeCell ref="N43:N44"/>
    <mergeCell ref="Q43:Q44"/>
    <mergeCell ref="AB133:AC133"/>
    <mergeCell ref="L89:M89"/>
    <mergeCell ref="L92:M92"/>
    <mergeCell ref="L95:M95"/>
    <mergeCell ref="L98:M98"/>
    <mergeCell ref="I71:J71"/>
    <mergeCell ref="I74:J74"/>
    <mergeCell ref="I77:J77"/>
    <mergeCell ref="I80:J80"/>
    <mergeCell ref="O65:P65"/>
    <mergeCell ref="R56:S56"/>
    <mergeCell ref="S53:T53"/>
    <mergeCell ref="V53:W53"/>
    <mergeCell ref="R139:T139"/>
    <mergeCell ref="R145:T145"/>
    <mergeCell ref="R141:T141"/>
    <mergeCell ref="U141:W141"/>
    <mergeCell ref="E148:G148"/>
    <mergeCell ref="E150:G150"/>
    <mergeCell ref="E141:F141"/>
    <mergeCell ref="E145:F145"/>
    <mergeCell ref="I143:K143"/>
    <mergeCell ref="E154:G154"/>
    <mergeCell ref="I154:J154"/>
    <mergeCell ref="L154:M154"/>
    <mergeCell ref="O154:P154"/>
    <mergeCell ref="U151:W151"/>
    <mergeCell ref="X137:Z137"/>
    <mergeCell ref="I131:K131"/>
    <mergeCell ref="L131:N131"/>
    <mergeCell ref="O131:Q131"/>
    <mergeCell ref="J133:K133"/>
    <mergeCell ref="M133:N133"/>
    <mergeCell ref="I135:K135"/>
    <mergeCell ref="L135:N135"/>
    <mergeCell ref="O135:Q135"/>
    <mergeCell ref="I137:K137"/>
    <mergeCell ref="L137:N137"/>
    <mergeCell ref="O137:Q137"/>
    <mergeCell ref="I139:K139"/>
    <mergeCell ref="L139:N139"/>
    <mergeCell ref="O139:Q139"/>
    <mergeCell ref="I141:K141"/>
    <mergeCell ref="L141:N141"/>
    <mergeCell ref="O141:Q141"/>
    <mergeCell ref="AA145:AC145"/>
    <mergeCell ref="AD145:AF145"/>
    <mergeCell ref="E149:F149"/>
    <mergeCell ref="E153:F153"/>
    <mergeCell ref="I157:K157"/>
    <mergeCell ref="L157:N157"/>
    <mergeCell ref="I147:K147"/>
    <mergeCell ref="L147:N147"/>
    <mergeCell ref="O147:Q147"/>
    <mergeCell ref="I149:K149"/>
    <mergeCell ref="L149:N149"/>
    <mergeCell ref="O149:Q149"/>
    <mergeCell ref="R147:T147"/>
    <mergeCell ref="U147:W147"/>
    <mergeCell ref="U145:W145"/>
    <mergeCell ref="R149:T149"/>
    <mergeCell ref="U149:W149"/>
    <mergeCell ref="E152:G152"/>
    <mergeCell ref="AQ159:AR159"/>
    <mergeCell ref="U157:W157"/>
    <mergeCell ref="X157:Z157"/>
    <mergeCell ref="AA157:AC157"/>
    <mergeCell ref="AD157:AF157"/>
    <mergeCell ref="AG157:AI157"/>
    <mergeCell ref="AJ157:AL157"/>
    <mergeCell ref="AM157:AO157"/>
    <mergeCell ref="AP158:AR158"/>
    <mergeCell ref="AJ147:AL147"/>
    <mergeCell ref="AM147:AO147"/>
    <mergeCell ref="AP147:AR147"/>
    <mergeCell ref="AJ151:AL151"/>
    <mergeCell ref="AM151:AO151"/>
    <mergeCell ref="AP151:AR151"/>
    <mergeCell ref="X149:Z149"/>
    <mergeCell ref="AA149:AC149"/>
    <mergeCell ref="E166:G166"/>
    <mergeCell ref="E168:G168"/>
    <mergeCell ref="I168:J168"/>
    <mergeCell ref="L168:M168"/>
    <mergeCell ref="O158:Q158"/>
    <mergeCell ref="R158:T158"/>
    <mergeCell ref="U158:W158"/>
    <mergeCell ref="X158:Z158"/>
    <mergeCell ref="AA158:AC158"/>
    <mergeCell ref="AD158:AF158"/>
    <mergeCell ref="AG158:AI158"/>
    <mergeCell ref="AJ158:AL158"/>
    <mergeCell ref="AM158:AO158"/>
    <mergeCell ref="I165:J165"/>
    <mergeCell ref="L165:M165"/>
    <mergeCell ref="O165:P165"/>
    <mergeCell ref="R165:S165"/>
    <mergeCell ref="U165:V165"/>
    <mergeCell ref="AM165:AN165"/>
    <mergeCell ref="M159:N159"/>
    <mergeCell ref="P159:Q159"/>
    <mergeCell ref="S159:T159"/>
    <mergeCell ref="V159:W159"/>
    <mergeCell ref="Y159:Z159"/>
    <mergeCell ref="AB159:AC159"/>
    <mergeCell ref="AE159:AF159"/>
    <mergeCell ref="AH159:AI159"/>
    <mergeCell ref="AK159:AL159"/>
    <mergeCell ref="AN159:AO159"/>
    <mergeCell ref="AA165:AB165"/>
    <mergeCell ref="AD165:AE165"/>
    <mergeCell ref="AG165:AH165"/>
    <mergeCell ref="E172:G172"/>
    <mergeCell ref="E174:G174"/>
    <mergeCell ref="I174:J174"/>
    <mergeCell ref="L174:M174"/>
    <mergeCell ref="O174:P174"/>
    <mergeCell ref="R174:S174"/>
    <mergeCell ref="U174:V174"/>
    <mergeCell ref="X174:Y174"/>
    <mergeCell ref="AA168:AB168"/>
    <mergeCell ref="AD168:AE168"/>
    <mergeCell ref="AG168:AH168"/>
    <mergeCell ref="AJ168:AK168"/>
    <mergeCell ref="AM168:AN168"/>
    <mergeCell ref="L171:M171"/>
    <mergeCell ref="O171:P171"/>
    <mergeCell ref="R171:S171"/>
    <mergeCell ref="U171:V171"/>
    <mergeCell ref="E169:G169"/>
    <mergeCell ref="E171:G171"/>
    <mergeCell ref="I171:J171"/>
    <mergeCell ref="O168:P168"/>
    <mergeCell ref="AG171:AH171"/>
    <mergeCell ref="AG262:AH262"/>
    <mergeCell ref="AJ262:AK262"/>
    <mergeCell ref="AM262:AN262"/>
    <mergeCell ref="U263:V263"/>
    <mergeCell ref="X263:Y263"/>
    <mergeCell ref="AA263:AB263"/>
    <mergeCell ref="AD263:AE263"/>
    <mergeCell ref="AJ171:AK171"/>
    <mergeCell ref="AM171:AN171"/>
    <mergeCell ref="AP171:AQ171"/>
    <mergeCell ref="E178:G178"/>
    <mergeCell ref="E180:G180"/>
    <mergeCell ref="I180:J180"/>
    <mergeCell ref="L180:M180"/>
    <mergeCell ref="O180:P180"/>
    <mergeCell ref="R180:S180"/>
    <mergeCell ref="U180:V180"/>
    <mergeCell ref="X180:Y180"/>
    <mergeCell ref="AA174:AB174"/>
    <mergeCell ref="AD174:AE174"/>
    <mergeCell ref="AG174:AH174"/>
    <mergeCell ref="AJ174:AK174"/>
    <mergeCell ref="AM174:AN174"/>
    <mergeCell ref="AP174:AQ174"/>
    <mergeCell ref="E175:G175"/>
    <mergeCell ref="E177:G177"/>
    <mergeCell ref="L177:M177"/>
    <mergeCell ref="O177:P177"/>
    <mergeCell ref="F224:G224"/>
    <mergeCell ref="F225:G225"/>
    <mergeCell ref="AD207:AE207"/>
    <mergeCell ref="AG207:AH207"/>
    <mergeCell ref="AA266:AB266"/>
    <mergeCell ref="AD266:AE266"/>
    <mergeCell ref="AD269:AF270"/>
    <mergeCell ref="AG269:AI270"/>
    <mergeCell ref="AJ269:AL270"/>
    <mergeCell ref="AM269:AO270"/>
    <mergeCell ref="AG272:AI272"/>
    <mergeCell ref="AP262:AQ262"/>
    <mergeCell ref="E265:G265"/>
    <mergeCell ref="E266:G266"/>
    <mergeCell ref="E267:G267"/>
    <mergeCell ref="AG266:AH266"/>
    <mergeCell ref="AJ266:AK266"/>
    <mergeCell ref="AM266:AN266"/>
    <mergeCell ref="AP266:AQ266"/>
    <mergeCell ref="L267:M267"/>
    <mergeCell ref="O267:P267"/>
    <mergeCell ref="R267:S267"/>
    <mergeCell ref="U267:V267"/>
    <mergeCell ref="X267:Y267"/>
    <mergeCell ref="AA267:AB267"/>
    <mergeCell ref="AD267:AE267"/>
    <mergeCell ref="AG267:AH267"/>
    <mergeCell ref="AJ267:AK267"/>
    <mergeCell ref="AM267:AN267"/>
    <mergeCell ref="AP267:AQ267"/>
    <mergeCell ref="E262:G262"/>
    <mergeCell ref="R262:S262"/>
    <mergeCell ref="U262:V262"/>
    <mergeCell ref="X262:Y262"/>
    <mergeCell ref="AA262:AB262"/>
    <mergeCell ref="AD262:AE262"/>
    <mergeCell ref="O272:Q272"/>
    <mergeCell ref="R272:T272"/>
    <mergeCell ref="U272:W272"/>
    <mergeCell ref="X272:Z272"/>
    <mergeCell ref="AA272:AC272"/>
    <mergeCell ref="AD272:AF272"/>
    <mergeCell ref="I275:K275"/>
    <mergeCell ref="L275:N275"/>
    <mergeCell ref="O275:Q275"/>
    <mergeCell ref="R275:T275"/>
    <mergeCell ref="U275:W275"/>
    <mergeCell ref="X275:Z275"/>
    <mergeCell ref="AA275:AC275"/>
    <mergeCell ref="AD275:AF275"/>
    <mergeCell ref="AG275:AI275"/>
    <mergeCell ref="AJ272:AL272"/>
    <mergeCell ref="AM272:AO272"/>
    <mergeCell ref="AP275:AR275"/>
    <mergeCell ref="I265:J265"/>
    <mergeCell ref="I266:J266"/>
    <mergeCell ref="I267:J267"/>
    <mergeCell ref="L265:M265"/>
    <mergeCell ref="O265:P265"/>
    <mergeCell ref="R265:S265"/>
    <mergeCell ref="U265:V265"/>
    <mergeCell ref="X265:Y265"/>
    <mergeCell ref="AA265:AB265"/>
    <mergeCell ref="AD265:AE265"/>
    <mergeCell ref="AG265:AH265"/>
    <mergeCell ref="AJ265:AK265"/>
    <mergeCell ref="AM265:AN265"/>
    <mergeCell ref="AP265:AQ265"/>
    <mergeCell ref="L266:M266"/>
    <mergeCell ref="O266:P266"/>
    <mergeCell ref="AP272:AR272"/>
    <mergeCell ref="I273:K273"/>
    <mergeCell ref="L273:N273"/>
    <mergeCell ref="O273:Q273"/>
    <mergeCell ref="R273:T273"/>
    <mergeCell ref="U273:W273"/>
    <mergeCell ref="X273:Z273"/>
    <mergeCell ref="AA273:AC273"/>
    <mergeCell ref="AD273:AF273"/>
    <mergeCell ref="AG273:AI273"/>
    <mergeCell ref="AJ273:AL273"/>
    <mergeCell ref="AM273:AO273"/>
    <mergeCell ref="AP273:AR273"/>
    <mergeCell ref="I272:K272"/>
    <mergeCell ref="L272:N272"/>
    <mergeCell ref="E275:G275"/>
    <mergeCell ref="E276:G276"/>
    <mergeCell ref="E277:G277"/>
    <mergeCell ref="E278:G278"/>
    <mergeCell ref="E279:G279"/>
    <mergeCell ref="E280:G280"/>
    <mergeCell ref="E281:G281"/>
    <mergeCell ref="I277:J277"/>
    <mergeCell ref="I278:J278"/>
    <mergeCell ref="I279:J279"/>
    <mergeCell ref="I280:J280"/>
    <mergeCell ref="I276:J276"/>
    <mergeCell ref="I281:J281"/>
    <mergeCell ref="AJ275:AL275"/>
    <mergeCell ref="AM275:AO275"/>
    <mergeCell ref="AA280:AB280"/>
    <mergeCell ref="AD280:AE280"/>
    <mergeCell ref="AG280:AH280"/>
    <mergeCell ref="AJ280:AK280"/>
    <mergeCell ref="O278:P278"/>
    <mergeCell ref="R278:S278"/>
    <mergeCell ref="U278:V278"/>
    <mergeCell ref="X278:Y278"/>
    <mergeCell ref="AA278:AB278"/>
    <mergeCell ref="AD278:AE278"/>
    <mergeCell ref="AG278:AH278"/>
    <mergeCell ref="AJ278:AK278"/>
    <mergeCell ref="AM276:AN276"/>
    <mergeCell ref="AM280:AN280"/>
    <mergeCell ref="AP276:AQ276"/>
    <mergeCell ref="L277:M277"/>
    <mergeCell ref="O277:P277"/>
    <mergeCell ref="R277:S277"/>
    <mergeCell ref="U277:V277"/>
    <mergeCell ref="X277:Y277"/>
    <mergeCell ref="AA277:AB277"/>
    <mergeCell ref="AD277:AE277"/>
    <mergeCell ref="AG277:AH277"/>
    <mergeCell ref="AJ277:AK277"/>
    <mergeCell ref="AM277:AN277"/>
    <mergeCell ref="AP277:AQ277"/>
    <mergeCell ref="L276:M276"/>
    <mergeCell ref="O276:P276"/>
    <mergeCell ref="R276:S276"/>
    <mergeCell ref="U276:V276"/>
    <mergeCell ref="X276:Y276"/>
    <mergeCell ref="AA276:AB276"/>
    <mergeCell ref="AD276:AE276"/>
    <mergeCell ref="AG276:AH276"/>
    <mergeCell ref="AJ276:AK276"/>
    <mergeCell ref="AP280:AQ280"/>
    <mergeCell ref="AM278:AN278"/>
    <mergeCell ref="AP278:AQ278"/>
    <mergeCell ref="L279:M279"/>
    <mergeCell ref="O279:P279"/>
    <mergeCell ref="R279:S279"/>
    <mergeCell ref="U279:V279"/>
    <mergeCell ref="X279:Y279"/>
    <mergeCell ref="AA279:AB279"/>
    <mergeCell ref="AD279:AE279"/>
    <mergeCell ref="AG279:AH279"/>
    <mergeCell ref="AJ279:AK279"/>
    <mergeCell ref="AM279:AN279"/>
    <mergeCell ref="AP279:AQ279"/>
    <mergeCell ref="L278:M278"/>
    <mergeCell ref="L281:M281"/>
    <mergeCell ref="O281:P281"/>
    <mergeCell ref="R281:S281"/>
    <mergeCell ref="U281:V281"/>
    <mergeCell ref="X281:Y281"/>
    <mergeCell ref="AA281:AB281"/>
    <mergeCell ref="AD281:AE281"/>
    <mergeCell ref="AG281:AH281"/>
    <mergeCell ref="AJ281:AK281"/>
    <mergeCell ref="AM281:AN281"/>
    <mergeCell ref="AP281:AQ281"/>
    <mergeCell ref="L280:M280"/>
    <mergeCell ref="O280:P280"/>
    <mergeCell ref="R280:S280"/>
    <mergeCell ref="U280:V280"/>
    <mergeCell ref="X280:Y280"/>
    <mergeCell ref="E261:G261"/>
    <mergeCell ref="I248:J248"/>
    <mergeCell ref="I261:J261"/>
    <mergeCell ref="E248:G248"/>
    <mergeCell ref="AP261:AQ261"/>
    <mergeCell ref="L248:M248"/>
    <mergeCell ref="O248:P248"/>
    <mergeCell ref="R248:S248"/>
    <mergeCell ref="U248:V248"/>
    <mergeCell ref="X248:Y248"/>
    <mergeCell ref="AA248:AB248"/>
    <mergeCell ref="L261:M261"/>
    <mergeCell ref="O261:P261"/>
    <mergeCell ref="R261:S261"/>
    <mergeCell ref="U261:V261"/>
    <mergeCell ref="AM192:AN192"/>
    <mergeCell ref="AJ207:AK207"/>
    <mergeCell ref="AJ204:AK204"/>
    <mergeCell ref="AM204:AN204"/>
    <mergeCell ref="E251:G251"/>
    <mergeCell ref="E252:G252"/>
    <mergeCell ref="E253:G253"/>
    <mergeCell ref="E254:G254"/>
    <mergeCell ref="E255:G255"/>
    <mergeCell ref="E256:G256"/>
    <mergeCell ref="E257:G257"/>
    <mergeCell ref="E258:G258"/>
    <mergeCell ref="E259:G259"/>
    <mergeCell ref="E260:G260"/>
    <mergeCell ref="E233:G233"/>
    <mergeCell ref="E234:G234"/>
    <mergeCell ref="E235:G235"/>
    <mergeCell ref="E192:G192"/>
    <mergeCell ref="I192:J192"/>
    <mergeCell ref="L192:M192"/>
    <mergeCell ref="O192:P192"/>
    <mergeCell ref="R192:S192"/>
    <mergeCell ref="U192:V192"/>
    <mergeCell ref="X192:Y192"/>
    <mergeCell ref="AD195:AE195"/>
    <mergeCell ref="AJ192:AK192"/>
    <mergeCell ref="AJ195:AK195"/>
    <mergeCell ref="AA192:AB192"/>
    <mergeCell ref="E224:E225"/>
    <mergeCell ref="AD248:AE248"/>
    <mergeCell ref="E227:G227"/>
    <mergeCell ref="E228:G228"/>
    <mergeCell ref="E229:G229"/>
    <mergeCell ref="E230:G230"/>
    <mergeCell ref="E231:G231"/>
    <mergeCell ref="E232:G232"/>
    <mergeCell ref="AG248:AH248"/>
    <mergeCell ref="AJ248:AK248"/>
    <mergeCell ref="P226:Q226"/>
    <mergeCell ref="S226:T226"/>
    <mergeCell ref="V226:W226"/>
    <mergeCell ref="E236:G236"/>
    <mergeCell ref="E237:G237"/>
    <mergeCell ref="E238:G238"/>
    <mergeCell ref="E239:G239"/>
    <mergeCell ref="E240:G240"/>
    <mergeCell ref="E241:G241"/>
    <mergeCell ref="E242:G242"/>
    <mergeCell ref="E243:G243"/>
    <mergeCell ref="O224:Q224"/>
    <mergeCell ref="R224:T224"/>
    <mergeCell ref="X224:Z224"/>
    <mergeCell ref="AA224:AC224"/>
    <mergeCell ref="AD224:AF224"/>
    <mergeCell ref="O225:Q225"/>
    <mergeCell ref="R225:T225"/>
    <mergeCell ref="U225:W225"/>
    <mergeCell ref="X225:Z225"/>
    <mergeCell ref="AA225:AC225"/>
    <mergeCell ref="AD225:AF225"/>
    <mergeCell ref="AG225:AI225"/>
    <mergeCell ref="AJ225:AL225"/>
    <mergeCell ref="AM225:AO225"/>
    <mergeCell ref="AP225:AR225"/>
    <mergeCell ref="L225:N225"/>
    <mergeCell ref="M226:N226"/>
    <mergeCell ref="AP269:AR270"/>
    <mergeCell ref="AM224:AO224"/>
    <mergeCell ref="AP224:AR224"/>
    <mergeCell ref="AG220:AH220"/>
    <mergeCell ref="AJ220:AK220"/>
    <mergeCell ref="AM220:AN220"/>
    <mergeCell ref="AP220:AQ220"/>
    <mergeCell ref="F221:G221"/>
    <mergeCell ref="I221:J221"/>
    <mergeCell ref="L221:M221"/>
    <mergeCell ref="O221:P221"/>
    <mergeCell ref="R221:S221"/>
    <mergeCell ref="U221:V221"/>
    <mergeCell ref="X221:Y221"/>
    <mergeCell ref="AA221:AB221"/>
    <mergeCell ref="AD221:AE221"/>
    <mergeCell ref="AG221:AH221"/>
    <mergeCell ref="AG224:AI224"/>
    <mergeCell ref="AJ224:AL224"/>
    <mergeCell ref="R266:S266"/>
    <mergeCell ref="U266:V266"/>
    <mergeCell ref="X266:Y266"/>
    <mergeCell ref="AJ221:AK221"/>
    <mergeCell ref="AM221:AN221"/>
    <mergeCell ref="I263:J263"/>
    <mergeCell ref="L263:M263"/>
    <mergeCell ref="O263:P263"/>
    <mergeCell ref="R263:S263"/>
    <mergeCell ref="I269:K270"/>
    <mergeCell ref="L269:N270"/>
    <mergeCell ref="O269:Q270"/>
    <mergeCell ref="F220:G220"/>
    <mergeCell ref="I220:J220"/>
    <mergeCell ref="L220:M220"/>
    <mergeCell ref="O220:P220"/>
    <mergeCell ref="R220:S220"/>
    <mergeCell ref="U220:V220"/>
    <mergeCell ref="X220:Y220"/>
    <mergeCell ref="AA220:AB220"/>
    <mergeCell ref="R269:T270"/>
    <mergeCell ref="U269:W270"/>
    <mergeCell ref="X269:Z270"/>
    <mergeCell ref="AA269:AC270"/>
    <mergeCell ref="I195:J195"/>
    <mergeCell ref="L195:M195"/>
    <mergeCell ref="O195:P195"/>
    <mergeCell ref="R195:S195"/>
    <mergeCell ref="U195:V195"/>
    <mergeCell ref="X195:Y195"/>
    <mergeCell ref="AA195:AB195"/>
    <mergeCell ref="X261:Y261"/>
    <mergeCell ref="AA261:AB261"/>
    <mergeCell ref="I224:K224"/>
    <mergeCell ref="U224:W224"/>
    <mergeCell ref="I262:J262"/>
    <mergeCell ref="L262:M262"/>
    <mergeCell ref="O262:P262"/>
    <mergeCell ref="Y226:Z226"/>
    <mergeCell ref="AB226:AC226"/>
    <mergeCell ref="I225:K225"/>
    <mergeCell ref="J226:K226"/>
    <mergeCell ref="I222:J222"/>
    <mergeCell ref="L222:M222"/>
    <mergeCell ref="L224:N224"/>
    <mergeCell ref="AT3:AU4"/>
    <mergeCell ref="AD132:AF132"/>
    <mergeCell ref="AG132:AI132"/>
    <mergeCell ref="AJ132:AL132"/>
    <mergeCell ref="AM132:AO132"/>
    <mergeCell ref="AP132:AR132"/>
    <mergeCell ref="A2:D3"/>
    <mergeCell ref="E6:G6"/>
    <mergeCell ref="I6:K6"/>
    <mergeCell ref="L6:N6"/>
    <mergeCell ref="I38:K38"/>
    <mergeCell ref="AJ131:AL131"/>
    <mergeCell ref="AM131:AO131"/>
    <mergeCell ref="AP131:AR131"/>
    <mergeCell ref="U131:W131"/>
    <mergeCell ref="X131:Z131"/>
    <mergeCell ref="AA131:AC131"/>
    <mergeCell ref="AD131:AF131"/>
    <mergeCell ref="AG131:AI131"/>
    <mergeCell ref="E80:G80"/>
    <mergeCell ref="E99:G99"/>
    <mergeCell ref="E101:G101"/>
    <mergeCell ref="O39:P40"/>
    <mergeCell ref="R39:S40"/>
    <mergeCell ref="I37:K37"/>
    <mergeCell ref="L37:N37"/>
    <mergeCell ref="D37:D38"/>
    <mergeCell ref="O43:P44"/>
    <mergeCell ref="R41:S42"/>
    <mergeCell ref="R43:S44"/>
    <mergeCell ref="AL41:AL42"/>
    <mergeCell ref="AM41:AN42"/>
    <mergeCell ref="E43:E44"/>
    <mergeCell ref="E45:E46"/>
    <mergeCell ref="L47:N47"/>
    <mergeCell ref="K41:K42"/>
    <mergeCell ref="X43:Y44"/>
    <mergeCell ref="K45:K46"/>
    <mergeCell ref="N45:N46"/>
    <mergeCell ref="Q45:Q46"/>
    <mergeCell ref="T45:T46"/>
    <mergeCell ref="I45:J46"/>
    <mergeCell ref="U45:V46"/>
    <mergeCell ref="W45:W46"/>
    <mergeCell ref="X45:Y46"/>
    <mergeCell ref="N41:N42"/>
    <mergeCell ref="Q41:Q42"/>
    <mergeCell ref="U43:V44"/>
    <mergeCell ref="W43:W44"/>
    <mergeCell ref="O45:P46"/>
    <mergeCell ref="R45:S46"/>
    <mergeCell ref="U41:V42"/>
    <mergeCell ref="W41:W42"/>
    <mergeCell ref="X41:Y42"/>
    <mergeCell ref="I39:J40"/>
    <mergeCell ref="K39:K40"/>
    <mergeCell ref="L45:M46"/>
    <mergeCell ref="T43:T44"/>
    <mergeCell ref="X39:Y40"/>
    <mergeCell ref="Z39:Z40"/>
    <mergeCell ref="AA39:AB40"/>
    <mergeCell ref="AC39:AC40"/>
    <mergeCell ref="AD37:AF37"/>
    <mergeCell ref="L39:M40"/>
    <mergeCell ref="N39:N40"/>
    <mergeCell ref="Q39:Q40"/>
    <mergeCell ref="T39:T40"/>
    <mergeCell ref="AG263:AH263"/>
    <mergeCell ref="AJ263:AK263"/>
    <mergeCell ref="AM263:AN263"/>
    <mergeCell ref="AP263:AQ263"/>
    <mergeCell ref="AM45:AN46"/>
    <mergeCell ref="AO45:AO46"/>
    <mergeCell ref="AP45:AQ46"/>
    <mergeCell ref="AG195:AH195"/>
    <mergeCell ref="U47:W47"/>
    <mergeCell ref="X47:Z47"/>
    <mergeCell ref="AA47:AC47"/>
    <mergeCell ref="O47:Q47"/>
    <mergeCell ref="R47:T47"/>
    <mergeCell ref="AJ149:AL149"/>
    <mergeCell ref="AM149:AO149"/>
    <mergeCell ref="AP149:AR149"/>
    <mergeCell ref="AD222:AE222"/>
    <mergeCell ref="AG222:AH222"/>
    <mergeCell ref="AJ222:AK222"/>
    <mergeCell ref="AD261:AE261"/>
    <mergeCell ref="AG261:AH261"/>
    <mergeCell ref="AJ261:AK261"/>
    <mergeCell ref="AM261:AN261"/>
    <mergeCell ref="AG43:AH44"/>
    <mergeCell ref="AM195:AN195"/>
    <mergeCell ref="AP195:AQ195"/>
    <mergeCell ref="AP221:AQ221"/>
    <mergeCell ref="AG198:AH198"/>
    <mergeCell ref="AJ198:AK198"/>
    <mergeCell ref="AD192:AE192"/>
    <mergeCell ref="AE226:AF226"/>
    <mergeCell ref="AH226:AI226"/>
    <mergeCell ref="AK226:AL226"/>
    <mergeCell ref="AN226:AO226"/>
    <mergeCell ref="AQ226:AR226"/>
    <mergeCell ref="AP165:AQ165"/>
    <mergeCell ref="AJ135:AL135"/>
    <mergeCell ref="AM135:AO135"/>
    <mergeCell ref="AP135:AR135"/>
    <mergeCell ref="AG149:AI149"/>
    <mergeCell ref="AP204:AQ204"/>
    <mergeCell ref="AM207:AN207"/>
    <mergeCell ref="AP207:AQ207"/>
    <mergeCell ref="AD220:AE220"/>
    <mergeCell ref="AP201:AQ201"/>
    <mergeCell ref="AP222:AQ222"/>
    <mergeCell ref="AM248:AN248"/>
    <mergeCell ref="AP248:AQ248"/>
    <mergeCell ref="AD153:AF153"/>
    <mergeCell ref="AG153:AI153"/>
    <mergeCell ref="AJ153:AL153"/>
    <mergeCell ref="U107:V107"/>
    <mergeCell ref="O189:P189"/>
    <mergeCell ref="R189:S189"/>
    <mergeCell ref="AM189:AN189"/>
    <mergeCell ref="X153:Z153"/>
    <mergeCell ref="AA153:AC153"/>
    <mergeCell ref="AD149:AF149"/>
    <mergeCell ref="AM153:AO153"/>
    <mergeCell ref="AP153:AR153"/>
    <mergeCell ref="R154:S154"/>
    <mergeCell ref="U154:V154"/>
    <mergeCell ref="X154:Y154"/>
    <mergeCell ref="AA154:AB154"/>
    <mergeCell ref="AD154:AE154"/>
    <mergeCell ref="AG154:AH154"/>
    <mergeCell ref="AJ154:AK154"/>
    <mergeCell ref="AA137:AC137"/>
    <mergeCell ref="AJ143:AL143"/>
    <mergeCell ref="AP189:AQ189"/>
    <mergeCell ref="AP186:AQ186"/>
    <mergeCell ref="AM155:AN155"/>
    <mergeCell ref="AP155:AQ155"/>
    <mergeCell ref="X151:Z151"/>
    <mergeCell ref="AA151:AC151"/>
    <mergeCell ref="AD151:AF151"/>
    <mergeCell ref="AG151:AI151"/>
    <mergeCell ref="AG147:AI147"/>
    <mergeCell ref="X141:Z141"/>
    <mergeCell ref="AA141:AC141"/>
    <mergeCell ref="R143:T143"/>
    <mergeCell ref="U143:W143"/>
    <mergeCell ref="X143:Z143"/>
    <mergeCell ref="AG145:AI145"/>
    <mergeCell ref="AJ145:AL145"/>
    <mergeCell ref="AM145:AO145"/>
    <mergeCell ref="AP145:AR145"/>
    <mergeCell ref="AG143:AI143"/>
    <mergeCell ref="AD189:AE189"/>
    <mergeCell ref="AJ189:AK189"/>
    <mergeCell ref="AR43:AR44"/>
    <mergeCell ref="AA43:AB44"/>
    <mergeCell ref="AC43:AC44"/>
    <mergeCell ref="AI41:AI42"/>
    <mergeCell ref="AJ41:AK42"/>
    <mergeCell ref="X107:Y107"/>
    <mergeCell ref="AG127:AH127"/>
    <mergeCell ref="AJ127:AK127"/>
    <mergeCell ref="AM127:AN127"/>
    <mergeCell ref="AM143:AO143"/>
    <mergeCell ref="AP143:AR143"/>
    <mergeCell ref="AD143:AF143"/>
    <mergeCell ref="AI43:AI44"/>
    <mergeCell ref="Z41:Z42"/>
    <mergeCell ref="AA41:AB42"/>
    <mergeCell ref="AC41:AC42"/>
    <mergeCell ref="Z43:Z44"/>
    <mergeCell ref="AF41:AF42"/>
    <mergeCell ref="AG41:AH42"/>
    <mergeCell ref="AP43:AQ44"/>
    <mergeCell ref="AF43:AF44"/>
    <mergeCell ref="AO41:AO42"/>
    <mergeCell ref="AP41:AQ42"/>
    <mergeCell ref="AA143:AC143"/>
    <mergeCell ref="X145:Z145"/>
    <mergeCell ref="O183:P183"/>
    <mergeCell ref="O222:P222"/>
    <mergeCell ref="R222:S222"/>
    <mergeCell ref="U222:V222"/>
    <mergeCell ref="X222:Y222"/>
    <mergeCell ref="AD41:AE42"/>
    <mergeCell ref="AD45:AE46"/>
    <mergeCell ref="AR45:AR46"/>
    <mergeCell ref="AD47:AF47"/>
    <mergeCell ref="AA222:AB222"/>
    <mergeCell ref="AF45:AF46"/>
    <mergeCell ref="AG45:AH46"/>
    <mergeCell ref="AI45:AI46"/>
    <mergeCell ref="AJ45:AK46"/>
    <mergeCell ref="AL45:AL46"/>
    <mergeCell ref="AR41:AR42"/>
    <mergeCell ref="AD43:AE44"/>
    <mergeCell ref="S133:T133"/>
    <mergeCell ref="V133:W133"/>
    <mergeCell ref="Z45:Z46"/>
    <mergeCell ref="AA45:AB46"/>
    <mergeCell ref="AC45:AC46"/>
    <mergeCell ref="AG192:AH192"/>
    <mergeCell ref="AG189:AH189"/>
    <mergeCell ref="AP192:AQ192"/>
    <mergeCell ref="AA180:AB180"/>
    <mergeCell ref="AD180:AE180"/>
    <mergeCell ref="AG180:AH180"/>
    <mergeCell ref="AJ180:AK180"/>
    <mergeCell ref="AM180:AN180"/>
    <mergeCell ref="AP180:AQ180"/>
    <mergeCell ref="AG126:AH126"/>
    <mergeCell ref="E204:G204"/>
    <mergeCell ref="I204:J204"/>
    <mergeCell ref="L204:M204"/>
    <mergeCell ref="O204:P204"/>
    <mergeCell ref="R204:S204"/>
    <mergeCell ref="U204:V204"/>
    <mergeCell ref="X204:Y204"/>
    <mergeCell ref="AA204:AB204"/>
    <mergeCell ref="AD204:AE204"/>
    <mergeCell ref="AG204:AH204"/>
    <mergeCell ref="AG201:AH201"/>
    <mergeCell ref="AJ47:AL47"/>
    <mergeCell ref="AM47:AO47"/>
    <mergeCell ref="AP47:AR47"/>
    <mergeCell ref="I177:J177"/>
    <mergeCell ref="X177:Y177"/>
    <mergeCell ref="AA177:AB177"/>
    <mergeCell ref="AD177:AE177"/>
    <mergeCell ref="AG177:AH177"/>
    <mergeCell ref="AJ177:AK177"/>
    <mergeCell ref="AM177:AN177"/>
    <mergeCell ref="AP177:AQ177"/>
    <mergeCell ref="X171:Y171"/>
    <mergeCell ref="R177:S177"/>
    <mergeCell ref="U177:V177"/>
    <mergeCell ref="AP162:AQ162"/>
    <mergeCell ref="E163:G163"/>
    <mergeCell ref="E165:G165"/>
    <mergeCell ref="AJ201:AK201"/>
    <mergeCell ref="AM201:AN201"/>
    <mergeCell ref="I47:K47"/>
    <mergeCell ref="X165:Y165"/>
    <mergeCell ref="E187:G187"/>
    <mergeCell ref="E189:G189"/>
    <mergeCell ref="I189:J189"/>
    <mergeCell ref="L189:M189"/>
    <mergeCell ref="E201:G201"/>
    <mergeCell ref="I201:J201"/>
    <mergeCell ref="L201:M201"/>
    <mergeCell ref="O201:P201"/>
    <mergeCell ref="R201:S201"/>
    <mergeCell ref="U201:V201"/>
    <mergeCell ref="X201:Y201"/>
    <mergeCell ref="AA201:AB201"/>
    <mergeCell ref="AD201:AE201"/>
    <mergeCell ref="E110:G110"/>
    <mergeCell ref="I110:J110"/>
    <mergeCell ref="L110:M110"/>
    <mergeCell ref="R183:S183"/>
    <mergeCell ref="U183:V183"/>
    <mergeCell ref="AA186:AB186"/>
    <mergeCell ref="AD186:AE186"/>
    <mergeCell ref="X183:Y183"/>
    <mergeCell ref="AA183:AB183"/>
    <mergeCell ref="AD183:AE183"/>
    <mergeCell ref="AA171:AB171"/>
    <mergeCell ref="AD171:AE171"/>
    <mergeCell ref="AD147:AF147"/>
    <mergeCell ref="U198:V198"/>
    <mergeCell ref="X198:Y198"/>
    <mergeCell ref="E199:G199"/>
    <mergeCell ref="U189:V189"/>
    <mergeCell ref="X189:Y189"/>
    <mergeCell ref="AA189:AB189"/>
    <mergeCell ref="E190:G190"/>
    <mergeCell ref="AM198:AN198"/>
    <mergeCell ref="AP198:AQ198"/>
    <mergeCell ref="E202:G202"/>
    <mergeCell ref="AD198:AE198"/>
    <mergeCell ref="X29:Z29"/>
    <mergeCell ref="AA29:AC29"/>
    <mergeCell ref="AD29:AF29"/>
    <mergeCell ref="AG29:AI29"/>
    <mergeCell ref="AJ29:AL29"/>
    <mergeCell ref="AM29:AO29"/>
    <mergeCell ref="AP29:AR29"/>
    <mergeCell ref="E51:E52"/>
    <mergeCell ref="F131:G131"/>
    <mergeCell ref="F132:G132"/>
    <mergeCell ref="E131:E132"/>
    <mergeCell ref="I155:J155"/>
    <mergeCell ref="L155:M155"/>
    <mergeCell ref="O155:P155"/>
    <mergeCell ref="R155:S155"/>
    <mergeCell ref="U155:V155"/>
    <mergeCell ref="X155:Y155"/>
    <mergeCell ref="AA155:AB155"/>
    <mergeCell ref="AD155:AE155"/>
    <mergeCell ref="AG155:AH155"/>
    <mergeCell ref="AJ155:AK155"/>
    <mergeCell ref="E193:G193"/>
    <mergeCell ref="E195:G195"/>
    <mergeCell ref="E111:G111"/>
    <mergeCell ref="R186:S186"/>
    <mergeCell ref="U186:V186"/>
    <mergeCell ref="X186:Y186"/>
    <mergeCell ref="AM222:AN222"/>
    <mergeCell ref="E8:G8"/>
    <mergeCell ref="F9:G9"/>
    <mergeCell ref="I25:J25"/>
    <mergeCell ref="L25:M25"/>
    <mergeCell ref="O25:P25"/>
    <mergeCell ref="R25:S25"/>
    <mergeCell ref="U25:V25"/>
    <mergeCell ref="X25:Y25"/>
    <mergeCell ref="AA25:AB25"/>
    <mergeCell ref="AD25:AE25"/>
    <mergeCell ref="AG25:AH25"/>
    <mergeCell ref="AJ25:AK25"/>
    <mergeCell ref="AM25:AN25"/>
    <mergeCell ref="AP25:AQ25"/>
    <mergeCell ref="I32:K32"/>
    <mergeCell ref="L32:N32"/>
    <mergeCell ref="O32:Q32"/>
    <mergeCell ref="R32:T32"/>
    <mergeCell ref="U32:W32"/>
    <mergeCell ref="X32:Z32"/>
    <mergeCell ref="AA32:AC32"/>
    <mergeCell ref="AD32:AF32"/>
    <mergeCell ref="AG32:AI32"/>
    <mergeCell ref="AJ32:AL32"/>
    <mergeCell ref="AM32:AO32"/>
    <mergeCell ref="AP32:AR32"/>
    <mergeCell ref="U26:V26"/>
    <mergeCell ref="X26:Y26"/>
    <mergeCell ref="AA26:AB26"/>
    <mergeCell ref="AD26:AE26"/>
    <mergeCell ref="AG26:AH26"/>
    <mergeCell ref="AY102:BA102"/>
    <mergeCell ref="L186:M186"/>
    <mergeCell ref="O186:P186"/>
    <mergeCell ref="E181:G181"/>
    <mergeCell ref="E183:G183"/>
    <mergeCell ref="I183:J183"/>
    <mergeCell ref="L183:M183"/>
    <mergeCell ref="AJ183:AK183"/>
    <mergeCell ref="AM183:AN183"/>
    <mergeCell ref="AP183:AQ183"/>
    <mergeCell ref="AG186:AH186"/>
    <mergeCell ref="AJ186:AK186"/>
    <mergeCell ref="AM186:AN186"/>
    <mergeCell ref="AG183:AH183"/>
    <mergeCell ref="E184:G184"/>
    <mergeCell ref="E186:G186"/>
    <mergeCell ref="I186:J186"/>
    <mergeCell ref="AM107:AN107"/>
    <mergeCell ref="AP107:AQ107"/>
    <mergeCell ref="AY107:BA107"/>
    <mergeCell ref="E108:G108"/>
    <mergeCell ref="AY108:BA108"/>
    <mergeCell ref="AY109:BA109"/>
    <mergeCell ref="AP125:AQ125"/>
    <mergeCell ref="AY125:BA125"/>
    <mergeCell ref="E120:G120"/>
    <mergeCell ref="AY120:BA120"/>
    <mergeCell ref="AY121:BA121"/>
    <mergeCell ref="E122:G122"/>
    <mergeCell ref="I122:J122"/>
    <mergeCell ref="L122:M122"/>
    <mergeCell ref="O122:P122"/>
    <mergeCell ref="AJ26:AK26"/>
    <mergeCell ref="AM26:AN26"/>
    <mergeCell ref="AP26:AQ26"/>
    <mergeCell ref="R127:S127"/>
    <mergeCell ref="U127:V127"/>
    <mergeCell ref="X127:Y127"/>
    <mergeCell ref="AA127:AB127"/>
    <mergeCell ref="AD127:AE127"/>
    <mergeCell ref="R126:S126"/>
    <mergeCell ref="U126:V126"/>
    <mergeCell ref="X126:Y126"/>
    <mergeCell ref="AA126:AB126"/>
    <mergeCell ref="AD126:AE126"/>
    <mergeCell ref="AY26:BA26"/>
    <mergeCell ref="E196:G196"/>
    <mergeCell ref="AY196:BA196"/>
    <mergeCell ref="I34:K34"/>
    <mergeCell ref="L34:N34"/>
    <mergeCell ref="O34:Q34"/>
    <mergeCell ref="R34:T34"/>
    <mergeCell ref="U34:W34"/>
    <mergeCell ref="X34:Z34"/>
    <mergeCell ref="AA34:AC34"/>
    <mergeCell ref="AD34:AF34"/>
    <mergeCell ref="AG34:AI34"/>
    <mergeCell ref="AJ34:AL34"/>
    <mergeCell ref="AM34:AO34"/>
    <mergeCell ref="AP34:AR34"/>
    <mergeCell ref="I29:K29"/>
    <mergeCell ref="L29:N29"/>
    <mergeCell ref="O29:Q29"/>
    <mergeCell ref="R29:T29"/>
    <mergeCell ref="U29:W29"/>
    <mergeCell ref="AY114:BA114"/>
    <mergeCell ref="AY115:BA115"/>
    <mergeCell ref="AP119:AQ119"/>
    <mergeCell ref="AY119:BA119"/>
    <mergeCell ref="U116:V116"/>
    <mergeCell ref="X116:Y116"/>
    <mergeCell ref="AA116:AB116"/>
    <mergeCell ref="AD116:AE116"/>
    <mergeCell ref="AG116:AH116"/>
    <mergeCell ref="AJ116:AK116"/>
    <mergeCell ref="AM116:AN116"/>
    <mergeCell ref="AP116:AQ116"/>
    <mergeCell ref="E205:G205"/>
    <mergeCell ref="AY205:BA205"/>
    <mergeCell ref="AY103:BA103"/>
    <mergeCell ref="E104:G104"/>
    <mergeCell ref="I104:J104"/>
    <mergeCell ref="L104:M104"/>
    <mergeCell ref="O104:P104"/>
    <mergeCell ref="R104:S104"/>
    <mergeCell ref="U104:V104"/>
    <mergeCell ref="X104:Y104"/>
    <mergeCell ref="AA104:AB104"/>
    <mergeCell ref="AD104:AE104"/>
    <mergeCell ref="AG104:AH104"/>
    <mergeCell ref="AJ104:AK104"/>
    <mergeCell ref="AM104:AN104"/>
    <mergeCell ref="AP104:AQ104"/>
    <mergeCell ref="AY104:BA104"/>
    <mergeCell ref="E105:G105"/>
    <mergeCell ref="AJ107:AK107"/>
    <mergeCell ref="E198:G198"/>
    <mergeCell ref="I198:J198"/>
    <mergeCell ref="L198:M198"/>
    <mergeCell ref="O198:P198"/>
    <mergeCell ref="R198:S198"/>
    <mergeCell ref="AA198:AB198"/>
    <mergeCell ref="E288:G288"/>
    <mergeCell ref="E289:G296"/>
    <mergeCell ref="AY207:BA207"/>
    <mergeCell ref="AM110:AN110"/>
    <mergeCell ref="AP110:AQ110"/>
    <mergeCell ref="AY110:BA110"/>
    <mergeCell ref="BC220:BD220"/>
    <mergeCell ref="BC262:BD262"/>
    <mergeCell ref="AY112:BA112"/>
    <mergeCell ref="E113:G113"/>
    <mergeCell ref="I113:J113"/>
    <mergeCell ref="L113:M113"/>
    <mergeCell ref="O113:P113"/>
    <mergeCell ref="R113:S113"/>
    <mergeCell ref="U113:V113"/>
    <mergeCell ref="X113:Y113"/>
    <mergeCell ref="AA113:AB113"/>
    <mergeCell ref="AD113:AE113"/>
    <mergeCell ref="AG113:AH113"/>
    <mergeCell ref="AJ113:AK113"/>
    <mergeCell ref="AM113:AN113"/>
    <mergeCell ref="AP113:AQ113"/>
    <mergeCell ref="AY113:BA113"/>
    <mergeCell ref="AY206:BA206"/>
    <mergeCell ref="E207:G207"/>
    <mergeCell ref="I207:J207"/>
    <mergeCell ref="L207:M207"/>
    <mergeCell ref="O207:P207"/>
    <mergeCell ref="R207:S207"/>
    <mergeCell ref="U207:V207"/>
    <mergeCell ref="X207:Y207"/>
    <mergeCell ref="AA207:AB207"/>
    <mergeCell ref="E208:G208"/>
    <mergeCell ref="AY208:BA208"/>
    <mergeCell ref="AY209:BA209"/>
    <mergeCell ref="BD209:BD210"/>
    <mergeCell ref="E210:G210"/>
    <mergeCell ref="I210:J210"/>
    <mergeCell ref="L210:M210"/>
    <mergeCell ref="O210:P210"/>
    <mergeCell ref="R210:S210"/>
    <mergeCell ref="U210:V210"/>
    <mergeCell ref="X210:Y210"/>
    <mergeCell ref="AA210:AB210"/>
    <mergeCell ref="AD210:AE210"/>
    <mergeCell ref="AG210:AH210"/>
    <mergeCell ref="AJ210:AK210"/>
    <mergeCell ref="AM210:AN210"/>
    <mergeCell ref="AP210:AQ210"/>
    <mergeCell ref="AY210:BA210"/>
    <mergeCell ref="E211:G211"/>
    <mergeCell ref="AY211:BA211"/>
    <mergeCell ref="AY212:BA212"/>
    <mergeCell ref="BD212:BD213"/>
    <mergeCell ref="E213:G213"/>
    <mergeCell ref="I213:J213"/>
    <mergeCell ref="L213:M213"/>
    <mergeCell ref="O213:P213"/>
    <mergeCell ref="R213:S213"/>
    <mergeCell ref="U213:V213"/>
    <mergeCell ref="X213:Y213"/>
    <mergeCell ref="AA213:AB213"/>
    <mergeCell ref="AD213:AE213"/>
    <mergeCell ref="AG213:AH213"/>
    <mergeCell ref="AJ213:AK213"/>
    <mergeCell ref="AM213:AN213"/>
    <mergeCell ref="AP213:AQ213"/>
    <mergeCell ref="AY213:BA213"/>
    <mergeCell ref="AG216:AH216"/>
    <mergeCell ref="AJ216:AK216"/>
    <mergeCell ref="AM216:AN216"/>
    <mergeCell ref="AP216:AQ216"/>
    <mergeCell ref="BE9:BF9"/>
    <mergeCell ref="E217:G217"/>
    <mergeCell ref="AY217:BA217"/>
    <mergeCell ref="AY218:BA218"/>
    <mergeCell ref="BD218:BD219"/>
    <mergeCell ref="E219:G219"/>
    <mergeCell ref="I219:J219"/>
    <mergeCell ref="L219:M219"/>
    <mergeCell ref="O219:P219"/>
    <mergeCell ref="R219:S219"/>
    <mergeCell ref="U219:V219"/>
    <mergeCell ref="X219:Y219"/>
    <mergeCell ref="AA219:AB219"/>
    <mergeCell ref="AD219:AE219"/>
    <mergeCell ref="AG219:AH219"/>
    <mergeCell ref="AJ219:AK219"/>
    <mergeCell ref="AM219:AN219"/>
    <mergeCell ref="AP219:AQ219"/>
    <mergeCell ref="AY219:BA219"/>
    <mergeCell ref="E214:G214"/>
    <mergeCell ref="AY214:BA214"/>
    <mergeCell ref="AY215:BA215"/>
    <mergeCell ref="BD215:BD216"/>
    <mergeCell ref="E216:G216"/>
    <mergeCell ref="I216:J216"/>
    <mergeCell ref="L216:M216"/>
    <mergeCell ref="O216:P216"/>
    <mergeCell ref="R216:S216"/>
    <mergeCell ref="U216:V216"/>
    <mergeCell ref="X216:Y216"/>
    <mergeCell ref="AA216:AB216"/>
    <mergeCell ref="AD216:AE216"/>
    <mergeCell ref="AY122:BA122"/>
    <mergeCell ref="E117:G117"/>
    <mergeCell ref="AY117:BA117"/>
    <mergeCell ref="AY118:BA118"/>
    <mergeCell ref="E119:G119"/>
    <mergeCell ref="I119:J119"/>
    <mergeCell ref="L119:M119"/>
    <mergeCell ref="O119:P119"/>
    <mergeCell ref="R119:S119"/>
    <mergeCell ref="U119:V119"/>
    <mergeCell ref="X119:Y119"/>
    <mergeCell ref="AA119:AB119"/>
    <mergeCell ref="AD119:AE119"/>
    <mergeCell ref="AG119:AH119"/>
    <mergeCell ref="AJ119:AK119"/>
    <mergeCell ref="AM119:AN119"/>
    <mergeCell ref="E125:G125"/>
    <mergeCell ref="I125:J125"/>
    <mergeCell ref="L125:M125"/>
    <mergeCell ref="O125:P125"/>
    <mergeCell ref="R125:S125"/>
    <mergeCell ref="U125:V125"/>
    <mergeCell ref="X125:Y125"/>
    <mergeCell ref="AA125:AB125"/>
    <mergeCell ref="AD125:AE125"/>
    <mergeCell ref="AG125:AH125"/>
    <mergeCell ref="AJ125:AK125"/>
    <mergeCell ref="AM125:AN125"/>
    <mergeCell ref="AY128:BA128"/>
    <mergeCell ref="E123:G123"/>
    <mergeCell ref="AY123:BA123"/>
    <mergeCell ref="AY124:BA124"/>
    <mergeCell ref="F126:G126"/>
    <mergeCell ref="R122:S122"/>
    <mergeCell ref="U122:V122"/>
    <mergeCell ref="X122:Y122"/>
    <mergeCell ref="AA122:AB122"/>
    <mergeCell ref="AD122:AE122"/>
    <mergeCell ref="AG122:AH122"/>
    <mergeCell ref="AJ122:AK122"/>
    <mergeCell ref="AM122:AN122"/>
    <mergeCell ref="AP122:AQ122"/>
    <mergeCell ref="F128:G128"/>
    <mergeCell ref="I128:J128"/>
    <mergeCell ref="L128:M128"/>
    <mergeCell ref="O128:P128"/>
    <mergeCell ref="R128:S128"/>
    <mergeCell ref="U128:V128"/>
    <mergeCell ref="X128:Y128"/>
    <mergeCell ref="AA128:AB128"/>
    <mergeCell ref="AD128:AE128"/>
    <mergeCell ref="AG128:AH128"/>
    <mergeCell ref="AJ128:AK128"/>
    <mergeCell ref="AM128:AN128"/>
    <mergeCell ref="AP128:AQ128"/>
    <mergeCell ref="L127:M127"/>
  </mergeCells>
  <phoneticPr fontId="3" type="noConversion"/>
  <conditionalFormatting sqref="D37:D38">
    <cfRule type="cellIs" dxfId="934" priority="3678" operator="equal">
      <formula>"Désactivé"</formula>
    </cfRule>
    <cfRule type="cellIs" dxfId="933" priority="3679" operator="equal">
      <formula>"Activé"</formula>
    </cfRule>
  </conditionalFormatting>
  <conditionalFormatting sqref="D55">
    <cfRule type="cellIs" dxfId="932" priority="3777" operator="equal">
      <formula>"ExtraP Off"</formula>
    </cfRule>
  </conditionalFormatting>
  <conditionalFormatting sqref="D58">
    <cfRule type="cellIs" dxfId="931" priority="3776" operator="equal">
      <formula>"ExtraP Off"</formula>
    </cfRule>
  </conditionalFormatting>
  <conditionalFormatting sqref="D61">
    <cfRule type="cellIs" dxfId="930" priority="3775" operator="equal">
      <formula>"ExtraP Off"</formula>
    </cfRule>
  </conditionalFormatting>
  <conditionalFormatting sqref="D64">
    <cfRule type="cellIs" dxfId="929" priority="3774" operator="equal">
      <formula>"ExtraP Off"</formula>
    </cfRule>
  </conditionalFormatting>
  <conditionalFormatting sqref="D67">
    <cfRule type="cellIs" dxfId="928" priority="3773" operator="equal">
      <formula>"ExtraP Off"</formula>
    </cfRule>
  </conditionalFormatting>
  <conditionalFormatting sqref="D70">
    <cfRule type="cellIs" dxfId="927" priority="3772" operator="equal">
      <formula>"ExtraP Off"</formula>
    </cfRule>
  </conditionalFormatting>
  <conditionalFormatting sqref="D73">
    <cfRule type="cellIs" dxfId="926" priority="3771" operator="equal">
      <formula>"ExtraP Off"</formula>
    </cfRule>
  </conditionalFormatting>
  <conditionalFormatting sqref="D76">
    <cfRule type="cellIs" dxfId="925" priority="3770" operator="equal">
      <formula>"ExtraP Off"</formula>
    </cfRule>
  </conditionalFormatting>
  <conditionalFormatting sqref="D79">
    <cfRule type="cellIs" dxfId="924" priority="3769" operator="equal">
      <formula>"ExtraP Off"</formula>
    </cfRule>
  </conditionalFormatting>
  <conditionalFormatting sqref="D82">
    <cfRule type="cellIs" dxfId="923" priority="3768" operator="equal">
      <formula>"ExtraP Off"</formula>
    </cfRule>
  </conditionalFormatting>
  <conditionalFormatting sqref="D85">
    <cfRule type="cellIs" dxfId="922" priority="3767" operator="equal">
      <formula>"ExtraP Off"</formula>
    </cfRule>
  </conditionalFormatting>
  <conditionalFormatting sqref="D88">
    <cfRule type="cellIs" dxfId="921" priority="3766" operator="equal">
      <formula>"ExtraP Off"</formula>
    </cfRule>
  </conditionalFormatting>
  <conditionalFormatting sqref="D91">
    <cfRule type="cellIs" dxfId="920" priority="3765" operator="equal">
      <formula>"ExtraP Off"</formula>
    </cfRule>
  </conditionalFormatting>
  <conditionalFormatting sqref="D94">
    <cfRule type="cellIs" dxfId="919" priority="3764" operator="equal">
      <formula>"ExtraP Off"</formula>
    </cfRule>
  </conditionalFormatting>
  <conditionalFormatting sqref="D97">
    <cfRule type="cellIs" dxfId="918" priority="3763" operator="equal">
      <formula>"ExtraP Off"</formula>
    </cfRule>
  </conditionalFormatting>
  <conditionalFormatting sqref="D100">
    <cfRule type="cellIs" dxfId="917" priority="3762" operator="equal">
      <formula>"ExtraP Off"</formula>
    </cfRule>
  </conditionalFormatting>
  <conditionalFormatting sqref="D103">
    <cfRule type="cellIs" dxfId="916" priority="2544" operator="equal">
      <formula>"ExtraP Off"</formula>
    </cfRule>
  </conditionalFormatting>
  <conditionalFormatting sqref="D106">
    <cfRule type="cellIs" dxfId="915" priority="2543" operator="equal">
      <formula>"ExtraP Off"</formula>
    </cfRule>
  </conditionalFormatting>
  <conditionalFormatting sqref="D109">
    <cfRule type="cellIs" dxfId="914" priority="2542" operator="equal">
      <formula>"ExtraP Off"</formula>
    </cfRule>
  </conditionalFormatting>
  <conditionalFormatting sqref="D112">
    <cfRule type="cellIs" dxfId="913" priority="2541" operator="equal">
      <formula>"ExtraP Off"</formula>
    </cfRule>
  </conditionalFormatting>
  <conditionalFormatting sqref="D115">
    <cfRule type="cellIs" dxfId="912" priority="304" operator="equal">
      <formula>"ExtraP Off"</formula>
    </cfRule>
  </conditionalFormatting>
  <conditionalFormatting sqref="D118">
    <cfRule type="cellIs" dxfId="911" priority="289" operator="equal">
      <formula>"ExtraP Off"</formula>
    </cfRule>
  </conditionalFormatting>
  <conditionalFormatting sqref="D121">
    <cfRule type="cellIs" dxfId="910" priority="274" operator="equal">
      <formula>"ExtraP Off"</formula>
    </cfRule>
  </conditionalFormatting>
  <conditionalFormatting sqref="D124">
    <cfRule type="cellIs" dxfId="909" priority="259" operator="equal">
      <formula>"ExtraP Off"</formula>
    </cfRule>
  </conditionalFormatting>
  <conditionalFormatting sqref="D161">
    <cfRule type="cellIs" dxfId="908" priority="3746" operator="equal">
      <formula>"ExtraP Off"</formula>
    </cfRule>
  </conditionalFormatting>
  <conditionalFormatting sqref="D164">
    <cfRule type="cellIs" dxfId="907" priority="3745" operator="equal">
      <formula>"ExtraP Off"</formula>
    </cfRule>
  </conditionalFormatting>
  <conditionalFormatting sqref="D167">
    <cfRule type="cellIs" dxfId="906" priority="3743" operator="equal">
      <formula>"ExtraP Off"</formula>
    </cfRule>
  </conditionalFormatting>
  <conditionalFormatting sqref="D170">
    <cfRule type="cellIs" dxfId="905" priority="3744" operator="equal">
      <formula>"ExtraP Off"</formula>
    </cfRule>
  </conditionalFormatting>
  <conditionalFormatting sqref="D173">
    <cfRule type="cellIs" dxfId="904" priority="3742" operator="equal">
      <formula>"ExtraP Off"</formula>
    </cfRule>
  </conditionalFormatting>
  <conditionalFormatting sqref="D176">
    <cfRule type="cellIs" dxfId="903" priority="3741" operator="equal">
      <formula>"ExtraP Off"</formula>
    </cfRule>
  </conditionalFormatting>
  <conditionalFormatting sqref="D179">
    <cfRule type="cellIs" dxfId="902" priority="3740" operator="equal">
      <formula>"ExtraP Off"</formula>
    </cfRule>
  </conditionalFormatting>
  <conditionalFormatting sqref="D182">
    <cfRule type="cellIs" dxfId="901" priority="3739" operator="equal">
      <formula>"ExtraP Off"</formula>
    </cfRule>
  </conditionalFormatting>
  <conditionalFormatting sqref="D185">
    <cfRule type="cellIs" dxfId="900" priority="3736" operator="equal">
      <formula>"ExtraP Off"</formula>
    </cfRule>
  </conditionalFormatting>
  <conditionalFormatting sqref="D188">
    <cfRule type="cellIs" dxfId="899" priority="3738" operator="equal">
      <formula>"ExtraP Off"</formula>
    </cfRule>
  </conditionalFormatting>
  <conditionalFormatting sqref="D191">
    <cfRule type="cellIs" dxfId="898" priority="3737" operator="equal">
      <formula>"ExtraP Off"</formula>
    </cfRule>
  </conditionalFormatting>
  <conditionalFormatting sqref="D194">
    <cfRule type="cellIs" dxfId="897" priority="3735" operator="equal">
      <formula>"ExtraP Off"</formula>
    </cfRule>
  </conditionalFormatting>
  <conditionalFormatting sqref="D197">
    <cfRule type="cellIs" dxfId="896" priority="2690" operator="equal">
      <formula>"ExtraP Off"</formula>
    </cfRule>
  </conditionalFormatting>
  <conditionalFormatting sqref="D200">
    <cfRule type="cellIs" dxfId="895" priority="2692" operator="equal">
      <formula>"ExtraP Off"</formula>
    </cfRule>
  </conditionalFormatting>
  <conditionalFormatting sqref="D203">
    <cfRule type="cellIs" dxfId="894" priority="2691" operator="equal">
      <formula>"ExtraP Off"</formula>
    </cfRule>
  </conditionalFormatting>
  <conditionalFormatting sqref="D206">
    <cfRule type="cellIs" dxfId="893" priority="2689" operator="equal">
      <formula>"ExtraP Off"</formula>
    </cfRule>
  </conditionalFormatting>
  <conditionalFormatting sqref="D209">
    <cfRule type="cellIs" dxfId="892" priority="365" operator="equal">
      <formula>"ExtraP Off"</formula>
    </cfRule>
  </conditionalFormatting>
  <conditionalFormatting sqref="D212">
    <cfRule type="cellIs" dxfId="891" priority="350" operator="equal">
      <formula>"ExtraP Off"</formula>
    </cfRule>
  </conditionalFormatting>
  <conditionalFormatting sqref="D215">
    <cfRule type="cellIs" dxfId="890" priority="335" operator="equal">
      <formula>"ExtraP Off"</formula>
    </cfRule>
  </conditionalFormatting>
  <conditionalFormatting sqref="D218">
    <cfRule type="cellIs" dxfId="889" priority="320" operator="equal">
      <formula>"ExtraP Off"</formula>
    </cfRule>
  </conditionalFormatting>
  <conditionalFormatting sqref="E10:E27">
    <cfRule type="cellIs" dxfId="888" priority="553" operator="equal">
      <formula>"oui"</formula>
    </cfRule>
  </conditionalFormatting>
  <conditionalFormatting sqref="E54:G54">
    <cfRule type="cellIs" dxfId="887" priority="1975" operator="equal">
      <formula>"Indiquer le nom du projet à financer"</formula>
    </cfRule>
  </conditionalFormatting>
  <conditionalFormatting sqref="E57:G57">
    <cfRule type="cellIs" dxfId="886" priority="1976" operator="equal">
      <formula>"Indiquer le nom du projet à financer"</formula>
    </cfRule>
  </conditionalFormatting>
  <conditionalFormatting sqref="E63:G63">
    <cfRule type="cellIs" dxfId="884" priority="1978" operator="equal">
      <formula>"Indiquer le nom du projet à financer"</formula>
    </cfRule>
  </conditionalFormatting>
  <conditionalFormatting sqref="E66:G66">
    <cfRule type="cellIs" dxfId="883" priority="1979" operator="equal">
      <formula>"Indiquer le nom du projet à financer"</formula>
    </cfRule>
  </conditionalFormatting>
  <conditionalFormatting sqref="E69:G69">
    <cfRule type="cellIs" dxfId="882" priority="225" operator="equal">
      <formula>"Indiquer le nom du projet à financer"</formula>
    </cfRule>
  </conditionalFormatting>
  <conditionalFormatting sqref="E72:G72">
    <cfRule type="cellIs" dxfId="881" priority="224" operator="equal">
      <formula>"Indiquer le nom du projet à financer"</formula>
    </cfRule>
  </conditionalFormatting>
  <conditionalFormatting sqref="E75:G75">
    <cfRule type="cellIs" dxfId="880" priority="223" operator="equal">
      <formula>"Indiquer le nom du projet à financer"</formula>
    </cfRule>
  </conditionalFormatting>
  <conditionalFormatting sqref="E78:G78">
    <cfRule type="cellIs" dxfId="879" priority="222" operator="equal">
      <formula>"Indiquer le nom du projet à financer"</formula>
    </cfRule>
  </conditionalFormatting>
  <conditionalFormatting sqref="E84:G84">
    <cfRule type="cellIs" dxfId="877" priority="1971" operator="equal">
      <formula>"Indiquer le nom du projet à financer"</formula>
    </cfRule>
  </conditionalFormatting>
  <conditionalFormatting sqref="E90:G90">
    <cfRule type="cellIs" dxfId="875" priority="1969" operator="equal">
      <formula>"Indiquer le nom du projet à financer"</formula>
    </cfRule>
  </conditionalFormatting>
  <conditionalFormatting sqref="E93:G93">
    <cfRule type="cellIs" dxfId="874" priority="1968" operator="equal">
      <formula>"Indiquer le nom du projet à financer"</formula>
    </cfRule>
  </conditionalFormatting>
  <conditionalFormatting sqref="E96:G96">
    <cfRule type="cellIs" dxfId="873" priority="1965" operator="equal">
      <formula>"Indiquer le nom du projet à financer"</formula>
    </cfRule>
  </conditionalFormatting>
  <conditionalFormatting sqref="E99:G99">
    <cfRule type="cellIs" dxfId="872" priority="1966" operator="equal">
      <formula>"Indiquer le nom du projet à financer"</formula>
    </cfRule>
  </conditionalFormatting>
  <conditionalFormatting sqref="E102:G102">
    <cfRule type="cellIs" dxfId="871" priority="1967" operator="equal">
      <formula>"Indiquer le nom du projet à financer"</formula>
    </cfRule>
  </conditionalFormatting>
  <conditionalFormatting sqref="E105:G105">
    <cfRule type="cellIs" dxfId="870" priority="1964" operator="equal">
      <formula>"Indiquer le nom du projet à financer"</formula>
    </cfRule>
  </conditionalFormatting>
  <conditionalFormatting sqref="E108:G108">
    <cfRule type="cellIs" dxfId="869" priority="1963" operator="equal">
      <formula>"Indiquer le nom du projet à financer"</formula>
    </cfRule>
  </conditionalFormatting>
  <conditionalFormatting sqref="E111:G111">
    <cfRule type="cellIs" dxfId="868" priority="1962" operator="equal">
      <formula>"Indiquer le nom du projet à financer"</formula>
    </cfRule>
  </conditionalFormatting>
  <conditionalFormatting sqref="E114:G114">
    <cfRule type="cellIs" dxfId="867" priority="302" operator="equal">
      <formula>"Indiquer le nom du projet à financer"</formula>
    </cfRule>
  </conditionalFormatting>
  <conditionalFormatting sqref="E117:G117">
    <cfRule type="cellIs" dxfId="866" priority="237" operator="equal">
      <formula>"Indiquer le nom du projet à financer"</formula>
    </cfRule>
  </conditionalFormatting>
  <conditionalFormatting sqref="E120:G120">
    <cfRule type="cellIs" dxfId="865" priority="236" operator="equal">
      <formula>"Indiquer le nom du projet à financer"</formula>
    </cfRule>
  </conditionalFormatting>
  <conditionalFormatting sqref="E123:G123">
    <cfRule type="cellIs" dxfId="864" priority="235" operator="equal">
      <formula>"Indiquer le nom du projet à financer"</formula>
    </cfRule>
  </conditionalFormatting>
  <conditionalFormatting sqref="E134:G134">
    <cfRule type="cellIs" dxfId="863" priority="1340" operator="equal">
      <formula>"Indiquer le crédit/prêt/dette à rembourser"</formula>
    </cfRule>
  </conditionalFormatting>
  <conditionalFormatting sqref="E136:G136">
    <cfRule type="cellIs" dxfId="862" priority="1341" operator="equal">
      <formula>"Indiquer le crédit/prêt/dette à rembourser"</formula>
    </cfRule>
  </conditionalFormatting>
  <conditionalFormatting sqref="E138:G138">
    <cfRule type="cellIs" dxfId="861" priority="1342" operator="equal">
      <formula>"Indiquer le crédit/prêt/dette à rembourser"</formula>
    </cfRule>
  </conditionalFormatting>
  <conditionalFormatting sqref="E140:G140">
    <cfRule type="cellIs" dxfId="860" priority="1343" operator="equal">
      <formula>"Indiquer le crédit/prêt/dette à rembourser"</formula>
    </cfRule>
  </conditionalFormatting>
  <conditionalFormatting sqref="E142:G142">
    <cfRule type="cellIs" dxfId="859" priority="2474" operator="equal">
      <formula>"Indiquer le crédit/prêt/dette à rembourser"</formula>
    </cfRule>
  </conditionalFormatting>
  <conditionalFormatting sqref="E144:G144">
    <cfRule type="cellIs" dxfId="858" priority="2473" operator="equal">
      <formula>"Indiquer le crédit/prêt/dette à rembourser"</formula>
    </cfRule>
  </conditionalFormatting>
  <conditionalFormatting sqref="E146:G146">
    <cfRule type="cellIs" dxfId="857" priority="2472" operator="equal">
      <formula>"Indiquer le crédit/prêt/dette à rembourser"</formula>
    </cfRule>
  </conditionalFormatting>
  <conditionalFormatting sqref="E148:G148">
    <cfRule type="cellIs" dxfId="856" priority="2471" operator="equal">
      <formula>"Indiquer le crédit/prêt/dette à rembourser"</formula>
    </cfRule>
  </conditionalFormatting>
  <conditionalFormatting sqref="E150:G150">
    <cfRule type="cellIs" dxfId="855" priority="2470" operator="equal">
      <formula>"Indiquer le crédit/prêt/dette à rembourser"</formula>
    </cfRule>
  </conditionalFormatting>
  <conditionalFormatting sqref="E152:G152">
    <cfRule type="cellIs" dxfId="854" priority="2469" operator="equal">
      <formula>"Indiquer le crédit/prêt/dette à rembourser"</formula>
    </cfRule>
  </conditionalFormatting>
  <conditionalFormatting sqref="E160:G160">
    <cfRule type="cellIs" dxfId="853" priority="757" operator="equal">
      <formula>"Indiquer le nom de la provision à financer"</formula>
    </cfRule>
  </conditionalFormatting>
  <conditionalFormatting sqref="E166:G166">
    <cfRule type="cellIs" dxfId="851" priority="759" operator="equal">
      <formula>"Indiquer le nom de la provision à financer"</formula>
    </cfRule>
  </conditionalFormatting>
  <conditionalFormatting sqref="E169:G169">
    <cfRule type="cellIs" dxfId="850" priority="760" operator="equal">
      <formula>"Indiquer le nom de la provision à financer"</formula>
    </cfRule>
  </conditionalFormatting>
  <conditionalFormatting sqref="E178:G178">
    <cfRule type="cellIs" dxfId="847" priority="763" operator="equal">
      <formula>"Indiquer le nom de la provision à financer"</formula>
    </cfRule>
  </conditionalFormatting>
  <conditionalFormatting sqref="E181:G181">
    <cfRule type="cellIs" dxfId="846" priority="764" operator="equal">
      <formula>"Indiquer le nom de la provision à financer"</formula>
    </cfRule>
  </conditionalFormatting>
  <conditionalFormatting sqref="E184:G184">
    <cfRule type="cellIs" dxfId="845" priority="765" operator="equal">
      <formula>"Indiquer le nom de la provision à financer"</formula>
    </cfRule>
  </conditionalFormatting>
  <conditionalFormatting sqref="E187:G187">
    <cfRule type="cellIs" dxfId="844" priority="766" operator="equal">
      <formula>"Indiquer le nom de la provision à financer"</formula>
    </cfRule>
  </conditionalFormatting>
  <conditionalFormatting sqref="E190:G190">
    <cfRule type="cellIs" dxfId="843" priority="767" operator="equal">
      <formula>"Indiquer le nom de la provision à financer"</formula>
    </cfRule>
  </conditionalFormatting>
  <conditionalFormatting sqref="E193:G193">
    <cfRule type="cellIs" dxfId="842" priority="768" operator="equal">
      <formula>"Indiquer le nom de la provision à financer"</formula>
    </cfRule>
  </conditionalFormatting>
  <conditionalFormatting sqref="E196:G196">
    <cfRule type="cellIs" dxfId="841" priority="769" operator="equal">
      <formula>"Indiquer le nom de la provision à financer"</formula>
    </cfRule>
  </conditionalFormatting>
  <conditionalFormatting sqref="E199:G199">
    <cfRule type="cellIs" dxfId="840" priority="770" operator="equal">
      <formula>"Indiquer le nom de la provision à financer"</formula>
    </cfRule>
  </conditionalFormatting>
  <conditionalFormatting sqref="E202:G202">
    <cfRule type="cellIs" dxfId="839" priority="771" operator="equal">
      <formula>"Indiquer le nom de la provision à financer"</formula>
    </cfRule>
  </conditionalFormatting>
  <conditionalFormatting sqref="E205:G205">
    <cfRule type="cellIs" dxfId="838" priority="2468" operator="equal">
      <formula>"Indiquer le nom de la provision à financer"</formula>
    </cfRule>
  </conditionalFormatting>
  <conditionalFormatting sqref="E208:G208">
    <cfRule type="cellIs" dxfId="837" priority="363" operator="equal">
      <formula>"Indiquer le nom de la provision à financer"</formula>
    </cfRule>
  </conditionalFormatting>
  <conditionalFormatting sqref="E211:G211">
    <cfRule type="cellIs" dxfId="836" priority="348" operator="equal">
      <formula>"Indiquer le nom de la provision à financer"</formula>
    </cfRule>
  </conditionalFormatting>
  <conditionalFormatting sqref="E214:G214">
    <cfRule type="cellIs" dxfId="835" priority="333" operator="equal">
      <formula>"Indiquer le nom de la provision à financer"</formula>
    </cfRule>
  </conditionalFormatting>
  <conditionalFormatting sqref="E217:G217">
    <cfRule type="cellIs" dxfId="834" priority="318" operator="equal">
      <formula>"Indiquer le nom de la provision à financer"</formula>
    </cfRule>
  </conditionalFormatting>
  <conditionalFormatting sqref="F10:F27">
    <cfRule type="cellIs" dxfId="833" priority="554" operator="equal">
      <formula>"Revenu à configurer"</formula>
    </cfRule>
  </conditionalFormatting>
  <conditionalFormatting sqref="I39:J40">
    <cfRule type="expression" dxfId="832" priority="3695">
      <formula>$K$39="€"</formula>
    </cfRule>
    <cfRule type="expression" dxfId="831" priority="3700">
      <formula>$K$39="%"</formula>
    </cfRule>
  </conditionalFormatting>
  <conditionalFormatting sqref="I41:J42">
    <cfRule type="expression" dxfId="830" priority="3693">
      <formula>$K$41="€"</formula>
    </cfRule>
    <cfRule type="expression" dxfId="829" priority="3694">
      <formula>$K$41="%"</formula>
    </cfRule>
  </conditionalFormatting>
  <conditionalFormatting sqref="I43:J44">
    <cfRule type="expression" dxfId="828" priority="3691">
      <formula>$K$43="€"</formula>
    </cfRule>
    <cfRule type="expression" dxfId="827" priority="3692">
      <formula>$K$43="%"</formula>
    </cfRule>
  </conditionalFormatting>
  <conditionalFormatting sqref="I45:J46">
    <cfRule type="expression" dxfId="826" priority="3689">
      <formula>$K$45="€"</formula>
    </cfRule>
    <cfRule type="expression" dxfId="825" priority="3690">
      <formula>$K$45="%"</formula>
    </cfRule>
  </conditionalFormatting>
  <conditionalFormatting sqref="I56:J56">
    <cfRule type="cellIs" dxfId="824" priority="3342" operator="lessThan">
      <formula>0</formula>
    </cfRule>
  </conditionalFormatting>
  <conditionalFormatting sqref="I59:J59">
    <cfRule type="cellIs" dxfId="823" priority="3340" operator="lessThan">
      <formula>0</formula>
    </cfRule>
  </conditionalFormatting>
  <conditionalFormatting sqref="I62:J62 I65:J65 I68:J68 I71:J71 I74:J74 I77:J77 I80:J80 I83:J83 I86:J86 I89:J89 I92:J92 I95:J95 I98:J98 I101:J101 I104:J104 I107:J107 I110:J110 I113:J113">
    <cfRule type="cellIs" dxfId="822" priority="466" operator="lessThan">
      <formula>0</formula>
    </cfRule>
  </conditionalFormatting>
  <conditionalFormatting sqref="I116:J116">
    <cfRule type="cellIs" dxfId="821" priority="301" operator="lessThan">
      <formula>0</formula>
    </cfRule>
  </conditionalFormatting>
  <conditionalFormatting sqref="I119:J119">
    <cfRule type="cellIs" dxfId="820" priority="286" operator="lessThan">
      <formula>0</formula>
    </cfRule>
  </conditionalFormatting>
  <conditionalFormatting sqref="I122:J122">
    <cfRule type="cellIs" dxfId="819" priority="271" operator="lessThan">
      <formula>0</formula>
    </cfRule>
  </conditionalFormatting>
  <conditionalFormatting sqref="I125:J125">
    <cfRule type="cellIs" dxfId="818" priority="256" operator="lessThan">
      <formula>0</formula>
    </cfRule>
  </conditionalFormatting>
  <conditionalFormatting sqref="I127:J128">
    <cfRule type="cellIs" dxfId="817" priority="231" operator="lessThan">
      <formula>0</formula>
    </cfRule>
  </conditionalFormatting>
  <conditionalFormatting sqref="I162:J162">
    <cfRule type="cellIs" dxfId="816" priority="3167" operator="lessThan">
      <formula>0</formula>
    </cfRule>
  </conditionalFormatting>
  <conditionalFormatting sqref="I165:J165 I168:J168 I171:J171 I174:J174 I177:J177 I180:J180 I183:J183 I186:J186 I189:J189 I192:J192 I195:J195 I198:J198 I201:J201 I204:J204 I207:J207">
    <cfRule type="cellIs" dxfId="815" priority="437" operator="lessThan">
      <formula>0</formula>
    </cfRule>
  </conditionalFormatting>
  <conditionalFormatting sqref="I210:J210">
    <cfRule type="cellIs" dxfId="814" priority="362" operator="lessThan">
      <formula>0</formula>
    </cfRule>
  </conditionalFormatting>
  <conditionalFormatting sqref="I213:J213">
    <cfRule type="cellIs" dxfId="813" priority="347" operator="lessThan">
      <formula>0</formula>
    </cfRule>
  </conditionalFormatting>
  <conditionalFormatting sqref="I216:J216">
    <cfRule type="cellIs" dxfId="812" priority="332" operator="lessThan">
      <formula>0</formula>
    </cfRule>
  </conditionalFormatting>
  <conditionalFormatting sqref="I219:J219">
    <cfRule type="cellIs" dxfId="811" priority="317" operator="lessThan">
      <formula>0</formula>
    </cfRule>
  </conditionalFormatting>
  <conditionalFormatting sqref="I7:AR9">
    <cfRule type="expression" dxfId="810" priority="4677">
      <formula>I267&lt;0</formula>
    </cfRule>
  </conditionalFormatting>
  <conditionalFormatting sqref="I37:AR37">
    <cfRule type="expression" dxfId="809" priority="3395">
      <formula>$D$37="Désactivé"</formula>
    </cfRule>
    <cfRule type="expression" dxfId="808" priority="3396">
      <formula>I38="Sections équilibrées"</formula>
    </cfRule>
    <cfRule type="expression" dxfId="807" priority="3397">
      <formula>I267&lt;0</formula>
    </cfRule>
  </conditionalFormatting>
  <conditionalFormatting sqref="I38:AR38">
    <cfRule type="containsText" dxfId="806" priority="3365" operator="containsText" text="Ajuster">
      <formula>NOT(ISERROR(SEARCH("Ajuster",I38)))</formula>
    </cfRule>
    <cfRule type="cellIs" dxfId="805" priority="3366" operator="equal">
      <formula>"Sections équilibrées"</formula>
    </cfRule>
  </conditionalFormatting>
  <conditionalFormatting sqref="I39:AR46">
    <cfRule type="expression" dxfId="804" priority="2771">
      <formula>$D$37="Désactivé"</formula>
    </cfRule>
  </conditionalFormatting>
  <conditionalFormatting sqref="I47:AR47">
    <cfRule type="expression" dxfId="803" priority="534">
      <formula>$D$37="Désactivé"</formula>
    </cfRule>
    <cfRule type="cellIs" dxfId="802" priority="535" operator="equal">
      <formula>0</formula>
    </cfRule>
  </conditionalFormatting>
  <conditionalFormatting sqref="I51:AR51">
    <cfRule type="expression" dxfId="801" priority="3484">
      <formula>I129&lt;0</formula>
    </cfRule>
    <cfRule type="expression" dxfId="800" priority="3485">
      <formula>I267&lt;0</formula>
    </cfRule>
  </conditionalFormatting>
  <conditionalFormatting sqref="I52:AR52">
    <cfRule type="expression" dxfId="799" priority="2124">
      <formula>$D$37="Activé"</formula>
    </cfRule>
  </conditionalFormatting>
  <conditionalFormatting sqref="I131:AR131">
    <cfRule type="expression" dxfId="798" priority="3507">
      <formula>I155&lt;0</formula>
    </cfRule>
    <cfRule type="expression" dxfId="797" priority="3508">
      <formula>I267&lt;0</formula>
    </cfRule>
  </conditionalFormatting>
  <conditionalFormatting sqref="I132:AR132">
    <cfRule type="expression" dxfId="796" priority="555">
      <formula>$D$37="Activé"</formula>
    </cfRule>
  </conditionalFormatting>
  <conditionalFormatting sqref="I157:AR157">
    <cfRule type="expression" dxfId="795" priority="3494">
      <formula>I222&lt;0</formula>
    </cfRule>
    <cfRule type="expression" dxfId="794" priority="3495">
      <formula>I267&lt;0</formula>
    </cfRule>
  </conditionalFormatting>
  <conditionalFormatting sqref="I158:AR158">
    <cfRule type="expression" dxfId="793" priority="3525">
      <formula>$D$37="Activé"</formula>
    </cfRule>
  </conditionalFormatting>
  <conditionalFormatting sqref="I224:AR224">
    <cfRule type="expression" dxfId="792" priority="3487">
      <formula>I263&lt;0</formula>
    </cfRule>
    <cfRule type="expression" dxfId="791" priority="3488">
      <formula>I267&lt;0</formula>
    </cfRule>
  </conditionalFormatting>
  <conditionalFormatting sqref="I225:AR225">
    <cfRule type="expression" dxfId="790" priority="3516">
      <formula>$D$37="Activé"</formula>
    </cfRule>
  </conditionalFormatting>
  <conditionalFormatting sqref="I272:AR272">
    <cfRule type="expression" dxfId="789" priority="4667">
      <formula>I267&lt;0</formula>
    </cfRule>
  </conditionalFormatting>
  <conditionalFormatting sqref="I275:AR275 AT275:AU275">
    <cfRule type="expression" dxfId="788" priority="4665">
      <formula>I267&lt;0</formula>
    </cfRule>
  </conditionalFormatting>
  <conditionalFormatting sqref="K10:K27">
    <cfRule type="cellIs" dxfId="787" priority="528" operator="equal">
      <formula>"ea"</formula>
    </cfRule>
    <cfRule type="cellIs" dxfId="786" priority="529" operator="equal">
      <formula>"ec"</formula>
    </cfRule>
    <cfRule type="cellIs" dxfId="785" priority="530" operator="equal">
      <formula>"ok"</formula>
    </cfRule>
  </conditionalFormatting>
  <conditionalFormatting sqref="K39:K46">
    <cfRule type="cellIs" dxfId="784" priority="3709" operator="equal">
      <formula>"€"</formula>
    </cfRule>
    <cfRule type="cellIs" dxfId="783" priority="3710" operator="equal">
      <formula>"%"</formula>
    </cfRule>
  </conditionalFormatting>
  <conditionalFormatting sqref="K54:K55">
    <cfRule type="cellIs" dxfId="782" priority="472" operator="equal">
      <formula>"ea"</formula>
    </cfRule>
    <cfRule type="cellIs" dxfId="781" priority="3347" operator="equal">
      <formula>"ec"</formula>
    </cfRule>
    <cfRule type="cellIs" dxfId="780" priority="3348" operator="equal">
      <formula>"ok"</formula>
    </cfRule>
  </conditionalFormatting>
  <conditionalFormatting sqref="K58">
    <cfRule type="cellIs" dxfId="779" priority="467" operator="equal">
      <formula>"ea"</formula>
    </cfRule>
    <cfRule type="cellIs" dxfId="778" priority="468" operator="equal">
      <formula>"ec"</formula>
    </cfRule>
    <cfRule type="cellIs" dxfId="777" priority="469" operator="equal">
      <formula>"ok"</formula>
    </cfRule>
  </conditionalFormatting>
  <conditionalFormatting sqref="K60:K61 N60:N61 Q60:Q61">
    <cfRule type="cellIs" dxfId="776" priority="207" operator="equal">
      <formula>"ea"</formula>
    </cfRule>
    <cfRule type="cellIs" dxfId="775" priority="208" operator="equal">
      <formula>"ec"</formula>
    </cfRule>
    <cfRule type="cellIs" dxfId="774" priority="209" operator="equal">
      <formula>"ok"</formula>
    </cfRule>
  </conditionalFormatting>
  <conditionalFormatting sqref="K63:K64 K66:K67 K69:K70 K72:K73 K75:K76 K78:K79 K81:K82 K84:K85 K87:K88 K90:K91 K93:K94 K96:K97 K99:K100 K102:K103 K105:K106 K108:K109 K111:K112">
    <cfRule type="cellIs" dxfId="773" priority="461" operator="equal">
      <formula>"ea"</formula>
    </cfRule>
    <cfRule type="cellIs" dxfId="772" priority="462" operator="equal">
      <formula>"ec"</formula>
    </cfRule>
    <cfRule type="cellIs" dxfId="771" priority="463" operator="equal">
      <formula>"ok"</formula>
    </cfRule>
  </conditionalFormatting>
  <conditionalFormatting sqref="K114:K115">
    <cfRule type="cellIs" dxfId="770" priority="296" operator="equal">
      <formula>"ea"</formula>
    </cfRule>
    <cfRule type="cellIs" dxfId="769" priority="297" operator="equal">
      <formula>"ec"</formula>
    </cfRule>
    <cfRule type="cellIs" dxfId="768" priority="298" operator="equal">
      <formula>"ok"</formula>
    </cfRule>
  </conditionalFormatting>
  <conditionalFormatting sqref="K117:K118">
    <cfRule type="cellIs" dxfId="767" priority="281" operator="equal">
      <formula>"ea"</formula>
    </cfRule>
    <cfRule type="cellIs" dxfId="766" priority="282" operator="equal">
      <formula>"ec"</formula>
    </cfRule>
    <cfRule type="cellIs" dxfId="765" priority="283" operator="equal">
      <formula>"ok"</formula>
    </cfRule>
  </conditionalFormatting>
  <conditionalFormatting sqref="K120:K121">
    <cfRule type="cellIs" dxfId="764" priority="266" operator="equal">
      <formula>"ea"</formula>
    </cfRule>
    <cfRule type="cellIs" dxfId="763" priority="267" operator="equal">
      <formula>"ec"</formula>
    </cfRule>
    <cfRule type="cellIs" dxfId="762" priority="268" operator="equal">
      <formula>"ok"</formula>
    </cfRule>
  </conditionalFormatting>
  <conditionalFormatting sqref="K123:K124">
    <cfRule type="cellIs" dxfId="761" priority="251" operator="equal">
      <formula>"ea"</formula>
    </cfRule>
    <cfRule type="cellIs" dxfId="760" priority="252" operator="equal">
      <formula>"ec"</formula>
    </cfRule>
    <cfRule type="cellIs" dxfId="759" priority="253" operator="equal">
      <formula>"ok"</formula>
    </cfRule>
  </conditionalFormatting>
  <conditionalFormatting sqref="K127:K128">
    <cfRule type="expression" dxfId="758" priority="230">
      <formula>I127&lt;0</formula>
    </cfRule>
  </conditionalFormatting>
  <conditionalFormatting sqref="K134">
    <cfRule type="cellIs" dxfId="757" priority="375" operator="equal">
      <formula>"ea"</formula>
    </cfRule>
    <cfRule type="cellIs" dxfId="756" priority="5117" operator="equal">
      <formula>"ec"</formula>
    </cfRule>
    <cfRule type="cellIs" dxfId="755" priority="5118" operator="equal">
      <formula>"ok"</formula>
    </cfRule>
  </conditionalFormatting>
  <conditionalFormatting sqref="K136 K138 K140 K142 K144 K146 K148 K150 K152">
    <cfRule type="cellIs" dxfId="754" priority="372" operator="equal">
      <formula>"ea"</formula>
    </cfRule>
    <cfRule type="cellIs" dxfId="753" priority="373" operator="equal">
      <formula>"ec"</formula>
    </cfRule>
    <cfRule type="cellIs" dxfId="752" priority="374" operator="equal">
      <formula>"ok"</formula>
    </cfRule>
  </conditionalFormatting>
  <conditionalFormatting sqref="K160:K161">
    <cfRule type="cellIs" dxfId="751" priority="438" operator="equal">
      <formula>"ea"</formula>
    </cfRule>
    <cfRule type="cellIs" dxfId="750" priority="439" operator="equal">
      <formula>"ec"</formula>
    </cfRule>
    <cfRule type="cellIs" dxfId="749" priority="440" operator="equal">
      <formula>"ok"</formula>
    </cfRule>
  </conditionalFormatting>
  <conditionalFormatting sqref="K163:K164 K169:K170 K172:K173 K175:K176 K178:K179 K181:K182 K184:K185 K187:K188 K190:K191 K193:K194 K196:K197 K199:K200 K202:K203 K205:K206">
    <cfRule type="cellIs" dxfId="748" priority="432" operator="equal">
      <formula>"ea"</formula>
    </cfRule>
    <cfRule type="cellIs" dxfId="747" priority="433" operator="equal">
      <formula>"ec"</formula>
    </cfRule>
    <cfRule type="cellIs" dxfId="746" priority="434" operator="equal">
      <formula>"ok"</formula>
    </cfRule>
  </conditionalFormatting>
  <conditionalFormatting sqref="K166:K167 W166:W167 Z166:Z167 AC166:AC167 N166:N167 Q166:Q167 T166:T167">
    <cfRule type="cellIs" dxfId="745" priority="216" operator="equal">
      <formula>"ea"</formula>
    </cfRule>
    <cfRule type="cellIs" dxfId="744" priority="217" operator="equal">
      <formula>"ec"</formula>
    </cfRule>
    <cfRule type="cellIs" dxfId="743" priority="218" operator="equal">
      <formula>"ok"</formula>
    </cfRule>
  </conditionalFormatting>
  <conditionalFormatting sqref="K208:K209">
    <cfRule type="cellIs" dxfId="742" priority="357" operator="equal">
      <formula>"ea"</formula>
    </cfRule>
    <cfRule type="cellIs" dxfId="741" priority="358" operator="equal">
      <formula>"ec"</formula>
    </cfRule>
    <cfRule type="cellIs" dxfId="740" priority="359" operator="equal">
      <formula>"ok"</formula>
    </cfRule>
  </conditionalFormatting>
  <conditionalFormatting sqref="K211:K212">
    <cfRule type="cellIs" dxfId="739" priority="342" operator="equal">
      <formula>"ea"</formula>
    </cfRule>
    <cfRule type="cellIs" dxfId="738" priority="343" operator="equal">
      <formula>"ec"</formula>
    </cfRule>
    <cfRule type="cellIs" dxfId="737" priority="344" operator="equal">
      <formula>"ok"</formula>
    </cfRule>
  </conditionalFormatting>
  <conditionalFormatting sqref="K214:K215">
    <cfRule type="cellIs" dxfId="736" priority="327" operator="equal">
      <formula>"ea"</formula>
    </cfRule>
    <cfRule type="cellIs" dxfId="735" priority="328" operator="equal">
      <formula>"ec"</formula>
    </cfRule>
    <cfRule type="cellIs" dxfId="734" priority="329" operator="equal">
      <formula>"ok"</formula>
    </cfRule>
  </conditionalFormatting>
  <conditionalFormatting sqref="K217:K218">
    <cfRule type="cellIs" dxfId="733" priority="312" operator="equal">
      <formula>"ea"</formula>
    </cfRule>
    <cfRule type="cellIs" dxfId="732" priority="313" operator="equal">
      <formula>"ec"</formula>
    </cfRule>
    <cfRule type="cellIs" dxfId="731" priority="314" operator="equal">
      <formula>"ok"</formula>
    </cfRule>
  </conditionalFormatting>
  <conditionalFormatting sqref="K227:K261">
    <cfRule type="cellIs" dxfId="730" priority="401" operator="equal">
      <formula>"ea"</formula>
    </cfRule>
    <cfRule type="cellIs" dxfId="729" priority="402" operator="equal">
      <formula>"ec"</formula>
    </cfRule>
    <cfRule type="cellIs" dxfId="728" priority="403" operator="equal">
      <formula>"ok"</formula>
    </cfRule>
  </conditionalFormatting>
  <conditionalFormatting sqref="K285">
    <cfRule type="cellIs" dxfId="727" priority="2046" operator="equal">
      <formula>1</formula>
    </cfRule>
  </conditionalFormatting>
  <conditionalFormatting sqref="L39:M40">
    <cfRule type="expression" dxfId="726" priority="3673">
      <formula>$N$39="€"</formula>
    </cfRule>
    <cfRule type="expression" dxfId="725" priority="3674">
      <formula>$N$39="%"</formula>
    </cfRule>
  </conditionalFormatting>
  <conditionalFormatting sqref="L41:M42">
    <cfRule type="expression" dxfId="724" priority="3671">
      <formula>$N$41="€"</formula>
    </cfRule>
    <cfRule type="expression" dxfId="723" priority="3672">
      <formula>$N$41="%"</formula>
    </cfRule>
  </conditionalFormatting>
  <conditionalFormatting sqref="L43:M44">
    <cfRule type="expression" dxfId="722" priority="3669">
      <formula>$N$43="€"</formula>
    </cfRule>
    <cfRule type="expression" dxfId="721" priority="3670">
      <formula>$N$43="%"</formula>
    </cfRule>
  </conditionalFormatting>
  <conditionalFormatting sqref="L45:M46">
    <cfRule type="expression" dxfId="720" priority="3667">
      <formula>$N$45="€"</formula>
    </cfRule>
    <cfRule type="expression" dxfId="719" priority="3668">
      <formula>$N$45="%"</formula>
    </cfRule>
  </conditionalFormatting>
  <conditionalFormatting sqref="L56:M56 O56:P56 R56:S56 U56:V56 X56:Y56 AA56:AB56 AD56:AE56 AG56:AH56 AJ56:AK56 AM56:AN56 AP56:AQ56">
    <cfRule type="cellIs" dxfId="718" priority="456" operator="lessThan">
      <formula>0</formula>
    </cfRule>
  </conditionalFormatting>
  <conditionalFormatting sqref="L59:M59 O59:P59 R59:S59 U59:V59 X59:Y59 AA59:AB59 AD59:AE59 AG59:AH59 AJ59:AK59 AM59:AN59 AP59:AQ59">
    <cfRule type="cellIs" dxfId="717" priority="455" operator="lessThan">
      <formula>0</formula>
    </cfRule>
  </conditionalFormatting>
  <conditionalFormatting sqref="L62:M62 O62:P62 R62:S62 U62:V62 X62:Y62 AA62:AB62 AD62:AE62 AG62:AH62 AJ62:AK62 AM62:AN62 AP62:AQ62 L65:M65 O65:P65 R65:S65 U65:V65 X65:Y65 AA65:AB65 AD65:AE65 AG65:AH65 AJ65:AK65 AM65:AN65 AP65:AQ65 L68:M68 O68:P68 R68:S68 U68:V68 X68:Y68 AA68:AB68 AD68:AE68 AG68:AH68 AJ68:AK68 AM68:AN68 AP68:AQ68 L71:M71 O71:P71 R71:S71 U71:V71 X71:Y71 AA71:AB71 AD71:AE71 AG71:AH71 AJ71:AK71 AM71:AN71 AP71:AQ71 L74:M74 O74:P74 R74:S74 U74:V74 X74:Y74 AA74:AB74 AD74:AE74 AG74:AH74 AJ74:AK74 AM74:AN74 AP74:AQ74 L77:M77 O77:P77 R77:S77 U77:V77 X77:Y77 AA77:AB77 AD77:AE77 AG77:AH77 AJ77:AK77 AM77:AN77 AP77:AQ77 L80:M80 O80:P80 R80:S80 U80:V80 X80:Y80 AA80:AB80 AD80:AE80 AG80:AH80 AJ80:AK80 AM80:AN80 AP80:AQ80 L83:M83 O83:P83 R83:S83 U83:V83 X83:Y83 AA83:AB83 AD83:AE83 AG83:AH83 AJ83:AK83 AM83:AN83 AP83:AQ83 L86:M86 O86:P86 R86:S86 U86:V86 X86:Y86 AA86:AB86 AD86:AE86 AG86:AH86 AJ86:AK86 AM86:AN86 AP86:AQ86 L89:M89 O89:P89 R89:S89 U89:V89 X89:Y89 AA89:AB89 AD89:AE89 AG89:AH89 AJ89:AK89 AM89:AN89 AP89:AQ89 L92:M92 O92:P92 R92:S92 U92:V92 X92:Y92 AA92:AB92 AD92:AE92 AG92:AH92 AJ92:AK92 AM92:AN92 AP92:AQ92 L95:M95 O95:P95 R95:S95 U95:V95 X95:Y95 AA95:AB95 AD95:AE95 AG95:AH95 AJ95:AK95 AM95:AN95 AP95:AQ95 L98:M98 O98:P98 R98:S98 U98:V98 X98:Y98 AA98:AB98 AD98:AE98 AG98:AH98 AJ98:AK98 AM98:AN98 AP98:AQ98 L101:M101 O101:P101 R101:S101 U101:V101 X101:Y101 AA101:AB101 AD101:AE101 AG101:AH101 AJ101:AK101 AM101:AN101 AP101:AQ101 L104:M104 O104:P104 R104:S104 U104:V104 X104:Y104 AA104:AB104 AD104:AE104 AG104:AH104 AJ104:AK104 AM104:AN104 AP104:AQ104 L107:M107 O107:P107 R107:S107 U107:V107 X107:Y107 AA107:AB107 AD107:AE107 AG107:AH107 AJ107:AK107 AM107:AN107 AP107:AQ107 L110:M110 O110:P110 R110:S110 U110:V110 X110:Y110 AA110:AB110 AD110:AE110 AG110:AH110 AJ110:AK110 AM110:AN110 AP110:AQ110 L113:M113 O113:P113 R113:S113 U113:V113 X113:Y113 AA113:AB113 AD113:AE113 AG113:AH113 AJ113:AK113 AM113:AN113 AP113:AQ113">
    <cfRule type="cellIs" dxfId="716" priority="448" operator="lessThan">
      <formula>0</formula>
    </cfRule>
  </conditionalFormatting>
  <conditionalFormatting sqref="L116:M116 O116:P116 R116:S116 U116:V116 X116:Y116 AA116:AB116 AD116:AE116 AG116:AH116 AJ116:AK116 AM116:AN116 AP116:AQ116">
    <cfRule type="cellIs" dxfId="715" priority="295" operator="lessThan">
      <formula>0</formula>
    </cfRule>
  </conditionalFormatting>
  <conditionalFormatting sqref="L119:M119 O119:P119 R119:S119 U119:V119 X119:Y119 AA119:AB119 AD119:AE119 AG119:AH119 AJ119:AK119 AM119:AN119 AP119:AQ119">
    <cfRule type="cellIs" dxfId="714" priority="280" operator="lessThan">
      <formula>0</formula>
    </cfRule>
  </conditionalFormatting>
  <conditionalFormatting sqref="L122:M122 O122:P122 R122:S122 U122:V122 X122:Y122 AA122:AB122 AD122:AE122 AG122:AH122 AJ122:AK122 AM122:AN122 AP122:AQ122">
    <cfRule type="cellIs" dxfId="713" priority="265" operator="lessThan">
      <formula>0</formula>
    </cfRule>
  </conditionalFormatting>
  <conditionalFormatting sqref="L125:M125 O125:P125 R125:S125 U125:V125 X125:Y125 AA125:AB125 AD125:AE125 AG125:AH125 AJ125:AK125 AM125:AN125 AP125:AQ125">
    <cfRule type="cellIs" dxfId="712" priority="250" operator="lessThan">
      <formula>0</formula>
    </cfRule>
  </conditionalFormatting>
  <conditionalFormatting sqref="L127:M128 O127:P128 R127:S128 U127:V128 X127:Y128 AA127:AB128 AD127:AE128 AG127:AH128 AJ127:AK128 AM127:AN128 AP127:AQ128">
    <cfRule type="cellIs" dxfId="711" priority="229" operator="lessThan">
      <formula>0</formula>
    </cfRule>
  </conditionalFormatting>
  <conditionalFormatting sqref="L162:M162 O162:P162 R162:S162 U162:V162 X162:Y162 AA162:AB162 AD162:AE162 AG162:AH162 AJ162:AK162 AM162:AN162 AP162:AQ162 L165:M165 O165:P165 R165:S165 U165:V165 X165:Y165 AA165:AB165 AD165:AE165 AG165:AH165 AJ165:AK165 AM165:AN165 AP165:AQ165 L168:M168 O168:P168 R168:S168 U168:V168 X168:Y168 AA168:AB168 AD168:AE168 AG168:AH168 AJ168:AK168 AM168:AN168 AP168:AQ168 L171:M171 O171:P171 R171:S171 U171:V171 X171:Y171 AA171:AB171 AD171:AE171 AG171:AH171 AJ171:AK171 AM171:AN171 AP171:AQ171 L174:M174 O174:P174 R174:S174 U174:V174 X174:Y174 AA174:AB174 AD174:AE174 AG174:AH174 AJ174:AK174 AM174:AN174 AP174:AQ174 L177:M177 O177:P177 R177:S177 U177:V177 X177:Y177 AA177:AB177 AD177:AE177 AG177:AH177 AJ177:AK177 AM177:AN177 AP177:AQ177 L180:M180 O180:P180 R180:S180 U180:V180 X180:Y180 AA180:AB180 AD180:AE180 AG180:AH180 AJ180:AK180 AM180:AN180 AP180:AQ180 L183:M183 O183:P183 R183:S183 U183:V183 X183:Y183 AA183:AB183 AD183:AE183 AG183:AH183 AJ183:AK183 AM183:AN183 AP183:AQ183 L186:M186 O186:P186 R186:S186 U186:V186 X186:Y186 AA186:AB186 AD186:AE186 AG186:AH186 AJ186:AK186 AM186:AN186 AP186:AQ186 L189:M189 O189:P189 R189:S189 U189:V189 X189:Y189 AA189:AB189 AD189:AE189 AG189:AH189 AJ189:AK189 AM189:AN189 AP189:AQ189 L192:M192 O192:P192 R192:S192 U192:V192 X192:Y192 AA192:AB192 AD192:AE192 AG192:AH192 AJ192:AK192 AM192:AN192 AP192:AQ192 L195:M195 O195:P195 R195:S195 U195:V195 X195:Y195 AA195:AB195 AD195:AE195 AG195:AH195 AJ195:AK195 AM195:AN195 AP195:AQ195 L198:M198 O198:P198 R198:S198 U198:V198 X198:Y198 AA198:AB198 AD198:AE198 AG198:AH198 AJ198:AK198 AM198:AN198 AP198:AQ198 L201:M201 O201:P201 R201:S201 U201:V201 X201:Y201 AA201:AB201 AD201:AE201 AG201:AH201 AJ201:AK201 AM201:AN201 AP201:AQ201 L204:M204 O204:P204 R204:S204 U204:V204 X204:Y204 AA204:AB204 AD204:AE204 AG204:AH204 AJ204:AK204 AM204:AN204 AP204:AQ204 L207:M207 O207:P207 R207:S207 U207:V207 X207:Y207 AA207:AB207 AD207:AE207 AG207:AH207 AJ207:AK207 AM207:AN207 AP207:AQ207">
    <cfRule type="cellIs" dxfId="710" priority="431" operator="lessThan">
      <formula>0</formula>
    </cfRule>
  </conditionalFormatting>
  <conditionalFormatting sqref="L210:M210 O210:P210 R210:S210 U210:V210 X210:Y210 AA210:AB210 AD210:AE210 AG210:AH210 AJ210:AK210 AM210:AN210 AP210:AQ210">
    <cfRule type="cellIs" dxfId="709" priority="356" operator="lessThan">
      <formula>0</formula>
    </cfRule>
  </conditionalFormatting>
  <conditionalFormatting sqref="L213:M213 O213:P213 R213:S213 U213:V213 X213:Y213 AA213:AB213 AD213:AE213 AG213:AH213 AJ213:AK213 AM213:AN213 AP213:AQ213">
    <cfRule type="cellIs" dxfId="708" priority="341" operator="lessThan">
      <formula>0</formula>
    </cfRule>
  </conditionalFormatting>
  <conditionalFormatting sqref="L216:M216 O216:P216 R216:S216 U216:V216 X216:Y216 AA216:AB216 AD216:AE216 AG216:AH216 AJ216:AK216 AM216:AN216 AP216:AQ216">
    <cfRule type="cellIs" dxfId="707" priority="326" operator="lessThan">
      <formula>0</formula>
    </cfRule>
  </conditionalFormatting>
  <conditionalFormatting sqref="L219:M219 O219:P219 R219:S219 U219:V219 X219:Y219 AA219:AB219 AD219:AE219 AG219:AH219 AJ219:AK219 AM219:AN219 AP219:AQ219">
    <cfRule type="cellIs" dxfId="706" priority="311" operator="lessThan">
      <formula>0</formula>
    </cfRule>
  </conditionalFormatting>
  <conditionalFormatting sqref="N11:N27">
    <cfRule type="cellIs" dxfId="705" priority="523" operator="equal">
      <formula>"ea"</formula>
    </cfRule>
    <cfRule type="cellIs" dxfId="704" priority="524" operator="equal">
      <formula>"ec"</formula>
    </cfRule>
    <cfRule type="cellIs" dxfId="703" priority="525" operator="equal">
      <formula>"ok"</formula>
    </cfRule>
  </conditionalFormatting>
  <conditionalFormatting sqref="N39:N46">
    <cfRule type="cellIs" dxfId="702" priority="3701" operator="equal">
      <formula>"€"</formula>
    </cfRule>
    <cfRule type="cellIs" dxfId="701" priority="3702" operator="equal">
      <formula>"%"</formula>
    </cfRule>
  </conditionalFormatting>
  <conditionalFormatting sqref="N55 Q55 T55 W55 Z55 AC55 AF55 AI55 AL55 AO55 AR55">
    <cfRule type="cellIs" dxfId="700" priority="454" operator="equal">
      <formula>"ea"</formula>
    </cfRule>
    <cfRule type="cellIs" dxfId="699" priority="457" operator="equal">
      <formula>"ec"</formula>
    </cfRule>
    <cfRule type="cellIs" dxfId="698" priority="458" operator="equal">
      <formula>"ok"</formula>
    </cfRule>
  </conditionalFormatting>
  <conditionalFormatting sqref="N58 Q58 T58 W58 Z58 AC58 AF58 AI58 AL58 AO58 AR58">
    <cfRule type="cellIs" dxfId="697" priority="449" operator="equal">
      <formula>"ea"</formula>
    </cfRule>
    <cfRule type="cellIs" dxfId="696" priority="450" operator="equal">
      <formula>"ec"</formula>
    </cfRule>
    <cfRule type="cellIs" dxfId="695" priority="451" operator="equal">
      <formula>"ok"</formula>
    </cfRule>
  </conditionalFormatting>
  <conditionalFormatting sqref="N114:N115 Q114:Q115 T114:T115 W114:W115 Z114:Z115 AC114:AC115 AF114:AF115 AI114:AI115 AL114:AL115 AO114:AO115 AR114:AR115">
    <cfRule type="cellIs" dxfId="694" priority="232" operator="equal">
      <formula>"ea"</formula>
    </cfRule>
    <cfRule type="cellIs" dxfId="693" priority="233" operator="equal">
      <formula>"ec"</formula>
    </cfRule>
    <cfRule type="cellIs" dxfId="692" priority="234" operator="equal">
      <formula>"ok"</formula>
    </cfRule>
  </conditionalFormatting>
  <conditionalFormatting sqref="N117:N118 Q117:Q118 T117:T118 W117:W118 Z117:Z118 AC117:AC118 AF117:AF118 AI117:AI118 AL117:AL118 AO117:AO118 AR117:AR118">
    <cfRule type="cellIs" dxfId="691" priority="275" operator="equal">
      <formula>"ea"</formula>
    </cfRule>
    <cfRule type="cellIs" dxfId="690" priority="276" operator="equal">
      <formula>"ec"</formula>
    </cfRule>
    <cfRule type="cellIs" dxfId="689" priority="277" operator="equal">
      <formula>"ok"</formula>
    </cfRule>
  </conditionalFormatting>
  <conditionalFormatting sqref="N120:N121 Q120:Q121 T120:T121 W120:W121 Z120:Z121 AC120:AC121 AF120:AF121 AI120:AI121 AL120:AL121 AO120:AO121 AR120:AR121">
    <cfRule type="cellIs" dxfId="688" priority="260" operator="equal">
      <formula>"ea"</formula>
    </cfRule>
    <cfRule type="cellIs" dxfId="687" priority="261" operator="equal">
      <formula>"ec"</formula>
    </cfRule>
    <cfRule type="cellIs" dxfId="686" priority="262" operator="equal">
      <formula>"ok"</formula>
    </cfRule>
  </conditionalFormatting>
  <conditionalFormatting sqref="N123:N124 Q123:Q124 T123:T124 W123:W124 Z123:Z124 AC123:AC124 AF123:AF124 AI123:AI124 AL123:AL124 AO123:AO124 AR123:AR124">
    <cfRule type="cellIs" dxfId="685" priority="245" operator="equal">
      <formula>"ea"</formula>
    </cfRule>
    <cfRule type="cellIs" dxfId="684" priority="246" operator="equal">
      <formula>"ec"</formula>
    </cfRule>
    <cfRule type="cellIs" dxfId="683" priority="247" operator="equal">
      <formula>"ok"</formula>
    </cfRule>
  </conditionalFormatting>
  <conditionalFormatting sqref="N127:N128 Q127:Q128 T127:T128 W127:W128 Z127:Z128 AC127:AC128 AF127:AF128 AI127:AI128 AL127:AL128 AO127:AO128 AR127:AR128">
    <cfRule type="expression" dxfId="682" priority="228">
      <formula>L127&lt;0</formula>
    </cfRule>
  </conditionalFormatting>
  <conditionalFormatting sqref="N134 Q134 T134 W134 Z134 AC134 AF134 AI134 AL134 AO134 AR134">
    <cfRule type="cellIs" dxfId="681" priority="369" operator="equal">
      <formula>"ea"</formula>
    </cfRule>
    <cfRule type="cellIs" dxfId="680" priority="370" operator="equal">
      <formula>"ec"</formula>
    </cfRule>
    <cfRule type="cellIs" dxfId="679" priority="371" operator="equal">
      <formula>"ok"</formula>
    </cfRule>
  </conditionalFormatting>
  <conditionalFormatting sqref="N136 Q136 T136 W136 Z136 AC136 AF136 AI136 AL136 AO136 AR136 N138 Q138 T138 W138 Z138 AC138 AF138 AI138 AL138 AO138 AR138 N140 Q140 T140 W140 Z140 AC140 AF140 AI140 AL140 AO140 AR140 N142 Q142 T142 W142 Z142 AC142 AF142 AI142 AL142 AO142 AR142 N144 Q144 T144 W144 Z144 AC144 AF144 AI144 AL144 AO144 AR144 N146 Q146 T146 W146 Z146 AC146 AF146 AI146 AL146 AO146 AR146 N148 Q148 T148 W148 Z148 AC148 AF148 AI148 AL148 AO148 AR148 N150 Q150 T150 W150 Z150 AC150 AF150 AI150 AL150 AO150 AR150 N152 Q152 T152 W152 Z152 AC152 AF152 AI152 AL152 AO152 AR152">
    <cfRule type="cellIs" dxfId="678" priority="366" operator="equal">
      <formula>"ea"</formula>
    </cfRule>
    <cfRule type="cellIs" dxfId="677" priority="367" operator="equal">
      <formula>"ec"</formula>
    </cfRule>
    <cfRule type="cellIs" dxfId="676" priority="368" operator="equal">
      <formula>"ok"</formula>
    </cfRule>
  </conditionalFormatting>
  <conditionalFormatting sqref="N161 Q161 T161 W160:W161 Z160:Z161 AC160:AC161 AF160:AF161 AI160:AI161 AL160:AL161 AO160:AO161 AR160:AR161 N163:N164 Q164 W163:W164 Z163:Z164 AC163:AC164 AF163:AF164 AI163:AI164 AL163:AL164 AO163:AO164 AR163:AR164 AF166:AF167 AI166:AI167 AL166:AL167 AO166:AO167 AR166:AR167 N170 Q170 T170 W169:W170 Z169:Z170 AC169:AC170 AF169:AF170 AI169:AI170 AL169:AL170 AO169:AO170 AR169:AR170 N173 Q173 T173 W172:W173 Z172:Z173 AC172:AC173 AF172:AF173 AI172:AI173 AL172:AL173 AO172:AO173 AR172:AR173 N176 Q176 T176 W175:W176 Z175:Z176 AC175:AC176 AF175:AF176 AI175:AI176 AL175:AL176 AO175:AO176 AR175:AR176 N179 Q179 T179 W178:W179 Z178:Z179 AC178:AC179 AF178:AF179 AI178:AI179 AL178:AL179 AO178:AO179 AR178:AR179 N184:N185 Q184:Q185 T184:T185 W184:W185 Z184:Z185 AC184:AC185 AF184:AF185 AI184:AI185 AL184:AL185 AO184:AO185 AR184:AR185 N187:N188 Q187:Q188 T187:T188 W187:W188 Z187:Z188 AC187:AC188 AF187:AF188 AI187:AI188 AL187:AL188 AO187:AO188 AR187:AR188 N190:N191 Q190:Q191 T190:T191 W190:W191 Z190:Z191 AC190:AC191 AF190:AF191 AI190:AI191 AL190:AL191 AO190:AO191 AR190:AR191 N193:N194 Q193:Q194 T193:T194 W193:W194 Z193:Z194 AC193:AC194 AF193:AF194 AI193:AI194 AL193:AL194 AO193:AO194 AR193:AR194 N196:N197 Q196:Q197 T196:T197 W196:W197 Z196:Z197 AC196:AC197 AF196:AF197 AI196:AI197 AL196:AL197 AO196:AO197 AR196:AR197 N199:N200 Q199:Q200 T199:T200 W199:W200 Z199:Z200 AC199:AC200 AF199:AF200 AI199:AI200 AL199:AL200 AO199:AO200 AR199:AR200 N202:N203 Q202:Q203 T202:T203 W202:W203 Z202:Z203 AC202:AC203 AF202:AF203 AI202:AI203 AL202:AL203 AO202:AO203 AR202:AR203 N205:N206 Q205:Q206 T205:T206 W205:W206 Z205:Z206 AC205:AC206 AF205:AF206 AI205:AI206 AL205:AL206 AO205:AO206 AR205:AR206 T163:T164">
    <cfRule type="cellIs" dxfId="675" priority="426" operator="equal">
      <formula>"ea"</formula>
    </cfRule>
    <cfRule type="cellIs" dxfId="674" priority="427" operator="equal">
      <formula>"ec"</formula>
    </cfRule>
    <cfRule type="cellIs" dxfId="673" priority="428" operator="equal">
      <formula>"ok"</formula>
    </cfRule>
  </conditionalFormatting>
  <conditionalFormatting sqref="N208:N209 Q208:Q209 T208:T209 W208:W209 Z208:Z209 AC208:AC209 AF208:AF209 AI208:AI209 AL208:AL209 AO208:AO209 AR208:AR209">
    <cfRule type="cellIs" dxfId="672" priority="351" operator="equal">
      <formula>"ea"</formula>
    </cfRule>
    <cfRule type="cellIs" dxfId="671" priority="352" operator="equal">
      <formula>"ec"</formula>
    </cfRule>
    <cfRule type="cellIs" dxfId="670" priority="353" operator="equal">
      <formula>"ok"</formula>
    </cfRule>
  </conditionalFormatting>
  <conditionalFormatting sqref="N211:N212 Q211:Q212 T211:T212 W211:W212 Z211:Z212 AC211:AC212 AF211:AF212 AI211:AI212 AL211:AL212 AO211:AO212 AR211:AR212">
    <cfRule type="cellIs" dxfId="669" priority="336" operator="equal">
      <formula>"ea"</formula>
    </cfRule>
    <cfRule type="cellIs" dxfId="668" priority="337" operator="equal">
      <formula>"ec"</formula>
    </cfRule>
    <cfRule type="cellIs" dxfId="667" priority="338" operator="equal">
      <formula>"ok"</formula>
    </cfRule>
  </conditionalFormatting>
  <conditionalFormatting sqref="N214:N215 Q214:Q215 T214:T215 W214:W215 Z214:Z215 AC214:AC215 AF214:AF215 AI214:AI215 AL214:AL215 AO214:AO215 AR214:AR215">
    <cfRule type="cellIs" dxfId="666" priority="321" operator="equal">
      <formula>"ea"</formula>
    </cfRule>
    <cfRule type="cellIs" dxfId="665" priority="322" operator="equal">
      <formula>"ec"</formula>
    </cfRule>
    <cfRule type="cellIs" dxfId="664" priority="323" operator="equal">
      <formula>"ok"</formula>
    </cfRule>
  </conditionalFormatting>
  <conditionalFormatting sqref="N217:N218 Q217:Q218 T217:T218 W217:W218 Z217:Z218 AC217:AC218 AF217:AF218 AI217:AI218 AL217:AL218 AO217:AO218 AR217:AR218">
    <cfRule type="cellIs" dxfId="663" priority="306" operator="equal">
      <formula>"ea"</formula>
    </cfRule>
    <cfRule type="cellIs" dxfId="662" priority="307" operator="equal">
      <formula>"ec"</formula>
    </cfRule>
    <cfRule type="cellIs" dxfId="661" priority="308" operator="equal">
      <formula>"ok"</formula>
    </cfRule>
  </conditionalFormatting>
  <conditionalFormatting sqref="N227 Q227 T227:T231 W227:W261 Z227:Z261 AC227:AC261 AF227:AF261 AI227:AI261 AL227:AL261 AO227:AO261 AR227:AR261 N237:N261 Q231 N231 N233:N235 Q233:Q261 T233:T261">
    <cfRule type="cellIs" dxfId="660" priority="376" operator="equal">
      <formula>"ea"</formula>
    </cfRule>
    <cfRule type="cellIs" dxfId="659" priority="377" operator="equal">
      <formula>"ec"</formula>
    </cfRule>
    <cfRule type="cellIs" dxfId="658" priority="378" operator="equal">
      <formula>"ok"</formula>
    </cfRule>
  </conditionalFormatting>
  <conditionalFormatting sqref="N285">
    <cfRule type="cellIs" dxfId="657" priority="574" operator="equal">
      <formula>1</formula>
    </cfRule>
  </conditionalFormatting>
  <conditionalFormatting sqref="O39:P40">
    <cfRule type="expression" dxfId="656" priority="3665">
      <formula>$Q$39="€"</formula>
    </cfRule>
    <cfRule type="expression" dxfId="655" priority="3666">
      <formula>$Q$39="%"</formula>
    </cfRule>
  </conditionalFormatting>
  <conditionalFormatting sqref="O41:P42">
    <cfRule type="expression" dxfId="654" priority="3663">
      <formula>$Q$41="€"</formula>
    </cfRule>
    <cfRule type="expression" dxfId="653" priority="3664">
      <formula>$Q$41="%"</formula>
    </cfRule>
  </conditionalFormatting>
  <conditionalFormatting sqref="O43:P44">
    <cfRule type="expression" dxfId="652" priority="3661">
      <formula>$Q$43="€"</formula>
    </cfRule>
    <cfRule type="expression" dxfId="651" priority="3662">
      <formula>$Q$43="%"</formula>
    </cfRule>
  </conditionalFormatting>
  <conditionalFormatting sqref="O45:P46">
    <cfRule type="expression" dxfId="650" priority="3659">
      <formula>$Q$45="€"</formula>
    </cfRule>
    <cfRule type="expression" dxfId="649" priority="3660">
      <formula>$Q$45="%"</formula>
    </cfRule>
  </conditionalFormatting>
  <conditionalFormatting sqref="Q11:Q27">
    <cfRule type="cellIs" dxfId="648" priority="518" operator="equal">
      <formula>"ea"</formula>
    </cfRule>
    <cfRule type="cellIs" dxfId="647" priority="519" operator="equal">
      <formula>"ec"</formula>
    </cfRule>
    <cfRule type="cellIs" dxfId="646" priority="520" operator="equal">
      <formula>"ok"</formula>
    </cfRule>
  </conditionalFormatting>
  <conditionalFormatting sqref="Q39:Q46">
    <cfRule type="cellIs" dxfId="645" priority="3705" operator="equal">
      <formula>"€"</formula>
    </cfRule>
    <cfRule type="cellIs" dxfId="644" priority="3706" operator="equal">
      <formula>"%"</formula>
    </cfRule>
  </conditionalFormatting>
  <conditionalFormatting sqref="Q285">
    <cfRule type="cellIs" dxfId="643" priority="573" operator="equal">
      <formula>1</formula>
    </cfRule>
  </conditionalFormatting>
  <conditionalFormatting sqref="R39:S40">
    <cfRule type="expression" dxfId="642" priority="3686">
      <formula>$K$39="€"</formula>
    </cfRule>
    <cfRule type="expression" dxfId="641" priority="3687">
      <formula>$K$39="%"</formula>
    </cfRule>
  </conditionalFormatting>
  <conditionalFormatting sqref="R41:S42">
    <cfRule type="expression" dxfId="640" priority="3684">
      <formula>$T$41="€"</formula>
    </cfRule>
    <cfRule type="expression" dxfId="639" priority="3685">
      <formula>$T$41="%"</formula>
    </cfRule>
  </conditionalFormatting>
  <conditionalFormatting sqref="R43:S44">
    <cfRule type="expression" dxfId="638" priority="3682">
      <formula>$T$43="€"</formula>
    </cfRule>
    <cfRule type="expression" dxfId="637" priority="3683">
      <formula>$T$43="%"</formula>
    </cfRule>
  </conditionalFormatting>
  <conditionalFormatting sqref="R45:S46">
    <cfRule type="expression" dxfId="636" priority="2772">
      <formula>$T$45="€"</formula>
    </cfRule>
    <cfRule type="expression" dxfId="635" priority="2773">
      <formula>$T$45="%"</formula>
    </cfRule>
  </conditionalFormatting>
  <conditionalFormatting sqref="T11:T27">
    <cfRule type="cellIs" dxfId="634" priority="513" operator="equal">
      <formula>"ea"</formula>
    </cfRule>
    <cfRule type="cellIs" dxfId="633" priority="514" operator="equal">
      <formula>"ec"</formula>
    </cfRule>
    <cfRule type="cellIs" dxfId="632" priority="515" operator="equal">
      <formula>"ok"</formula>
    </cfRule>
  </conditionalFormatting>
  <conditionalFormatting sqref="T39:T46">
    <cfRule type="cellIs" dxfId="631" priority="3703" operator="equal">
      <formula>"€"</formula>
    </cfRule>
    <cfRule type="cellIs" dxfId="630" priority="3704" operator="equal">
      <formula>"%"</formula>
    </cfRule>
  </conditionalFormatting>
  <conditionalFormatting sqref="T60:T61 W60:W61 N63:N64 Q64 W63:W64 Z63:Z64 AC63:AC64 AF63:AF64 AI63:AI64 AL63:AL64 AO63:AO64 AR63:AR64 N67 Q67 T67 W66:W67 Z66:Z67 AC66:AC67 AF66:AF67 AI66:AI67 AL66:AL67 AO66:AO67 AR66:AR67 N70 Q70 T70 W69:W70 Z69:Z70 AC69:AC70 AF69:AF70 AI69:AI70 AL69:AL70 AO69:AO70 AR69:AR70 N73 Q73 T73 W72:W73 Z72:Z73 AC72:AC73 AF72:AF73 AI72:AI73 AL72:AL73 AO72:AO73 AR72:AR73 N75:N76 Q75:Q76 T75:T76 W75:W76 Z75:Z76 AC75:AC76 AF75:AF76 AI75:AI76 AL75:AL76 AO75:AO76 AR75:AR76 N79 Q79 T79 W78:W79 Z78:Z79 AC78:AC79 AF78:AF79 AI78:AI79 AL78:AL79 AO78:AO79 AR78:AR79 N82 Q82 T81:T82 W81:W82 Z81:Z82 AC81:AC82 AF81:AF82 AI81:AI82 AL81:AL82 AO81:AO82 AR81:AR82 N84:N85 Q84:Q85 T84:T85 W84:W85 Z84:Z85 AC84:AC85 AF84:AF85 AI84:AI85 AL84:AL85 AO84:AO85 AR84:AR85 N87:N88 Q87:Q88 T87:T88 W87:W88 Z87:Z88 AC87:AC88 AF87:AF88 AI87:AI88 AL87:AL88 AO87:AO88 AR87:AR88 N90:N91 Q90:Q91 T90:T91 W90:W91 Z90:Z91 AC90:AC91 AF90:AF91 AI90:AI91 AL90:AL91 AO90:AO91 AR90:AR91 N93:N94 Q93:Q94 T93:T94 W93:W94 Z93:Z94 AC93:AC94 AF93:AF94 AI93:AI94 AL93:AL94 AO93:AO94 AR93:AR94 N96:N97 Q96:Q97 T96:T97 W96:W97 Z96:Z97 AC96:AC97 AF96:AF97 AI96:AI97 AL96:AL97 AO96:AO97 AR96:AR97 N99:N100 Q99:Q100 T99:T100 W99:W100 Z99:Z100 AC99:AC100 AF99:AF100 AI99:AI100 AL99:AL100 AO99:AO100 AR99:AR100 N102:N103 Q102:Q103 T102:T103 W102:W103 Z102:Z103 AC102:AC103 AF102:AF103 AI102:AI103 AL102:AL103 AO102:AO103 AR102:AR103 N105:N106 Q105:Q106 T105:T106 W105:W106 Z105:Z106 AC105:AC106 AF105:AF106 AI105:AI106 AL105:AL106 AO105:AO106 AR105:AR106 N108:N109 Q108:Q109 T108:T109 W108:W109 Z108:Z109 AC108:AC109 AF108:AF109 AI108:AI109 AL108:AL109 AO108:AO109 AR108:AR109 N111:N112 Q111:Q112 T111:T112 W111:W112 Z111:Z112 AC111:AC112 AF111:AF112 AI111:AI112 AL111:AL112 AO111:AO112 AR111:AR112 T63:T64">
    <cfRule type="cellIs" dxfId="629" priority="443" operator="equal">
      <formula>"ea"</formula>
    </cfRule>
    <cfRule type="cellIs" dxfId="628" priority="444" operator="equal">
      <formula>"ec"</formula>
    </cfRule>
    <cfRule type="cellIs" dxfId="627" priority="445" operator="equal">
      <formula>"ok"</formula>
    </cfRule>
  </conditionalFormatting>
  <conditionalFormatting sqref="T285">
    <cfRule type="cellIs" dxfId="626" priority="572" operator="equal">
      <formula>1</formula>
    </cfRule>
  </conditionalFormatting>
  <conditionalFormatting sqref="U39:V40">
    <cfRule type="expression" dxfId="625" priority="3629">
      <formula>$W$39="€"</formula>
    </cfRule>
    <cfRule type="expression" dxfId="624" priority="3630">
      <formula>$W$39="%"</formula>
    </cfRule>
  </conditionalFormatting>
  <conditionalFormatting sqref="U41:V42">
    <cfRule type="expression" dxfId="623" priority="3627">
      <formula>$W$41="€"</formula>
    </cfRule>
    <cfRule type="expression" dxfId="622" priority="3628">
      <formula>$W$41="%"</formula>
    </cfRule>
  </conditionalFormatting>
  <conditionalFormatting sqref="U43:V44">
    <cfRule type="expression" dxfId="621" priority="3625">
      <formula>$W$43="€"</formula>
    </cfRule>
    <cfRule type="expression" dxfId="620" priority="3626">
      <formula>$W$43="%"</formula>
    </cfRule>
  </conditionalFormatting>
  <conditionalFormatting sqref="U45:V46">
    <cfRule type="expression" dxfId="619" priority="3623">
      <formula>$W$45="€"</formula>
    </cfRule>
    <cfRule type="expression" dxfId="618" priority="3624">
      <formula>$W$45="%"</formula>
    </cfRule>
  </conditionalFormatting>
  <conditionalFormatting sqref="W11:W27">
    <cfRule type="cellIs" dxfId="617" priority="508" operator="equal">
      <formula>"ea"</formula>
    </cfRule>
    <cfRule type="cellIs" dxfId="616" priority="509" operator="equal">
      <formula>"ec"</formula>
    </cfRule>
    <cfRule type="cellIs" dxfId="615" priority="510" operator="equal">
      <formula>"ok"</formula>
    </cfRule>
  </conditionalFormatting>
  <conditionalFormatting sqref="W39:W46 Z39:Z46 AC39:AC46">
    <cfRule type="cellIs" dxfId="614" priority="3654" operator="equal">
      <formula>"€"</formula>
    </cfRule>
    <cfRule type="cellIs" dxfId="613" priority="3655" operator="equal">
      <formula>"%"</formula>
    </cfRule>
  </conditionalFormatting>
  <conditionalFormatting sqref="W285">
    <cfRule type="cellIs" dxfId="612" priority="571" operator="equal">
      <formula>1</formula>
    </cfRule>
  </conditionalFormatting>
  <conditionalFormatting sqref="X39:Y40">
    <cfRule type="expression" dxfId="611" priority="3621">
      <formula>$Z$39="€"</formula>
    </cfRule>
    <cfRule type="expression" dxfId="610" priority="3622">
      <formula>$Z$39="%"</formula>
    </cfRule>
  </conditionalFormatting>
  <conditionalFormatting sqref="X41:Y42">
    <cfRule type="expression" dxfId="609" priority="3619">
      <formula>$Z$41="€"</formula>
    </cfRule>
    <cfRule type="expression" dxfId="608" priority="3620">
      <formula>$Z$41="%"</formula>
    </cfRule>
  </conditionalFormatting>
  <conditionalFormatting sqref="X43:Y44">
    <cfRule type="expression" dxfId="607" priority="3617">
      <formula>$Z$43="€"</formula>
    </cfRule>
    <cfRule type="expression" dxfId="606" priority="3618">
      <formula>$Z$43="%"</formula>
    </cfRule>
  </conditionalFormatting>
  <conditionalFormatting sqref="X45:Y46">
    <cfRule type="expression" dxfId="605" priority="3615">
      <formula>$Z$45="€"</formula>
    </cfRule>
    <cfRule type="expression" dxfId="604" priority="3616">
      <formula>$Z$45="%"</formula>
    </cfRule>
  </conditionalFormatting>
  <conditionalFormatting sqref="Z11:Z27">
    <cfRule type="cellIs" dxfId="603" priority="503" operator="equal">
      <formula>"ea"</formula>
    </cfRule>
    <cfRule type="cellIs" dxfId="602" priority="504" operator="equal">
      <formula>"ec"</formula>
    </cfRule>
    <cfRule type="cellIs" dxfId="601" priority="505" operator="equal">
      <formula>"ok"</formula>
    </cfRule>
  </conditionalFormatting>
  <conditionalFormatting sqref="Z60:Z61 AC60:AC61 AF60:AF61 AI60:AI61 AL60:AL61 AO60:AO61 AR60:AR61">
    <cfRule type="cellIs" dxfId="600" priority="213" operator="equal">
      <formula>"ea"</formula>
    </cfRule>
    <cfRule type="cellIs" dxfId="599" priority="214" operator="equal">
      <formula>"ec"</formula>
    </cfRule>
    <cfRule type="cellIs" dxfId="598" priority="215" operator="equal">
      <formula>"ok"</formula>
    </cfRule>
  </conditionalFormatting>
  <conditionalFormatting sqref="Z285">
    <cfRule type="cellIs" dxfId="597" priority="570" operator="equal">
      <formula>1</formula>
    </cfRule>
  </conditionalFormatting>
  <conditionalFormatting sqref="AA39:AB40">
    <cfRule type="expression" dxfId="596" priority="3652">
      <formula>$AC$39="€"</formula>
    </cfRule>
    <cfRule type="expression" dxfId="595" priority="3653">
      <formula>$AC$39="%"</formula>
    </cfRule>
  </conditionalFormatting>
  <conditionalFormatting sqref="AA41:AB42">
    <cfRule type="expression" dxfId="594" priority="3650">
      <formula>$AC$41="€"</formula>
    </cfRule>
    <cfRule type="expression" dxfId="593" priority="3651">
      <formula>$AC$41="%"</formula>
    </cfRule>
  </conditionalFormatting>
  <conditionalFormatting sqref="AA43:AB44">
    <cfRule type="expression" dxfId="592" priority="3648">
      <formula>$AC$43="€"</formula>
    </cfRule>
    <cfRule type="expression" dxfId="591" priority="3649">
      <formula>$AC$43="%"</formula>
    </cfRule>
  </conditionalFormatting>
  <conditionalFormatting sqref="AA45:AB46">
    <cfRule type="expression" dxfId="590" priority="3646">
      <formula>$AC$45="€"</formula>
    </cfRule>
    <cfRule type="expression" dxfId="589" priority="3647">
      <formula>$AC$45="%"</formula>
    </cfRule>
  </conditionalFormatting>
  <conditionalFormatting sqref="AC11:AC27">
    <cfRule type="cellIs" dxfId="588" priority="498" operator="equal">
      <formula>"ea"</formula>
    </cfRule>
    <cfRule type="cellIs" dxfId="587" priority="499" operator="equal">
      <formula>"ec"</formula>
    </cfRule>
    <cfRule type="cellIs" dxfId="586" priority="500" operator="equal">
      <formula>"ok"</formula>
    </cfRule>
  </conditionalFormatting>
  <conditionalFormatting sqref="AC285">
    <cfRule type="cellIs" dxfId="585" priority="569" operator="equal">
      <formula>1</formula>
    </cfRule>
  </conditionalFormatting>
  <conditionalFormatting sqref="AD39:AE40">
    <cfRule type="expression" dxfId="584" priority="3605">
      <formula>$AF$39="€"</formula>
    </cfRule>
    <cfRule type="expression" dxfId="583" priority="3606">
      <formula>$AF$39="%"</formula>
    </cfRule>
  </conditionalFormatting>
  <conditionalFormatting sqref="AD41:AE42">
    <cfRule type="expression" dxfId="582" priority="3603">
      <formula>$AF$41="€"</formula>
    </cfRule>
    <cfRule type="expression" dxfId="581" priority="3604">
      <formula>$AF$41="%"</formula>
    </cfRule>
  </conditionalFormatting>
  <conditionalFormatting sqref="AD43:AE44">
    <cfRule type="expression" dxfId="580" priority="3601">
      <formula>$AF$43="€"</formula>
    </cfRule>
    <cfRule type="expression" dxfId="579" priority="3602">
      <formula>$AF$43="%"</formula>
    </cfRule>
  </conditionalFormatting>
  <conditionalFormatting sqref="AD45:AE46">
    <cfRule type="expression" dxfId="578" priority="3599">
      <formula>$AF$45="€"</formula>
    </cfRule>
    <cfRule type="expression" dxfId="577" priority="3600">
      <formula>$AF$45="%"</formula>
    </cfRule>
  </conditionalFormatting>
  <conditionalFormatting sqref="AF11:AF27">
    <cfRule type="cellIs" dxfId="576" priority="493" operator="equal">
      <formula>"ea"</formula>
    </cfRule>
    <cfRule type="cellIs" dxfId="575" priority="494" operator="equal">
      <formula>"ec"</formula>
    </cfRule>
    <cfRule type="cellIs" dxfId="574" priority="495" operator="equal">
      <formula>"ok"</formula>
    </cfRule>
  </conditionalFormatting>
  <conditionalFormatting sqref="AF39:AF46">
    <cfRule type="cellIs" dxfId="573" priority="3607" operator="equal">
      <formula>"€"</formula>
    </cfRule>
    <cfRule type="cellIs" dxfId="572" priority="3608" operator="equal">
      <formula>"%"</formula>
    </cfRule>
  </conditionalFormatting>
  <conditionalFormatting sqref="AF285">
    <cfRule type="cellIs" dxfId="571" priority="568" operator="equal">
      <formula>1</formula>
    </cfRule>
  </conditionalFormatting>
  <conditionalFormatting sqref="AG39:AH40">
    <cfRule type="expression" dxfId="570" priority="3593">
      <formula>$AI$39="€"</formula>
    </cfRule>
    <cfRule type="expression" dxfId="569" priority="3594">
      <formula>$AI$39="%"</formula>
    </cfRule>
  </conditionalFormatting>
  <conditionalFormatting sqref="AG41:AH42">
    <cfRule type="expression" dxfId="568" priority="3591">
      <formula>$AI$41="€"</formula>
    </cfRule>
    <cfRule type="expression" dxfId="567" priority="3592">
      <formula>$AI$41="%"</formula>
    </cfRule>
  </conditionalFormatting>
  <conditionalFormatting sqref="AG43:AH44">
    <cfRule type="expression" dxfId="566" priority="3589">
      <formula>$AI$43="€"</formula>
    </cfRule>
    <cfRule type="expression" dxfId="565" priority="3590">
      <formula>$AI$43="%"</formula>
    </cfRule>
  </conditionalFormatting>
  <conditionalFormatting sqref="AG45:AH46">
    <cfRule type="expression" dxfId="564" priority="3587">
      <formula>$AI$45="€"</formula>
    </cfRule>
    <cfRule type="expression" dxfId="563" priority="3588">
      <formula>$AI$45="%"</formula>
    </cfRule>
  </conditionalFormatting>
  <conditionalFormatting sqref="AI11:AI27">
    <cfRule type="cellIs" dxfId="562" priority="488" operator="equal">
      <formula>"ea"</formula>
    </cfRule>
    <cfRule type="cellIs" dxfId="561" priority="489" operator="equal">
      <formula>"ec"</formula>
    </cfRule>
    <cfRule type="cellIs" dxfId="560" priority="490" operator="equal">
      <formula>"ok"</formula>
    </cfRule>
  </conditionalFormatting>
  <conditionalFormatting sqref="AI39:AI46">
    <cfRule type="cellIs" dxfId="559" priority="3547" operator="equal">
      <formula>"€"</formula>
    </cfRule>
    <cfRule type="cellIs" dxfId="558" priority="3548" operator="equal">
      <formula>"%"</formula>
    </cfRule>
  </conditionalFormatting>
  <conditionalFormatting sqref="AI285">
    <cfRule type="cellIs" dxfId="557" priority="567" operator="equal">
      <formula>1</formula>
    </cfRule>
  </conditionalFormatting>
  <conditionalFormatting sqref="AJ39:AK40">
    <cfRule type="expression" dxfId="556" priority="3581">
      <formula>$AL$39="€"</formula>
    </cfRule>
    <cfRule type="expression" dxfId="555" priority="3582">
      <formula>$AL$39="%"</formula>
    </cfRule>
  </conditionalFormatting>
  <conditionalFormatting sqref="AJ41:AK42">
    <cfRule type="expression" dxfId="554" priority="3579">
      <formula>$AL$41="€"</formula>
    </cfRule>
    <cfRule type="expression" dxfId="553" priority="3580">
      <formula>$AL$41="%"</formula>
    </cfRule>
  </conditionalFormatting>
  <conditionalFormatting sqref="AJ43:AK44">
    <cfRule type="expression" dxfId="552" priority="3577">
      <formula>$AL$43="€"</formula>
    </cfRule>
    <cfRule type="expression" dxfId="551" priority="3578">
      <formula>$AL$43="%"</formula>
    </cfRule>
  </conditionalFormatting>
  <conditionalFormatting sqref="AJ45:AK46">
    <cfRule type="expression" dxfId="550" priority="3575">
      <formula>$AL$45="€"</formula>
    </cfRule>
    <cfRule type="expression" dxfId="549" priority="3576">
      <formula>$AL$45="%"</formula>
    </cfRule>
  </conditionalFormatting>
  <conditionalFormatting sqref="AL11:AL27">
    <cfRule type="cellIs" dxfId="548" priority="483" operator="equal">
      <formula>"ea"</formula>
    </cfRule>
    <cfRule type="cellIs" dxfId="547" priority="484" operator="equal">
      <formula>"ec"</formula>
    </cfRule>
    <cfRule type="cellIs" dxfId="546" priority="485" operator="equal">
      <formula>"ok"</formula>
    </cfRule>
  </conditionalFormatting>
  <conditionalFormatting sqref="AL39:AL46">
    <cfRule type="cellIs" dxfId="545" priority="3543" operator="equal">
      <formula>"€"</formula>
    </cfRule>
    <cfRule type="cellIs" dxfId="544" priority="3544" operator="equal">
      <formula>"%"</formula>
    </cfRule>
  </conditionalFormatting>
  <conditionalFormatting sqref="AL285">
    <cfRule type="cellIs" dxfId="543" priority="566" operator="equal">
      <formula>1</formula>
    </cfRule>
  </conditionalFormatting>
  <conditionalFormatting sqref="AM39:AN40">
    <cfRule type="expression" dxfId="542" priority="3569">
      <formula>$AO$39="€"</formula>
    </cfRule>
    <cfRule type="expression" dxfId="541" priority="3570">
      <formula>$AO$39="%"</formula>
    </cfRule>
  </conditionalFormatting>
  <conditionalFormatting sqref="AM41:AN42">
    <cfRule type="expression" dxfId="540" priority="3567">
      <formula>$AO$41="€"</formula>
    </cfRule>
    <cfRule type="expression" dxfId="539" priority="3568">
      <formula>$AO$41="%"</formula>
    </cfRule>
  </conditionalFormatting>
  <conditionalFormatting sqref="AM43:AN44">
    <cfRule type="expression" dxfId="538" priority="3565">
      <formula>$AO$43="€"</formula>
    </cfRule>
    <cfRule type="expression" dxfId="537" priority="3566">
      <formula>$AO$43="%"</formula>
    </cfRule>
  </conditionalFormatting>
  <conditionalFormatting sqref="AM45:AN46">
    <cfRule type="expression" dxfId="536" priority="3563">
      <formula>$AO$45="€"</formula>
    </cfRule>
    <cfRule type="expression" dxfId="535" priority="3564">
      <formula>$AO$45="%"</formula>
    </cfRule>
  </conditionalFormatting>
  <conditionalFormatting sqref="AO11:AO27">
    <cfRule type="cellIs" dxfId="534" priority="478" operator="equal">
      <formula>"ea"</formula>
    </cfRule>
    <cfRule type="cellIs" dxfId="533" priority="479" operator="equal">
      <formula>"ec"</formula>
    </cfRule>
    <cfRule type="cellIs" dxfId="532" priority="480" operator="equal">
      <formula>"ok"</formula>
    </cfRule>
  </conditionalFormatting>
  <conditionalFormatting sqref="AO39:AO46">
    <cfRule type="cellIs" dxfId="531" priority="3539" operator="equal">
      <formula>"€"</formula>
    </cfRule>
    <cfRule type="cellIs" dxfId="530" priority="3540" operator="equal">
      <formula>"%"</formula>
    </cfRule>
  </conditionalFormatting>
  <conditionalFormatting sqref="AO285">
    <cfRule type="cellIs" dxfId="529" priority="565" operator="equal">
      <formula>1</formula>
    </cfRule>
  </conditionalFormatting>
  <conditionalFormatting sqref="AP39:AQ40">
    <cfRule type="expression" dxfId="528" priority="3557">
      <formula>$AR$39="€"</formula>
    </cfRule>
    <cfRule type="expression" dxfId="527" priority="3558">
      <formula>$AR$39="%"</formula>
    </cfRule>
  </conditionalFormatting>
  <conditionalFormatting sqref="AP41:AQ42">
    <cfRule type="expression" dxfId="526" priority="3555">
      <formula>$AR$41="€"</formula>
    </cfRule>
    <cfRule type="expression" dxfId="525" priority="3556">
      <formula>$AR$41="%"</formula>
    </cfRule>
  </conditionalFormatting>
  <conditionalFormatting sqref="AP43:AQ44">
    <cfRule type="expression" dxfId="524" priority="3553">
      <formula>$AR$43="€"</formula>
    </cfRule>
    <cfRule type="expression" dxfId="523" priority="3554">
      <formula>$AR$43="%"</formula>
    </cfRule>
  </conditionalFormatting>
  <conditionalFormatting sqref="AP45:AQ46">
    <cfRule type="expression" dxfId="522" priority="3551">
      <formula>$AR$45="€"</formula>
    </cfRule>
    <cfRule type="expression" dxfId="521" priority="3552">
      <formula>$AR$45="%"</formula>
    </cfRule>
  </conditionalFormatting>
  <conditionalFormatting sqref="AR11:AR27">
    <cfRule type="cellIs" dxfId="520" priority="473" operator="equal">
      <formula>"ea"</formula>
    </cfRule>
    <cfRule type="cellIs" dxfId="519" priority="474" operator="equal">
      <formula>"ec"</formula>
    </cfRule>
    <cfRule type="cellIs" dxfId="518" priority="475" operator="equal">
      <formula>"ok"</formula>
    </cfRule>
  </conditionalFormatting>
  <conditionalFormatting sqref="AR39:AR46">
    <cfRule type="cellIs" dxfId="517" priority="3535" operator="equal">
      <formula>"€"</formula>
    </cfRule>
    <cfRule type="cellIs" dxfId="516" priority="3536" operator="equal">
      <formula>"%"</formula>
    </cfRule>
  </conditionalFormatting>
  <conditionalFormatting sqref="AR285">
    <cfRule type="cellIs" dxfId="515" priority="564" operator="equal">
      <formula>1</formula>
    </cfRule>
  </conditionalFormatting>
  <conditionalFormatting sqref="AT7:AU9">
    <cfRule type="expression" dxfId="514" priority="4681">
      <formula>AT267&lt;0</formula>
    </cfRule>
  </conditionalFormatting>
  <conditionalFormatting sqref="AT54:AU56">
    <cfRule type="expression" dxfId="513" priority="3805">
      <formula>$D$55="ExtraP Off"</formula>
    </cfRule>
  </conditionalFormatting>
  <conditionalFormatting sqref="AT57:AU59">
    <cfRule type="expression" dxfId="512" priority="3761">
      <formula>$D$58="ExtraP Off"</formula>
    </cfRule>
  </conditionalFormatting>
  <conditionalFormatting sqref="AT60:AU62">
    <cfRule type="expression" dxfId="511" priority="3760">
      <formula>$D$61="ExtraP Off"</formula>
    </cfRule>
  </conditionalFormatting>
  <conditionalFormatting sqref="AT63:AU65">
    <cfRule type="expression" dxfId="510" priority="3759">
      <formula>$D$64="ExtraP Off"</formula>
    </cfRule>
  </conditionalFormatting>
  <conditionalFormatting sqref="AT66:AU68">
    <cfRule type="expression" dxfId="509" priority="3758">
      <formula>$D$67="ExtraP Off"</formula>
    </cfRule>
  </conditionalFormatting>
  <conditionalFormatting sqref="AT69:AU71">
    <cfRule type="expression" dxfId="508" priority="3757">
      <formula>$D$70="ExtraP Off"</formula>
    </cfRule>
  </conditionalFormatting>
  <conditionalFormatting sqref="AT72:AU74">
    <cfRule type="expression" dxfId="507" priority="3756">
      <formula>$D$73="ExtraP Off"</formula>
    </cfRule>
  </conditionalFormatting>
  <conditionalFormatting sqref="AT75:AU77">
    <cfRule type="expression" dxfId="506" priority="3755">
      <formula>$D$76="ExtraP Off"</formula>
    </cfRule>
  </conditionalFormatting>
  <conditionalFormatting sqref="AT78:AU80">
    <cfRule type="expression" dxfId="505" priority="3754">
      <formula>$D$79="ExtraP Off"</formula>
    </cfRule>
  </conditionalFormatting>
  <conditionalFormatting sqref="AT81:AU83">
    <cfRule type="expression" dxfId="504" priority="3753">
      <formula>$D$82="ExtraP Off"</formula>
    </cfRule>
  </conditionalFormatting>
  <conditionalFormatting sqref="AT84:AU86">
    <cfRule type="expression" dxfId="503" priority="3752">
      <formula>$D$85="ExtraP Off"</formula>
    </cfRule>
  </conditionalFormatting>
  <conditionalFormatting sqref="AT87:AU89">
    <cfRule type="expression" dxfId="502" priority="3751">
      <formula>$D$88="ExtraP Off"</formula>
    </cfRule>
  </conditionalFormatting>
  <conditionalFormatting sqref="AT90:AU92">
    <cfRule type="expression" dxfId="501" priority="3750">
      <formula>$D$91="ExtraP Off"</formula>
    </cfRule>
  </conditionalFormatting>
  <conditionalFormatting sqref="AT93:AU95">
    <cfRule type="expression" dxfId="500" priority="3749">
      <formula>$D$94="ExtraP Off"</formula>
    </cfRule>
  </conditionalFormatting>
  <conditionalFormatting sqref="AT96:AU98">
    <cfRule type="expression" dxfId="499" priority="3748">
      <formula>$D$97="ExtraP Off"</formula>
    </cfRule>
  </conditionalFormatting>
  <conditionalFormatting sqref="AT99:AU101">
    <cfRule type="expression" dxfId="498" priority="3747">
      <formula>$D$100="ExtraP Off"</formula>
    </cfRule>
  </conditionalFormatting>
  <conditionalFormatting sqref="AT102:AU104">
    <cfRule type="expression" dxfId="497" priority="2540">
      <formula>$D$103="ExtraP Off"</formula>
    </cfRule>
  </conditionalFormatting>
  <conditionalFormatting sqref="AT105:AU107">
    <cfRule type="expression" dxfId="496" priority="2539">
      <formula>$D$106="ExtraP Off"</formula>
    </cfRule>
  </conditionalFormatting>
  <conditionalFormatting sqref="AT108:AU110">
    <cfRule type="expression" dxfId="495" priority="2538">
      <formula>$D$109="ExtraP Off"</formula>
    </cfRule>
  </conditionalFormatting>
  <conditionalFormatting sqref="AT111:AU113">
    <cfRule type="expression" dxfId="494" priority="2537">
      <formula>$D$112="ExtraP Off"</formula>
    </cfRule>
  </conditionalFormatting>
  <conditionalFormatting sqref="AT114:AU116">
    <cfRule type="expression" dxfId="493" priority="303">
      <formula>$D$115="ExtraP Off"</formula>
    </cfRule>
  </conditionalFormatting>
  <conditionalFormatting sqref="AT117:AU119">
    <cfRule type="expression" dxfId="492" priority="288">
      <formula>$D$118="ExtraP Off"</formula>
    </cfRule>
  </conditionalFormatting>
  <conditionalFormatting sqref="AT120:AU122">
    <cfRule type="expression" dxfId="491" priority="273">
      <formula>$D$121="ExtraP Off"</formula>
    </cfRule>
  </conditionalFormatting>
  <conditionalFormatting sqref="AT123:AU125">
    <cfRule type="expression" dxfId="490" priority="258">
      <formula>$D$124="ExtraP Off"</formula>
    </cfRule>
  </conditionalFormatting>
  <conditionalFormatting sqref="AT127:AU127">
    <cfRule type="cellIs" dxfId="489" priority="3806" operator="lessThan">
      <formula>0</formula>
    </cfRule>
  </conditionalFormatting>
  <conditionalFormatting sqref="AT131:AU155">
    <cfRule type="expression" dxfId="488" priority="3798">
      <formula>AT267&lt;0</formula>
    </cfRule>
  </conditionalFormatting>
  <conditionalFormatting sqref="AT160:AU162">
    <cfRule type="expression" dxfId="487" priority="3733">
      <formula>$D$161="ExtraP Off"</formula>
    </cfRule>
  </conditionalFormatting>
  <conditionalFormatting sqref="AT163:AU165">
    <cfRule type="expression" dxfId="486" priority="3732">
      <formula>$D$164="ExtraP Off"</formula>
    </cfRule>
  </conditionalFormatting>
  <conditionalFormatting sqref="AT166:AU168">
    <cfRule type="expression" dxfId="485" priority="3730">
      <formula>$D$167="ExtraP Off"</formula>
    </cfRule>
  </conditionalFormatting>
  <conditionalFormatting sqref="AT169:AU171">
    <cfRule type="expression" dxfId="484" priority="3729">
      <formula>$D$170="ExtraP Off"</formula>
    </cfRule>
  </conditionalFormatting>
  <conditionalFormatting sqref="AT172:AU174">
    <cfRule type="expression" dxfId="483" priority="3728">
      <formula>$D$173="ExtraP Off"</formula>
    </cfRule>
  </conditionalFormatting>
  <conditionalFormatting sqref="AT175:AU177">
    <cfRule type="expression" dxfId="482" priority="3727">
      <formula>$D$176="ExtraP Off"</formula>
    </cfRule>
  </conditionalFormatting>
  <conditionalFormatting sqref="AT178:AU180">
    <cfRule type="expression" dxfId="481" priority="3726">
      <formula>$D$179="ExtraP Off"</formula>
    </cfRule>
  </conditionalFormatting>
  <conditionalFormatting sqref="AT181:AU183">
    <cfRule type="expression" dxfId="480" priority="3725">
      <formula>$D$182="ExtraP Off"</formula>
    </cfRule>
  </conditionalFormatting>
  <conditionalFormatting sqref="AT184:AU186">
    <cfRule type="expression" dxfId="479" priority="2565">
      <formula>$D$185="ExtraP Off"</formula>
    </cfRule>
  </conditionalFormatting>
  <conditionalFormatting sqref="AT187:AU189">
    <cfRule type="expression" dxfId="478" priority="3723">
      <formula>$D$188="ExtraP Off"</formula>
    </cfRule>
  </conditionalFormatting>
  <conditionalFormatting sqref="AT190:AU192">
    <cfRule type="expression" dxfId="477" priority="3722">
      <formula>$D$191="ExtraP Off"</formula>
    </cfRule>
  </conditionalFormatting>
  <conditionalFormatting sqref="AT193:AU195">
    <cfRule type="expression" dxfId="476" priority="3721">
      <formula>$D$194="ExtraP Off"</formula>
    </cfRule>
  </conditionalFormatting>
  <conditionalFormatting sqref="AT196:AU198">
    <cfRule type="expression" dxfId="475" priority="2566">
      <formula>$D$197="ExtraP Off"</formula>
    </cfRule>
  </conditionalFormatting>
  <conditionalFormatting sqref="AT199:AU201">
    <cfRule type="expression" dxfId="474" priority="2564">
      <formula>$D$200="ExtraP Off"</formula>
    </cfRule>
  </conditionalFormatting>
  <conditionalFormatting sqref="AT202:AU204">
    <cfRule type="expression" dxfId="473" priority="2563">
      <formula>$D$203="ExtraP Off"</formula>
    </cfRule>
  </conditionalFormatting>
  <conditionalFormatting sqref="AT205:AU207">
    <cfRule type="expression" dxfId="472" priority="2562">
      <formula>$D$206="ExtraP Off"</formula>
    </cfRule>
  </conditionalFormatting>
  <conditionalFormatting sqref="AT208:AU210">
    <cfRule type="expression" dxfId="471" priority="305">
      <formula>$D$209="ExtraP Off"</formula>
    </cfRule>
  </conditionalFormatting>
  <conditionalFormatting sqref="AT211:AU213">
    <cfRule type="expression" dxfId="470" priority="349">
      <formula>$D$212="ExtraP Off"</formula>
    </cfRule>
  </conditionalFormatting>
  <conditionalFormatting sqref="AT214:AU216">
    <cfRule type="expression" dxfId="469" priority="334">
      <formula>$D$215="ExtraP Off"</formula>
    </cfRule>
  </conditionalFormatting>
  <conditionalFormatting sqref="AT217:AU219">
    <cfRule type="expression" dxfId="468" priority="319">
      <formula>$D$218="ExtraP Off"</formula>
    </cfRule>
  </conditionalFormatting>
  <conditionalFormatting sqref="AT220:AU220">
    <cfRule type="expression" dxfId="467" priority="3778">
      <formula>$AU$3="non"</formula>
    </cfRule>
  </conditionalFormatting>
  <conditionalFormatting sqref="AT221:AU221">
    <cfRule type="cellIs" dxfId="466" priority="3734" operator="lessThan">
      <formula>0</formula>
    </cfRule>
  </conditionalFormatting>
  <conditionalFormatting sqref="AT224:AU263">
    <cfRule type="expression" dxfId="465" priority="3803">
      <formula>AT267&lt;0</formula>
    </cfRule>
  </conditionalFormatting>
  <conditionalFormatting sqref="AT265:AU267">
    <cfRule type="expression" dxfId="464" priority="3802">
      <formula>AT307&lt;0</formula>
    </cfRule>
  </conditionalFormatting>
  <conditionalFormatting sqref="AT269:AU273">
    <cfRule type="expression" dxfId="463" priority="3801">
      <formula>AT311&lt;0</formula>
    </cfRule>
  </conditionalFormatting>
  <conditionalFormatting sqref="AT276:AU281">
    <cfRule type="expression" dxfId="462" priority="3800">
      <formula>AT318&lt;0</formula>
    </cfRule>
  </conditionalFormatting>
  <conditionalFormatting sqref="N10">
    <cfRule type="cellIs" dxfId="449" priority="195" operator="equal">
      <formula>"ea"</formula>
    </cfRule>
    <cfRule type="cellIs" dxfId="448" priority="196" operator="equal">
      <formula>"ec"</formula>
    </cfRule>
    <cfRule type="cellIs" dxfId="447" priority="197" operator="equal">
      <formula>"ok"</formula>
    </cfRule>
  </conditionalFormatting>
  <conditionalFormatting sqref="Q10">
    <cfRule type="cellIs" dxfId="446" priority="192" operator="equal">
      <formula>"ea"</formula>
    </cfRule>
    <cfRule type="cellIs" dxfId="445" priority="193" operator="equal">
      <formula>"ec"</formula>
    </cfRule>
    <cfRule type="cellIs" dxfId="444" priority="194" operator="equal">
      <formula>"ok"</formula>
    </cfRule>
  </conditionalFormatting>
  <conditionalFormatting sqref="T10">
    <cfRule type="cellIs" dxfId="443" priority="189" operator="equal">
      <formula>"ea"</formula>
    </cfRule>
    <cfRule type="cellIs" dxfId="442" priority="190" operator="equal">
      <formula>"ec"</formula>
    </cfRule>
    <cfRule type="cellIs" dxfId="441" priority="191" operator="equal">
      <formula>"ok"</formula>
    </cfRule>
  </conditionalFormatting>
  <conditionalFormatting sqref="W10">
    <cfRule type="cellIs" dxfId="440" priority="186" operator="equal">
      <formula>"ea"</formula>
    </cfRule>
    <cfRule type="cellIs" dxfId="439" priority="187" operator="equal">
      <formula>"ec"</formula>
    </cfRule>
    <cfRule type="cellIs" dxfId="438" priority="188" operator="equal">
      <formula>"ok"</formula>
    </cfRule>
  </conditionalFormatting>
  <conditionalFormatting sqref="Z10">
    <cfRule type="cellIs" dxfId="437" priority="183" operator="equal">
      <formula>"ea"</formula>
    </cfRule>
    <cfRule type="cellIs" dxfId="436" priority="184" operator="equal">
      <formula>"ec"</formula>
    </cfRule>
    <cfRule type="cellIs" dxfId="435" priority="185" operator="equal">
      <formula>"ok"</formula>
    </cfRule>
  </conditionalFormatting>
  <conditionalFormatting sqref="AC10">
    <cfRule type="cellIs" dxfId="434" priority="180" operator="equal">
      <formula>"ea"</formula>
    </cfRule>
    <cfRule type="cellIs" dxfId="433" priority="181" operator="equal">
      <formula>"ec"</formula>
    </cfRule>
    <cfRule type="cellIs" dxfId="432" priority="182" operator="equal">
      <formula>"ok"</formula>
    </cfRule>
  </conditionalFormatting>
  <conditionalFormatting sqref="AF10">
    <cfRule type="cellIs" dxfId="431" priority="177" operator="equal">
      <formula>"ea"</formula>
    </cfRule>
    <cfRule type="cellIs" dxfId="430" priority="178" operator="equal">
      <formula>"ec"</formula>
    </cfRule>
    <cfRule type="cellIs" dxfId="429" priority="179" operator="equal">
      <formula>"ok"</formula>
    </cfRule>
  </conditionalFormatting>
  <conditionalFormatting sqref="AI10">
    <cfRule type="cellIs" dxfId="428" priority="174" operator="equal">
      <formula>"ea"</formula>
    </cfRule>
    <cfRule type="cellIs" dxfId="427" priority="175" operator="equal">
      <formula>"ec"</formula>
    </cfRule>
    <cfRule type="cellIs" dxfId="426" priority="176" operator="equal">
      <formula>"ok"</formula>
    </cfRule>
  </conditionalFormatting>
  <conditionalFormatting sqref="AO10">
    <cfRule type="cellIs" dxfId="425" priority="171" operator="equal">
      <formula>"ea"</formula>
    </cfRule>
    <cfRule type="cellIs" dxfId="424" priority="172" operator="equal">
      <formula>"ec"</formula>
    </cfRule>
    <cfRule type="cellIs" dxfId="423" priority="173" operator="equal">
      <formula>"ok"</formula>
    </cfRule>
  </conditionalFormatting>
  <conditionalFormatting sqref="AL10">
    <cfRule type="cellIs" dxfId="422" priority="168" operator="equal">
      <formula>"ea"</formula>
    </cfRule>
    <cfRule type="cellIs" dxfId="421" priority="169" operator="equal">
      <formula>"ec"</formula>
    </cfRule>
    <cfRule type="cellIs" dxfId="420" priority="170" operator="equal">
      <formula>"ok"</formula>
    </cfRule>
  </conditionalFormatting>
  <conditionalFormatting sqref="AR10">
    <cfRule type="cellIs" dxfId="419" priority="165" operator="equal">
      <formula>"ea"</formula>
    </cfRule>
    <cfRule type="cellIs" dxfId="418" priority="166" operator="equal">
      <formula>"ec"</formula>
    </cfRule>
    <cfRule type="cellIs" dxfId="417" priority="167" operator="equal">
      <formula>"ok"</formula>
    </cfRule>
  </conditionalFormatting>
  <conditionalFormatting sqref="K57">
    <cfRule type="cellIs" dxfId="404" priority="150" operator="equal">
      <formula>"ea"</formula>
    </cfRule>
    <cfRule type="cellIs" dxfId="403" priority="151" operator="equal">
      <formula>"ec"</formula>
    </cfRule>
    <cfRule type="cellIs" dxfId="402" priority="152" operator="equal">
      <formula>"ok"</formula>
    </cfRule>
  </conditionalFormatting>
  <conditionalFormatting sqref="N57 Q57 T57 W57 Z57 AC57">
    <cfRule type="cellIs" dxfId="401" priority="147" operator="equal">
      <formula>"ea"</formula>
    </cfRule>
    <cfRule type="cellIs" dxfId="400" priority="148" operator="equal">
      <formula>"ec"</formula>
    </cfRule>
    <cfRule type="cellIs" dxfId="399" priority="149" operator="equal">
      <formula>"ok"</formula>
    </cfRule>
  </conditionalFormatting>
  <conditionalFormatting sqref="AF57 AI57">
    <cfRule type="cellIs" dxfId="398" priority="144" operator="equal">
      <formula>"ea"</formula>
    </cfRule>
    <cfRule type="cellIs" dxfId="397" priority="145" operator="equal">
      <formula>"ec"</formula>
    </cfRule>
    <cfRule type="cellIs" dxfId="396" priority="146" operator="equal">
      <formula>"ok"</formula>
    </cfRule>
  </conditionalFormatting>
  <conditionalFormatting sqref="AL57 AO57">
    <cfRule type="cellIs" dxfId="395" priority="141" operator="equal">
      <formula>"ea"</formula>
    </cfRule>
    <cfRule type="cellIs" dxfId="394" priority="142" operator="equal">
      <formula>"ec"</formula>
    </cfRule>
    <cfRule type="cellIs" dxfId="393" priority="143" operator="equal">
      <formula>"ok"</formula>
    </cfRule>
  </conditionalFormatting>
  <conditionalFormatting sqref="AR57">
    <cfRule type="cellIs" dxfId="392" priority="138" operator="equal">
      <formula>"ea"</formula>
    </cfRule>
    <cfRule type="cellIs" dxfId="391" priority="139" operator="equal">
      <formula>"ec"</formula>
    </cfRule>
    <cfRule type="cellIs" dxfId="390" priority="140" operator="equal">
      <formula>"ok"</formula>
    </cfRule>
  </conditionalFormatting>
  <conditionalFormatting sqref="N54 Q54">
    <cfRule type="cellIs" dxfId="389" priority="135" operator="equal">
      <formula>"ea"</formula>
    </cfRule>
    <cfRule type="cellIs" dxfId="388" priority="136" operator="equal">
      <formula>"ec"</formula>
    </cfRule>
    <cfRule type="cellIs" dxfId="387" priority="137" operator="equal">
      <formula>"ok"</formula>
    </cfRule>
  </conditionalFormatting>
  <conditionalFormatting sqref="T54 W54 Z54 AC54">
    <cfRule type="cellIs" dxfId="386" priority="132" operator="equal">
      <formula>"ea"</formula>
    </cfRule>
    <cfRule type="cellIs" dxfId="385" priority="133" operator="equal">
      <formula>"ec"</formula>
    </cfRule>
    <cfRule type="cellIs" dxfId="384" priority="134" operator="equal">
      <formula>"ok"</formula>
    </cfRule>
  </conditionalFormatting>
  <conditionalFormatting sqref="AF54 AI54 AL54 AO54 AR54">
    <cfRule type="cellIs" dxfId="383" priority="129" operator="equal">
      <formula>"ea"</formula>
    </cfRule>
    <cfRule type="cellIs" dxfId="382" priority="130" operator="equal">
      <formula>"ec"</formula>
    </cfRule>
    <cfRule type="cellIs" dxfId="381" priority="131" operator="equal">
      <formula>"ok"</formula>
    </cfRule>
  </conditionalFormatting>
  <conditionalFormatting sqref="E60:G60">
    <cfRule type="cellIs" dxfId="380" priority="128" operator="equal">
      <formula>"Indiquer le nom du projet à financer"</formula>
    </cfRule>
  </conditionalFormatting>
  <conditionalFormatting sqref="N160">
    <cfRule type="cellIs" dxfId="376" priority="125" operator="equal">
      <formula>"ea"</formula>
    </cfRule>
    <cfRule type="cellIs" dxfId="375" priority="126" operator="equal">
      <formula>"ec"</formula>
    </cfRule>
    <cfRule type="cellIs" dxfId="374" priority="127" operator="equal">
      <formula>"ok"</formula>
    </cfRule>
  </conditionalFormatting>
  <conditionalFormatting sqref="Q160">
    <cfRule type="cellIs" dxfId="373" priority="122" operator="equal">
      <formula>"ea"</formula>
    </cfRule>
    <cfRule type="cellIs" dxfId="372" priority="123" operator="equal">
      <formula>"ec"</formula>
    </cfRule>
    <cfRule type="cellIs" dxfId="371" priority="124" operator="equal">
      <formula>"ok"</formula>
    </cfRule>
  </conditionalFormatting>
  <conditionalFormatting sqref="T160">
    <cfRule type="cellIs" dxfId="370" priority="119" operator="equal">
      <formula>"ea"</formula>
    </cfRule>
    <cfRule type="cellIs" dxfId="369" priority="120" operator="equal">
      <formula>"ec"</formula>
    </cfRule>
    <cfRule type="cellIs" dxfId="368" priority="121" operator="equal">
      <formula>"ok"</formula>
    </cfRule>
  </conditionalFormatting>
  <conditionalFormatting sqref="E163:G163">
    <cfRule type="cellIs" dxfId="367" priority="118" operator="equal">
      <formula>"Indiquer le nom de la provision à financer"</formula>
    </cfRule>
  </conditionalFormatting>
  <conditionalFormatting sqref="E172:G172">
    <cfRule type="cellIs" dxfId="366" priority="117" operator="equal">
      <formula>"Indiquer le nom de la provision à financer"</formula>
    </cfRule>
  </conditionalFormatting>
  <conditionalFormatting sqref="E175:G175">
    <cfRule type="cellIs" dxfId="365" priority="116" operator="equal">
      <formula>"Indiquer le nom de la provision à financer"</formula>
    </cfRule>
  </conditionalFormatting>
  <conditionalFormatting sqref="Q163">
    <cfRule type="cellIs" dxfId="364" priority="113" operator="equal">
      <formula>"ea"</formula>
    </cfRule>
    <cfRule type="cellIs" dxfId="363" priority="114" operator="equal">
      <formula>"ec"</formula>
    </cfRule>
    <cfRule type="cellIs" dxfId="362" priority="115" operator="equal">
      <formula>"ok"</formula>
    </cfRule>
  </conditionalFormatting>
  <conditionalFormatting sqref="N169">
    <cfRule type="cellIs" dxfId="361" priority="110" operator="equal">
      <formula>"ea"</formula>
    </cfRule>
    <cfRule type="cellIs" dxfId="360" priority="111" operator="equal">
      <formula>"ec"</formula>
    </cfRule>
    <cfRule type="cellIs" dxfId="359" priority="112" operator="equal">
      <formula>"ok"</formula>
    </cfRule>
  </conditionalFormatting>
  <conditionalFormatting sqref="Q169 T169">
    <cfRule type="cellIs" dxfId="358" priority="107" operator="equal">
      <formula>"ea"</formula>
    </cfRule>
    <cfRule type="cellIs" dxfId="357" priority="108" operator="equal">
      <formula>"ec"</formula>
    </cfRule>
    <cfRule type="cellIs" dxfId="356" priority="109" operator="equal">
      <formula>"ok"</formula>
    </cfRule>
  </conditionalFormatting>
  <conditionalFormatting sqref="N172 Q172 T172">
    <cfRule type="cellIs" dxfId="355" priority="104" operator="equal">
      <formula>"ea"</formula>
    </cfRule>
    <cfRule type="cellIs" dxfId="354" priority="105" operator="equal">
      <formula>"ec"</formula>
    </cfRule>
    <cfRule type="cellIs" dxfId="353" priority="106" operator="equal">
      <formula>"ok"</formula>
    </cfRule>
  </conditionalFormatting>
  <conditionalFormatting sqref="N175 Q175 T175">
    <cfRule type="cellIs" dxfId="352" priority="101" operator="equal">
      <formula>"ea"</formula>
    </cfRule>
    <cfRule type="cellIs" dxfId="351" priority="102" operator="equal">
      <formula>"ec"</formula>
    </cfRule>
    <cfRule type="cellIs" dxfId="350" priority="103" operator="equal">
      <formula>"ok"</formula>
    </cfRule>
  </conditionalFormatting>
  <conditionalFormatting sqref="N178">
    <cfRule type="cellIs" dxfId="349" priority="98" operator="equal">
      <formula>"ea"</formula>
    </cfRule>
    <cfRule type="cellIs" dxfId="348" priority="99" operator="equal">
      <formula>"ec"</formula>
    </cfRule>
    <cfRule type="cellIs" dxfId="347" priority="100" operator="equal">
      <formula>"ok"</formula>
    </cfRule>
  </conditionalFormatting>
  <conditionalFormatting sqref="Q178">
    <cfRule type="cellIs" dxfId="346" priority="95" operator="equal">
      <formula>"ea"</formula>
    </cfRule>
    <cfRule type="cellIs" dxfId="345" priority="96" operator="equal">
      <formula>"ec"</formula>
    </cfRule>
    <cfRule type="cellIs" dxfId="344" priority="97" operator="equal">
      <formula>"ok"</formula>
    </cfRule>
  </conditionalFormatting>
  <conditionalFormatting sqref="T178">
    <cfRule type="cellIs" dxfId="343" priority="92" operator="equal">
      <formula>"ea"</formula>
    </cfRule>
    <cfRule type="cellIs" dxfId="342" priority="93" operator="equal">
      <formula>"ec"</formula>
    </cfRule>
    <cfRule type="cellIs" dxfId="341" priority="94" operator="equal">
      <formula>"ok"</formula>
    </cfRule>
  </conditionalFormatting>
  <conditionalFormatting sqref="N181 Q181 T181">
    <cfRule type="cellIs" dxfId="340" priority="89" operator="equal">
      <formula>"ea"</formula>
    </cfRule>
    <cfRule type="cellIs" dxfId="339" priority="90" operator="equal">
      <formula>"ec"</formula>
    </cfRule>
    <cfRule type="cellIs" dxfId="338" priority="91" operator="equal">
      <formula>"ok"</formula>
    </cfRule>
  </conditionalFormatting>
  <conditionalFormatting sqref="N182 Q182 T182 W182 Z182 AC182 AF182 AI182">
    <cfRule type="cellIs" dxfId="337" priority="86" operator="equal">
      <formula>"ea"</formula>
    </cfRule>
    <cfRule type="cellIs" dxfId="336" priority="87" operator="equal">
      <formula>"ec"</formula>
    </cfRule>
    <cfRule type="cellIs" dxfId="335" priority="88" operator="equal">
      <formula>"ok"</formula>
    </cfRule>
  </conditionalFormatting>
  <conditionalFormatting sqref="W181 Z181 AC181 AF181 AI181">
    <cfRule type="cellIs" dxfId="334" priority="83" operator="equal">
      <formula>"ea"</formula>
    </cfRule>
    <cfRule type="cellIs" dxfId="333" priority="84" operator="equal">
      <formula>"ec"</formula>
    </cfRule>
    <cfRule type="cellIs" dxfId="332" priority="85" operator="equal">
      <formula>"ok"</formula>
    </cfRule>
  </conditionalFormatting>
  <conditionalFormatting sqref="AL181 AO181 AR181">
    <cfRule type="cellIs" dxfId="331" priority="80" operator="equal">
      <formula>"ea"</formula>
    </cfRule>
    <cfRule type="cellIs" dxfId="330" priority="81" operator="equal">
      <formula>"ec"</formula>
    </cfRule>
    <cfRule type="cellIs" dxfId="329" priority="82" operator="equal">
      <formula>"ok"</formula>
    </cfRule>
  </conditionalFormatting>
  <conditionalFormatting sqref="AL182 AO182 AR182">
    <cfRule type="cellIs" dxfId="328" priority="77" operator="equal">
      <formula>"ea"</formula>
    </cfRule>
    <cfRule type="cellIs" dxfId="327" priority="78" operator="equal">
      <formula>"ec"</formula>
    </cfRule>
    <cfRule type="cellIs" dxfId="326" priority="79" operator="equal">
      <formula>"ok"</formula>
    </cfRule>
  </conditionalFormatting>
  <conditionalFormatting sqref="N236">
    <cfRule type="cellIs" dxfId="325" priority="74" operator="equal">
      <formula>"ea"</formula>
    </cfRule>
    <cfRule type="cellIs" dxfId="324" priority="75" operator="equal">
      <formula>"ec"</formula>
    </cfRule>
    <cfRule type="cellIs" dxfId="323" priority="76" operator="equal">
      <formula>"ok"</formula>
    </cfRule>
  </conditionalFormatting>
  <conditionalFormatting sqref="N228:N230 Q228:Q230">
    <cfRule type="cellIs" dxfId="322" priority="71" operator="equal">
      <formula>"ea"</formula>
    </cfRule>
    <cfRule type="cellIs" dxfId="321" priority="72" operator="equal">
      <formula>"ec"</formula>
    </cfRule>
    <cfRule type="cellIs" dxfId="320" priority="73" operator="equal">
      <formula>"ok"</formula>
    </cfRule>
  </conditionalFormatting>
  <conditionalFormatting sqref="N232">
    <cfRule type="cellIs" dxfId="319" priority="68" operator="equal">
      <formula>"ea"</formula>
    </cfRule>
    <cfRule type="cellIs" dxfId="318" priority="69" operator="equal">
      <formula>"ec"</formula>
    </cfRule>
    <cfRule type="cellIs" dxfId="317" priority="70" operator="equal">
      <formula>"ok"</formula>
    </cfRule>
  </conditionalFormatting>
  <conditionalFormatting sqref="Q232">
    <cfRule type="cellIs" dxfId="316" priority="65" operator="equal">
      <formula>"ea"</formula>
    </cfRule>
    <cfRule type="cellIs" dxfId="315" priority="66" operator="equal">
      <formula>"ec"</formula>
    </cfRule>
    <cfRule type="cellIs" dxfId="314" priority="67" operator="equal">
      <formula>"ok"</formula>
    </cfRule>
  </conditionalFormatting>
  <conditionalFormatting sqref="T232">
    <cfRule type="cellIs" dxfId="313" priority="62" operator="equal">
      <formula>"ea"</formula>
    </cfRule>
    <cfRule type="cellIs" dxfId="312" priority="63" operator="equal">
      <formula>"ec"</formula>
    </cfRule>
    <cfRule type="cellIs" dxfId="311" priority="64" operator="equal">
      <formula>"ok"</formula>
    </cfRule>
  </conditionalFormatting>
  <conditionalFormatting sqref="L39:M40 O39:P40">
    <cfRule type="expression" dxfId="310" priority="58">
      <formula>$K$39="€"</formula>
    </cfRule>
    <cfRule type="expression" dxfId="309" priority="59">
      <formula>$K$39="%"</formula>
    </cfRule>
  </conditionalFormatting>
  <conditionalFormatting sqref="L41:M42 O41:P42">
    <cfRule type="expression" dxfId="308" priority="56">
      <formula>$K$41="€"</formula>
    </cfRule>
    <cfRule type="expression" dxfId="307" priority="57">
      <formula>$K$41="%"</formula>
    </cfRule>
  </conditionalFormatting>
  <conditionalFormatting sqref="L43:M44 O43:P44">
    <cfRule type="expression" dxfId="306" priority="54">
      <formula>$K$43="€"</formula>
    </cfRule>
    <cfRule type="expression" dxfId="305" priority="55">
      <formula>$K$43="%"</formula>
    </cfRule>
  </conditionalFormatting>
  <conditionalFormatting sqref="L45:M46 O45:P46">
    <cfRule type="expression" dxfId="304" priority="52">
      <formula>$K$45="€"</formula>
    </cfRule>
    <cfRule type="expression" dxfId="303" priority="53">
      <formula>$K$45="%"</formula>
    </cfRule>
  </conditionalFormatting>
  <conditionalFormatting sqref="N39:N46 Q39:Q46">
    <cfRule type="cellIs" dxfId="302" priority="60" operator="equal">
      <formula>"€"</formula>
    </cfRule>
    <cfRule type="cellIs" dxfId="301" priority="61" operator="equal">
      <formula>"%"</formula>
    </cfRule>
  </conditionalFormatting>
  <conditionalFormatting sqref="R39:S40">
    <cfRule type="expression" dxfId="300" priority="48">
      <formula>$K$39="€"</formula>
    </cfRule>
    <cfRule type="expression" dxfId="299" priority="49">
      <formula>$K$39="%"</formula>
    </cfRule>
  </conditionalFormatting>
  <conditionalFormatting sqref="R41:S42">
    <cfRule type="expression" dxfId="298" priority="46">
      <formula>$K$41="€"</formula>
    </cfRule>
    <cfRule type="expression" dxfId="297" priority="47">
      <formula>$K$41="%"</formula>
    </cfRule>
  </conditionalFormatting>
  <conditionalFormatting sqref="R43:S44">
    <cfRule type="expression" dxfId="296" priority="44">
      <formula>$K$43="€"</formula>
    </cfRule>
    <cfRule type="expression" dxfId="295" priority="45">
      <formula>$K$43="%"</formula>
    </cfRule>
  </conditionalFormatting>
  <conditionalFormatting sqref="R45:S46">
    <cfRule type="expression" dxfId="294" priority="42">
      <formula>$K$45="€"</formula>
    </cfRule>
    <cfRule type="expression" dxfId="293" priority="43">
      <formula>$K$45="%"</formula>
    </cfRule>
  </conditionalFormatting>
  <conditionalFormatting sqref="T39:T46">
    <cfRule type="cellIs" dxfId="292" priority="50" operator="equal">
      <formula>"€"</formula>
    </cfRule>
    <cfRule type="cellIs" dxfId="291" priority="51" operator="equal">
      <formula>"%"</formula>
    </cfRule>
  </conditionalFormatting>
  <conditionalFormatting sqref="Q63">
    <cfRule type="cellIs" dxfId="290" priority="39" operator="equal">
      <formula>"ea"</formula>
    </cfRule>
    <cfRule type="cellIs" dxfId="289" priority="40" operator="equal">
      <formula>"ec"</formula>
    </cfRule>
    <cfRule type="cellIs" dxfId="288" priority="41" operator="equal">
      <formula>"ok"</formula>
    </cfRule>
  </conditionalFormatting>
  <conditionalFormatting sqref="N66 Q66 T66">
    <cfRule type="cellIs" dxfId="287" priority="36" operator="equal">
      <formula>"ea"</formula>
    </cfRule>
    <cfRule type="cellIs" dxfId="286" priority="37" operator="equal">
      <formula>"ec"</formula>
    </cfRule>
    <cfRule type="cellIs" dxfId="285" priority="38" operator="equal">
      <formula>"ok"</formula>
    </cfRule>
  </conditionalFormatting>
  <conditionalFormatting sqref="N69">
    <cfRule type="cellIs" dxfId="284" priority="33" operator="equal">
      <formula>"ea"</formula>
    </cfRule>
    <cfRule type="cellIs" dxfId="283" priority="34" operator="equal">
      <formula>"ec"</formula>
    </cfRule>
    <cfRule type="cellIs" dxfId="282" priority="35" operator="equal">
      <formula>"ok"</formula>
    </cfRule>
  </conditionalFormatting>
  <conditionalFormatting sqref="Q69">
    <cfRule type="cellIs" dxfId="281" priority="30" operator="equal">
      <formula>"ea"</formula>
    </cfRule>
    <cfRule type="cellIs" dxfId="280" priority="31" operator="equal">
      <formula>"ec"</formula>
    </cfRule>
    <cfRule type="cellIs" dxfId="279" priority="32" operator="equal">
      <formula>"ok"</formula>
    </cfRule>
  </conditionalFormatting>
  <conditionalFormatting sqref="T69">
    <cfRule type="cellIs" dxfId="278" priority="27" operator="equal">
      <formula>"ea"</formula>
    </cfRule>
    <cfRule type="cellIs" dxfId="277" priority="28" operator="equal">
      <formula>"ec"</formula>
    </cfRule>
    <cfRule type="cellIs" dxfId="276" priority="29" operator="equal">
      <formula>"ok"</formula>
    </cfRule>
  </conditionalFormatting>
  <conditionalFormatting sqref="N72">
    <cfRule type="cellIs" dxfId="275" priority="24" operator="equal">
      <formula>"ea"</formula>
    </cfRule>
    <cfRule type="cellIs" dxfId="274" priority="25" operator="equal">
      <formula>"ec"</formula>
    </cfRule>
    <cfRule type="cellIs" dxfId="273" priority="26" operator="equal">
      <formula>"ok"</formula>
    </cfRule>
  </conditionalFormatting>
  <conditionalFormatting sqref="Q72">
    <cfRule type="cellIs" dxfId="272" priority="21" operator="equal">
      <formula>"ea"</formula>
    </cfRule>
    <cfRule type="cellIs" dxfId="271" priority="22" operator="equal">
      <formula>"ec"</formula>
    </cfRule>
    <cfRule type="cellIs" dxfId="270" priority="23" operator="equal">
      <formula>"ok"</formula>
    </cfRule>
  </conditionalFormatting>
  <conditionalFormatting sqref="T72">
    <cfRule type="cellIs" dxfId="269" priority="18" operator="equal">
      <formula>"ea"</formula>
    </cfRule>
    <cfRule type="cellIs" dxfId="268" priority="19" operator="equal">
      <formula>"ec"</formula>
    </cfRule>
    <cfRule type="cellIs" dxfId="267" priority="20" operator="equal">
      <formula>"ok"</formula>
    </cfRule>
  </conditionalFormatting>
  <conditionalFormatting sqref="N78">
    <cfRule type="cellIs" dxfId="266" priority="15" operator="equal">
      <formula>"ea"</formula>
    </cfRule>
    <cfRule type="cellIs" dxfId="265" priority="16" operator="equal">
      <formula>"ec"</formula>
    </cfRule>
    <cfRule type="cellIs" dxfId="264" priority="17" operator="equal">
      <formula>"ok"</formula>
    </cfRule>
  </conditionalFormatting>
  <conditionalFormatting sqref="Q78">
    <cfRule type="cellIs" dxfId="263" priority="12" operator="equal">
      <formula>"ea"</formula>
    </cfRule>
    <cfRule type="cellIs" dxfId="262" priority="13" operator="equal">
      <formula>"ec"</formula>
    </cfRule>
    <cfRule type="cellIs" dxfId="261" priority="14" operator="equal">
      <formula>"ok"</formula>
    </cfRule>
  </conditionalFormatting>
  <conditionalFormatting sqref="T78">
    <cfRule type="cellIs" dxfId="260" priority="9" operator="equal">
      <formula>"ea"</formula>
    </cfRule>
    <cfRule type="cellIs" dxfId="259" priority="10" operator="equal">
      <formula>"ec"</formula>
    </cfRule>
    <cfRule type="cellIs" dxfId="258" priority="11" operator="equal">
      <formula>"ok"</formula>
    </cfRule>
  </conditionalFormatting>
  <conditionalFormatting sqref="E81:G81">
    <cfRule type="cellIs" dxfId="257" priority="8" operator="equal">
      <formula>"Indiquer le nom du projet à financer"</formula>
    </cfRule>
  </conditionalFormatting>
  <conditionalFormatting sqref="N81">
    <cfRule type="cellIs" dxfId="256" priority="5" operator="equal">
      <formula>"ea"</formula>
    </cfRule>
    <cfRule type="cellIs" dxfId="255" priority="6" operator="equal">
      <formula>"ec"</formula>
    </cfRule>
    <cfRule type="cellIs" dxfId="254" priority="7" operator="equal">
      <formula>"ok"</formula>
    </cfRule>
  </conditionalFormatting>
  <conditionalFormatting sqref="Q81">
    <cfRule type="cellIs" dxfId="253" priority="2" operator="equal">
      <formula>"ea"</formula>
    </cfRule>
    <cfRule type="cellIs" dxfId="252" priority="3" operator="equal">
      <formula>"ec"</formula>
    </cfRule>
    <cfRule type="cellIs" dxfId="251" priority="4" operator="equal">
      <formula>"ok"</formula>
    </cfRule>
  </conditionalFormatting>
  <conditionalFormatting sqref="E87:G87">
    <cfRule type="cellIs" dxfId="250" priority="1" operator="equal">
      <formula>"Indiquer le nom du projet à financer"</formula>
    </cfRule>
  </conditionalFormatting>
  <dataValidations count="12">
    <dataValidation type="list" allowBlank="1" showInputMessage="1" sqref="F10:F27" xr:uid="{00000000-0002-0000-0200-000000000000}">
      <formula1>REV</formula1>
    </dataValidation>
    <dataValidation type="list" allowBlank="1" showInputMessage="1" showErrorMessage="1" sqref="E135:F135 E151:F151 E149:F149 E145:F145 E141:F141 E137:F137 E147:F147 E143:F143 E153:F153 E139:F139" xr:uid="{00000000-0002-0000-0200-000001000000}">
      <formula1>DATE</formula1>
    </dataValidation>
    <dataValidation type="list" allowBlank="1" showInputMessage="1" showErrorMessage="1" sqref="E166:H166 E196:H196 E190:H190 E184:H184 E178:H178 E172:H172 E169:H169 E187:H187 E181:H181 E175:H175 E193:H193 E205:H205 E202:H202 E199:H199 E163:H163 E160:G160 E208:H208 E211:H211 E214:H214 E217:H217" xr:uid="{00000000-0002-0000-0200-000002000000}">
      <formula1>PROV</formula1>
    </dataValidation>
    <dataValidation type="list" allowBlank="1" showInputMessage="1" sqref="E228:H247" xr:uid="{00000000-0002-0000-0200-000003000000}">
      <formula1>DFIX</formula1>
    </dataValidation>
    <dataValidation type="list" allowBlank="1" showInputMessage="1" showErrorMessage="1" sqref="E204:H204 E62:H62 E68:H68 E65:H65 E71:H71 E74:H74 E80:H80 E162:H162 E110:H110 E56:G56 E168:H168 E174:H174 E77:H77 E183:H183 E86:H86 E165:H165 E171:H171 E177:H177 E180:H180 E186:H186 E189:H189 E98:H98 E83:H83 E95:H95 E89:H89 E92:H92 E192:H192 E195:H195 E198:H198 E201:H201 E104:H104 E101:H101 E107:H107 E219:H219 E59:H59 E207:H207 E210:H210 E213:H213 E216:H216 E113:H113 E116:H116 E119:H119 E122:H122 E125:H125" xr:uid="{00000000-0002-0000-0200-000004000000}">
      <formula1>VCDE</formula1>
    </dataValidation>
    <dataValidation type="list" allowBlank="1" showInputMessage="1" showErrorMessage="1" sqref="E10:E27" xr:uid="{00000000-0002-0000-0200-000005000000}">
      <formula1>DIME</formula1>
    </dataValidation>
    <dataValidation type="list" allowBlank="1" showInputMessage="1" sqref="E249:H260" xr:uid="{00000000-0002-0000-0200-000006000000}">
      <formula1>DVAR</formula1>
    </dataValidation>
    <dataValidation type="list" allowBlank="1" sqref="E57:H57 E60:H60 E69:H69 E66:H66 E102:H102 E63:H63 E72:H72 E78:H78 E81:H81 E54:H54 E75:H75 E84:H84 E87:H87 E90:H90 E99:H99 E105:H105 E108:H108 E93:H93 E96:H96 E111:H111 H114 H120 H117 H123" xr:uid="{00000000-0002-0000-0200-000007000000}">
      <formula1>EPARBUT</formula1>
    </dataValidation>
    <dataValidation type="list" allowBlank="1" sqref="E136:H136 E138:H138 E140:H140 E152:H152 E142:H142 E144:H144 E146:H146 E148:H148 E150:H150 E134:H134" xr:uid="{00000000-0002-0000-0200-000008000000}">
      <formula1>CREDIT</formula1>
    </dataValidation>
    <dataValidation type="list" allowBlank="1" showInputMessage="1" sqref="H160" xr:uid="{00000000-0002-0000-0200-000009000000}">
      <formula1>PROV</formula1>
    </dataValidation>
    <dataValidation type="list" allowBlank="1" showInputMessage="1" showErrorMessage="1" errorTitle="Message d'aide" error="Il faut sélectionner un compte figurant dans la liste." sqref="H56" xr:uid="{00000000-0002-0000-0200-00000A000000}">
      <formula1>VCDE</formula1>
    </dataValidation>
    <dataValidation type="list" allowBlank="1" showInputMessage="1" showErrorMessage="1" sqref="E227:H227" xr:uid="{00000000-0002-0000-0200-00000B000000}">
      <formula1>DFIX</formula1>
    </dataValidation>
  </dataValidations>
  <hyperlinks>
    <hyperlink ref="E53:G53" location="'Menu 2'!A1" tooltip="Accéder au menu de configuration de vos solutions d'épargne" display="Configurez vos comptes d'épargne (en cliquant ici)" xr:uid="{00000000-0004-0000-0200-000000000000}"/>
    <hyperlink ref="F273" r:id="rId1" display="Pour une meilleure prise en main, découvrez des vidéos de tutorials et des propositions de bugets types sur le site www.budget-gold.com" xr:uid="{00000000-0004-0000-0200-000001000000}"/>
    <hyperlink ref="A2:D3" location="Menu!A1" tooltip="Accéder au menu de configuration générale" display="Accès au MENU" xr:uid="{00000000-0004-0000-0200-000002000000}"/>
    <hyperlink ref="I269:K270" location="'Vir 1'!A1" tooltip="Mouvements des épargnes et provisions du mois" display="Synthèse des mouvements d'épargne/provisions" xr:uid="{00000000-0004-0000-0200-000003000000}"/>
    <hyperlink ref="L269:N270" location="'Vir 2'!A1" tooltip="Mouvements des épargnes et provisions du mois" display="Synthèse des mouvements d'épargne/provisions" xr:uid="{00000000-0004-0000-0200-000004000000}"/>
    <hyperlink ref="O269:Q270" location="'Vir 3'!A1" tooltip="Mouvements des épargnes et provisions du mois" display="Synthèse des mouvements d'épargne/provisions" xr:uid="{00000000-0004-0000-0200-000005000000}"/>
    <hyperlink ref="R269:T270" location="'Vir 4'!A1" tooltip="Mouvements des épargnes et provisions du mois" display="Synthèse des mouvements d'épargne/provisions" xr:uid="{00000000-0004-0000-0200-000006000000}"/>
    <hyperlink ref="U269:W270" location="'Vir 5'!A1" tooltip="Mouvements des épargnes et provisions du mois" display="Synthèse des mouvements d'épargne/provisions" xr:uid="{00000000-0004-0000-0200-000007000000}"/>
    <hyperlink ref="X269:Z270" location="'Vir 6'!A1" tooltip="Mouvements des épargnes et provisions du mois" display="Synthèse des mouvements d'épargne/provisions" xr:uid="{00000000-0004-0000-0200-000008000000}"/>
    <hyperlink ref="AA269:AC270" location="'Vir 7'!A1" tooltip="Mouvements des épargnes et provisions du mois" display="Synthèse des mouvements d'épargne/provisions" xr:uid="{00000000-0004-0000-0200-000009000000}"/>
    <hyperlink ref="AD269:AF270" location="'Vir 8'!A1" tooltip="Mouvements des épargnes et provisions du mois" display="Synthèse des mouvements d'épargne/provisions" xr:uid="{00000000-0004-0000-0200-00000A000000}"/>
    <hyperlink ref="AG269:AI270" location="'Vir 9'!A1" tooltip="Mouvements des épargnes et provisions du mois" display="Synthèse des mouvements d'épargne/provisions" xr:uid="{00000000-0004-0000-0200-00000B000000}"/>
    <hyperlink ref="AJ269:AL270" location="'Vir 10'!A1" tooltip="Mouvements des épargnes et provisions du mois" display="Synthèse des mouvements d'épargne/provisions" xr:uid="{00000000-0004-0000-0200-00000C000000}"/>
    <hyperlink ref="AM269:AO270" location="'Vir 11'!A1" tooltip="Mouvements des épargnes et provisions du mois" display="Synthèse des mouvements d'épargne/provisions" xr:uid="{00000000-0004-0000-0200-00000D000000}"/>
    <hyperlink ref="AP269:AR270" location="'Vir 12'!A1" tooltip="Mouvements des épargnes et provisions du mois" display="Synthèse des mouvements d'épargne/provisions" xr:uid="{00000000-0004-0000-0200-00000E000000}"/>
    <hyperlink ref="E159:G159" location="'Menu 2'!A1" tooltip="Accéder au menu de configuration de vos solutions d'épargne" display="Configurez vos comptes d'épargne (en cliquant ici)" xr:uid="{00000000-0004-0000-0200-00000F000000}"/>
    <hyperlink ref="AY53:BA53" location="'Menu 2'!A1" tooltip="Accéder au menu de configuration de vos solutions d'épargne" display="Configurez vos comptes d'épargne (en cliquant ici)" xr:uid="{00000000-0004-0000-0200-000010000000}"/>
    <hyperlink ref="AY159:BA159" location="'Menu 2'!A1" tooltip="Accéder au menu de configuration de vos solutions d'épargne" display="Configurez vos comptes d'épargne (en cliquant ici)" xr:uid="{00000000-0004-0000-0200-000011000000}"/>
    <hyperlink ref="A4:D4" location="Simulateur!A1" tooltip="Simuler une épargne" display="Simulateur d'épargne" xr:uid="{00000000-0004-0000-0200-000012000000}"/>
    <hyperlink ref="D51:D53" location="Synthèse!A1" display="Mouvements d'épargne et de provisions" xr:uid="{00000000-0004-0000-0200-000013000000}"/>
    <hyperlink ref="D157:D159" location="Synthèse!A1" display="Mouvements d'épargne et de provisions" xr:uid="{00000000-0004-0000-0200-000014000000}"/>
    <hyperlink ref="E41:E42" location="'Budget Gold'!A107" tooltip="Accès direct à la Section 2 : Dettes et crédits" display="S2" xr:uid="{00000000-0004-0000-0200-000015000000}"/>
    <hyperlink ref="E39:E40" location="'Budget Gold'!A55" tooltip="Accès direct à la Section 1 : Epargnes &amp; Placements" display="S1" xr:uid="{00000000-0004-0000-0200-000016000000}"/>
    <hyperlink ref="E43:E44" location="'Budget Gold'!A140" tooltip="Accès direct à la Section 3 : Réserves et provisons" display="S3" xr:uid="{00000000-0004-0000-0200-000017000000}"/>
    <hyperlink ref="E45:E46" location="'Budget Gold'!A180" tooltip="Accès direct à la Section 4 : Dépenses courantes" display="S4" xr:uid="{00000000-0004-0000-0200-000018000000}"/>
    <hyperlink ref="F9:G9" location="'Menu 2'!A1" tooltip="Accéder à la configuration de vos comptes bancaires" display="Configurez vos comptes courants (en cliquant ici)" xr:uid="{00000000-0004-0000-0200-000019000000}"/>
  </hyperlinks>
  <pageMargins left="1" right="1" top="1" bottom="1" header="0.5" footer="0.5"/>
  <pageSetup paperSize="9" scale="14" orientation="portrait" r:id="rId2"/>
  <headerFooter alignWithMargins="0"/>
  <drawing r:id="rId3"/>
  <legacyDrawing r:id="rId4"/>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C000000}">
          <x14:formula1>
            <xm:f>Données!$F$25:$F$28</xm:f>
          </x14:formula1>
          <xm:sqref>Z96:Z97 W54:W55 N152 Q78:Q79 AO144 AO148 AI81:AI82 Z138 AL144 AL148 AL105:AL106 N54:N55 AL54:AL55 K138 N136 N140 N144 N148 W99:W100 N138 N142 AI99:AI100 AI152 AF152 AC152 Z152 K152 W152 T152 K87:K88 Q152 AO152 W138 N84:N85 AC142 AC146 AF99:AF100 T138 Z142 Z146 Z108:Z109 T78:T79 K142 K146 AT146:AU146 Q138 W142 W146 AR99:AR100 T142 T146 Z99:Z100 Q72:Q73 AT150:AU150 AT134:AU134 Q142 AI150 AC63:AC64 AO142 AL142 AF150 AF190:AF191 AC150 Z150 K150 W150 T150 Q146 N134 AO146 AR144 AL146 Q111:Q112 K134 Q96:Q97 AI63:AI64 AR142 AF75:AF76 W93:W94 AO96:AO97 Q150 W78:W79 Q134 Z78:Z79 AR148 AF90:AF91 AR150 AR146 AL96:AL97 W96:W97 AC90:AC91 T93:T94 AI93:AI94 AO93:AO94 N99:N100 AT152:AU152 AF93:AF94 T96:T97 AO150 AL150 K96:K97 AF81:AF82 N96:N97 AC93:AC94 AC57:AC58 AC60:AC61 AL66:AL67 AR96:AR97 Z69:Z70 AO72:AO73 AO75:AO76 N146 Q63:Q64 AC84:AC85 Q84:Q85 N90:N91 N93:N94 W81:W82 AC78:AC79 K160:K161 AC227:AC261 AF78:AF79 T81:T82 AI78:AI79 AR78:AR79 AO78:AO79 Z81:Z82 AC81:AC82 K54:K55 N57:N58 Z60:Z61 N66:N67 W66:W67 AO69:AO70 T66:T67 AR75:AR76 AR81:AR82 AL84:AL85 Z84:Z85 K90:K91 K93:K94 AI54:AI55 T54:T55 Q54:Q55 AL78:AL79 AL152 Q57:Q58 AF136 N227:N261 AI144 AI148 K99:K100 T227:T261 AI142 AI146 N150 AF54:AF55 AC54:AC55 AR54:AR55 AO57:AO58 AL57:AL58 W57:W58 T57:T58 AI57:AI58 Q60:Q61 AO60:AO61 AL60:AL61 W60:W61 AI87:AI88 K57:K58 T60:T61 Z63:Z64 Z87:Z88 AO90:AO91 Z90:Z91 Q99:Q100 AO99:AO100 N60:N61 Z93:Z94 AI66:AI67 AF196:AF197 AF66:AF67 Q66:Q67 AR93:AR94 AR57:AR58 AC66:AC67 K66:K67 AL69:AL70 AR66:AR67 W69:W70 K63:K64 T69:T70 K60:K61 AI96:AI97 AI69:AI70 Q69:Q70 AF187:AF188 W72:W73 T72:T73 AT136:AU136 AI75:AI76 AF199:AF200 AR69:AR70 AI72:AI73 AR72:AR73 N69:N70 Z54:Z55 AL75:AL76 K75:K76 Z75:Z76 N78:N79 N75:N76 Q199:Q200 Q196:Q197 N72:N73 K72:K73 AO63:AO64 AL63:AL64 W63:W64 T63:T64 AR60:AR61 AO84:AO85 N63:N64 AC111:AC112 T84:T85 AO81:AO82 W84:W85 AF178:AF179 Z57:Z58 Q87:Q88 AF63:AF64 K81:K82 AO87:AO88 W87:W88 T87:T88 AF57:AF58 Z66:Z67 AI84:AI85 AF60:AF61 Q90:Q91 AL87:AL88 AC87:AC88 AL90:AL91 W90:W91 AR87:AR88 AR152 AC96:AC97 T90:T91 K69:K70 K84:K85 AI90:AI91 AF87:AF88 Q93:Q94 AI136 AL136 AC136 AC140 Z136 Z140 AF144 AF148 AT140:AU140 AF69:AF70 AR63:AR64 Z72:Z73 K136 K140 W136 W140 AC144 AC148 T136 T140 Z144 Z148 AT144:AU144 AT148:AU148 K144 K148 Q136 Q140 W144 W148 AI140 T144 T148 AL140 AO136 AT138:AU138 AT142:AU142 Q144 Q148 T99:T100 AO102:AO103 AC99:AC100 AC138 AF142 AF146 AC72:AC73 AL72:AL73 AF160:AF161 AO111:AO112 Q160:Q161 AF172:AF173 AF175:AF176 AF169:AF170 AF181:AF182 Q190:Q191 W134 AF140 Z160:Z161 AI160:AI161 AR160:AR161 AF163:AF164 Q163:Q164 AL160:AL161 Z163:Z164 AI163:AI164 AR163:AR164 AL163:AL164 N163:N164 Z134 Q172:Q173 N160:N161 W160:W161 AC160:AC161 W163:W164 AF166:AF167 AC163:AC164 AO163:AO164 AR134 Q169:Q170 Z169:Z170 Q166:Q167 Z166:Z167 AI166:AI167 AR166:AR167 AL166:AL167 N166:N167 AI169:AI170 W166:W167 AR169:AR170 Z172:Z173 AI172:AI173 AL169:AL170 AR172:AR173 AL172:AL173 N169:N170 W169:W170 N172:N173 W172:W173 Q175:Q176 Z175:Z176 AI175:AI176 AR175:AR176 AL175:AL176 N175:N176 W175:W176 AC175:AC176 AO175:AO176 Q181:Q182 Z181:Z182 AC169:AC170 K163:K164 AO160:AO161 AL108:AL109 Q178:Q179 AC166:AC167 AI181:AI182 AO166:AO167 Z178:Z179 AR181:AR182 AL181:AL182 N181:N182 W181:W182 AC181:AC182 AI178:AI179 AO181:AO182 AR178:AR179 K181:K182 AF184:AF185 Q187:Q188 Q184:Q185 Z184:Z185 AI184:AI185 AR184:AR185 AL184:AL185 AL178:AL179 N184:N185 W184:W185 AC172:AC173 AO172:AO173 Z190:Z191 AO140 K166:K167 N178:N179 K175:K176 AI190:AI191 W178:W179 AR190:AR191 AL190:AL191 AC178:AC179 AO178:AO179 AC184:AC185 Z187:Z188 T163:T164 AF193:AF194 T175:T176 K172:K173 AO169:AO170 T172:T173 K169:K170 T181:T182 K178:K179 AO184:AO185 AO10:AO27 T160:T161 AI187:AI188 N190:N191 AR187:AR188 AL187:AL188 N187:N188 W187:W188 AC187:AC188 AO187:AO188 K187:K188 W108:W109 K184:K185 AO54:AO55 AO66:AO67 N87:N88 T184:T185 AL93:AL94 AF202:AF203 Z199:Z200 Q193:Q194 Z196:Z197 Z193:Z194 AI193:AI194 AR193:AR194 AL193:AL194 N193:N194 W193:W194 AL111:AL112 AC193:AC194 AO193:AO194 AI60:AI61 AI196:AI197 AR196:AR197 AL196:AL197 N196:N197 W196:W197 AC196:AC197 K193:K194 AO196:AO197 AI199:AI200 AR199:AR200 AL199:AL200 N199:N200 W199:W200 AC199:AC200 T193:T194 K196:K197 Q202:Q203 AO199:AO200 K199:K200 Z202:Z203 W190:W191 AI202:AI203 AR202:AR203 AL202:AL203 N202:N203 W202:W203 AC202:AC203 AO202:AO203 K202:K203 T199:T200 T202:T203 T108:T109 AI102:AI103 W111:W112 T111:T112 AI111:AI112 AF111:AF112 AR111:AR112 Z111:Z112 W105:W106 AR102:AR103 AI108:AI109 AF102:AF103 AF108:AF109 AC108:AC109 N102:N103 T105:T106 AI105:AI106 AF105:AF106 N111:N112 AC105:AC106 AR108:AR109 K108:K109 N108:N109 T196:T197 AF138 AO108:AO109 K102:K103 N105:N106 AO138 K105:K106 K111:K112 AC102:AC103 Q102:Q103 Q108:Q109 Q105:Q106 AR105:AR106 Z105:Z106 AO105:AO106 W102:W103 T102:T103 AR84:AR85 AL102:AL103 AR90:AR91 Z102:Z103 AF96:AF97 T134 T169:T170 AC190:AC191 N81:N82 AO190:AO191 K190:K191 T190:T191 T187:T188 Q75:Q76 T75:T76 W75:W76 AF72:AF73 AC69:AC70 Q81:Q82 AC75:AC76 K78:K79 AF84:AF85 AL81:AL82 AL99:AL100 AI138 AL138 AF134 AI134 AC134 AL134 K10:K27 T178:T179 T166:T167 AO134 T205:T206 AF205:AF206 Q205:Q206 Z205:Z206 AI205:AI206 AR205:AR206 AL205:AL206 N205:N206 W205:W206 AC205:AC206 AO205:AO206 K205:K206 AF227:AF261 AR227:AR261 AI227:AI261 AL227:AL261 AO227:AO261 W227:W261 Z227:Z261 Q227:Q261 AR136 AR140 AR138 AL10:AL27 AI10:AI27 AF10:AF27 AC10:AC27 Z10:Z27 W10:W27 T10:T27 Q10:Q27 N10:N27 AR10:AR27 K227:K261 T208:T209 AF208:AF209 Q208:Q209 Z208:Z209 AI208:AI209 AR208:AR209 AL208:AL209 N208:N209 W208:W209 AC208:AC209 AO208:AO209 K208:K209 T211:T212 AF211:AF212 Q211:Q212 Z211:Z212 AI211:AI212 AR211:AR212 AL211:AL212 N211:N212 W211:W212 AC211:AC212 AO211:AO212 K211:K212 T214:T215 AF214:AF215 Q214:Q215 Z214:Z215 AI214:AI215 AR214:AR215 AL214:AL215 N214:N215 W214:W215 AC214:AC215 AO214:AO215 K214:K215 T217:T218 AF217:AF218 Q217:Q218 Z217:Z218 AI217:AI218 AR217:AR218 AL217:AL218 N217:N218 W217:W218 AC217:AC218 AO217:AO218 K217:K218 Q114:Q115 AC114:AC115 AO114:AO115 AL114:AL115 W114:W115 T114:T115 AI114:AI115 AF114:AF115 AR114:AR115 Z114:Z115 N114:N115 K114:K115 Q117:Q118 AC117:AC118 AO117:AO118 AL117:AL118 W117:W118 T117:T118 AI117:AI118 AF117:AF118 AR117:AR118 Z117:Z118 N117:N118 K117:K118 Q120:Q121 AC120:AC121 AO120:AO121 AL120:AL121 W120:W121 T120:T121 AI120:AI121 AF120:AF121 AR120:AR121 Z120:Z121 N120:N121 K120:K121 Q123:Q124 AC123:AC124 AO123:AO124 AL123:AL124 W123:W124 T123:T124 AI123:AI124 AF123:AF124 AR123:AR124 Z123:Z124 N123:N124 K123:K124</xm:sqref>
        </x14:dataValidation>
        <x14:dataValidation type="list" allowBlank="1" showInputMessage="1" showErrorMessage="1" xr:uid="{00000000-0002-0000-0200-00000D000000}">
          <x14:formula1>
            <xm:f>Données!$J$6:$J$18</xm:f>
          </x14:formula1>
          <xm:sqref>G10:H27</xm:sqref>
        </x14:dataValidation>
        <x14:dataValidation type="list" allowBlank="1" showInputMessage="1" showErrorMessage="1" xr:uid="{00000000-0002-0000-0200-00000E000000}">
          <x14:formula1>
            <xm:f>Données!$F$40:$F$41</xm:f>
          </x14:formula1>
          <xm:sqref>D55 D58 D61 D64 D67 D70 D73 D76 D79 D82 D85 D88 D91 D94 D97 D100 D161 D164 D170 D167 D173 D176 D179 D182 D188 D191 D185 D194 D200 D203 D197 D206 D103 D106 D109 D112 D209 D212 D215 D218 D115 D118 D121 D124</xm:sqref>
        </x14:dataValidation>
        <x14:dataValidation type="list" allowBlank="1" showInputMessage="1" showErrorMessage="1" xr:uid="{00000000-0002-0000-0200-00000F000000}">
          <x14:formula1>
            <xm:f>Données!$F$47:$F$48</xm:f>
          </x14:formula1>
          <xm:sqref>Q39:Q46 T39:T46 K39:K46 N39:N46 W39:W46 Z39:Z46 AC39:AC46 AL39:AL46 AF39:AF46 AO39:AO46 AI39:AI46 AR39:AR46</xm:sqref>
        </x14:dataValidation>
        <x14:dataValidation type="list" allowBlank="1" showInputMessage="1" showErrorMessage="1" xr:uid="{00000000-0002-0000-0200-000010000000}">
          <x14:formula1>
            <xm:f>Données!$F$53:$F$54</xm:f>
          </x14:formula1>
          <xm:sqref>D37:D38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23"/>
  <sheetViews>
    <sheetView workbookViewId="0">
      <selection activeCell="D10" sqref="D10:F11"/>
    </sheetView>
  </sheetViews>
  <sheetFormatPr baseColWidth="10" defaultColWidth="10.6640625" defaultRowHeight="13"/>
  <cols>
    <col min="1" max="1" width="17" style="156" customWidth="1"/>
    <col min="2" max="2" width="2.33203125" style="156" customWidth="1"/>
    <col min="3" max="3" width="11.33203125" style="156" customWidth="1"/>
    <col min="4" max="6" width="10.6640625" style="156"/>
    <col min="7" max="7" width="5" style="156" customWidth="1"/>
    <col min="8" max="10" width="10.6640625" style="156"/>
    <col min="11" max="11" width="5" style="156" customWidth="1"/>
    <col min="12" max="16384" width="10.6640625" style="156"/>
  </cols>
  <sheetData>
    <row r="2" spans="1:15">
      <c r="A2" s="452" t="s">
        <v>330</v>
      </c>
    </row>
    <row r="3" spans="1:15">
      <c r="A3" s="452"/>
    </row>
    <row r="4" spans="1:15">
      <c r="A4" s="452"/>
      <c r="K4" s="177" t="str">
        <f>Menu!I6</f>
        <v>Version 2026 Révision VMAX EUR</v>
      </c>
    </row>
    <row r="5" spans="1:15" ht="14" customHeight="1">
      <c r="C5" s="1"/>
    </row>
    <row r="6" spans="1:15" ht="10.25" customHeight="1">
      <c r="C6" s="722" t="s">
        <v>474</v>
      </c>
      <c r="D6" s="722"/>
      <c r="E6" s="722"/>
      <c r="F6" s="722"/>
      <c r="G6" s="722"/>
      <c r="H6" s="722"/>
      <c r="I6" s="722"/>
      <c r="J6" s="722"/>
      <c r="K6" s="722"/>
      <c r="L6" s="722"/>
      <c r="M6" s="722"/>
      <c r="N6" s="722"/>
      <c r="O6" s="722"/>
    </row>
    <row r="7" spans="1:15" ht="30" customHeight="1">
      <c r="C7" s="722"/>
      <c r="D7" s="722"/>
      <c r="E7" s="722"/>
      <c r="F7" s="722"/>
      <c r="G7" s="722"/>
      <c r="H7" s="722"/>
      <c r="I7" s="722"/>
      <c r="J7" s="722"/>
      <c r="K7" s="722"/>
      <c r="L7" s="722"/>
      <c r="M7" s="722"/>
      <c r="N7" s="722"/>
      <c r="O7" s="722"/>
    </row>
    <row r="10" spans="1:15" ht="12.75" customHeight="1">
      <c r="D10" s="716">
        <f>'Budget Gold'!I7</f>
        <v>46174</v>
      </c>
      <c r="E10" s="717"/>
      <c r="F10" s="718"/>
      <c r="H10" s="716">
        <f>'Budget Gold'!L7</f>
        <v>46206</v>
      </c>
      <c r="I10" s="717"/>
      <c r="J10" s="718"/>
      <c r="L10" s="716">
        <f>'Budget Gold'!O7</f>
        <v>46238</v>
      </c>
      <c r="M10" s="717"/>
      <c r="N10" s="718"/>
    </row>
    <row r="11" spans="1:15">
      <c r="D11" s="719"/>
      <c r="E11" s="720"/>
      <c r="F11" s="721"/>
      <c r="H11" s="719"/>
      <c r="I11" s="720"/>
      <c r="J11" s="721"/>
      <c r="L11" s="719"/>
      <c r="M11" s="720"/>
      <c r="N11" s="721"/>
    </row>
    <row r="14" spans="1:15" ht="12.75" customHeight="1">
      <c r="D14" s="716">
        <f>'Budget Gold'!R7</f>
        <v>46270</v>
      </c>
      <c r="E14" s="717"/>
      <c r="F14" s="718"/>
      <c r="H14" s="716">
        <f>'Budget Gold'!U7</f>
        <v>46302</v>
      </c>
      <c r="I14" s="717"/>
      <c r="J14" s="718"/>
      <c r="L14" s="716">
        <f>'Budget Gold'!X7</f>
        <v>46334</v>
      </c>
      <c r="M14" s="717"/>
      <c r="N14" s="718"/>
    </row>
    <row r="15" spans="1:15">
      <c r="D15" s="719"/>
      <c r="E15" s="720"/>
      <c r="F15" s="721"/>
      <c r="H15" s="719"/>
      <c r="I15" s="720"/>
      <c r="J15" s="721"/>
      <c r="L15" s="719"/>
      <c r="M15" s="720"/>
      <c r="N15" s="721"/>
    </row>
    <row r="18" spans="4:14" ht="12.75" customHeight="1">
      <c r="D18" s="716">
        <f>'Budget Gold'!AA7</f>
        <v>46366</v>
      </c>
      <c r="E18" s="717"/>
      <c r="F18" s="718"/>
      <c r="H18" s="716">
        <f>'Budget Gold'!AD7</f>
        <v>46398</v>
      </c>
      <c r="I18" s="717"/>
      <c r="J18" s="718"/>
      <c r="L18" s="716">
        <f>'Budget Gold'!AG7</f>
        <v>46430</v>
      </c>
      <c r="M18" s="717"/>
      <c r="N18" s="718"/>
    </row>
    <row r="19" spans="4:14">
      <c r="D19" s="719"/>
      <c r="E19" s="720"/>
      <c r="F19" s="721"/>
      <c r="H19" s="719"/>
      <c r="I19" s="720"/>
      <c r="J19" s="721"/>
      <c r="L19" s="719"/>
      <c r="M19" s="720"/>
      <c r="N19" s="721"/>
    </row>
    <row r="22" spans="4:14" ht="12.75" customHeight="1">
      <c r="D22" s="716">
        <f>'Budget Gold'!AJ7</f>
        <v>46462</v>
      </c>
      <c r="E22" s="717"/>
      <c r="F22" s="718"/>
      <c r="H22" s="716">
        <f>'Budget Gold'!AM7</f>
        <v>46494</v>
      </c>
      <c r="I22" s="717"/>
      <c r="J22" s="718"/>
      <c r="L22" s="716">
        <f>'Budget Gold'!AP7</f>
        <v>46526</v>
      </c>
      <c r="M22" s="717"/>
      <c r="N22" s="718"/>
    </row>
    <row r="23" spans="4:14">
      <c r="D23" s="719"/>
      <c r="E23" s="720"/>
      <c r="F23" s="721"/>
      <c r="H23" s="719"/>
      <c r="I23" s="720"/>
      <c r="J23" s="721"/>
      <c r="L23" s="719"/>
      <c r="M23" s="720"/>
      <c r="N23" s="721"/>
    </row>
  </sheetData>
  <sheetProtection algorithmName="SHA-512" hashValue="s/Bk5Fy65waA31L4goEXrauRD9baGC5CDMViD2Xu3t9Jl0ZHn01fpeqypNdxs28kP5BADyYpUcVD2jqSOxBE4Q==" saltValue="kFzIUhExO3QLklUQ/NM2ag==" spinCount="100000" sheet="1" objects="1" scenarios="1"/>
  <mergeCells count="14">
    <mergeCell ref="A2:A4"/>
    <mergeCell ref="H10:J11"/>
    <mergeCell ref="L10:N11"/>
    <mergeCell ref="D14:F15"/>
    <mergeCell ref="H22:J23"/>
    <mergeCell ref="L22:N23"/>
    <mergeCell ref="D10:F11"/>
    <mergeCell ref="C6:O7"/>
    <mergeCell ref="H14:J15"/>
    <mergeCell ref="L14:N15"/>
    <mergeCell ref="D18:F19"/>
    <mergeCell ref="H18:J19"/>
    <mergeCell ref="L18:N19"/>
    <mergeCell ref="D22:F23"/>
  </mergeCells>
  <hyperlinks>
    <hyperlink ref="A2" location="'Budget Gold'!A1" display="Retour au budget" xr:uid="{00000000-0004-0000-0300-000000000000}"/>
    <hyperlink ref="A2:A4" location="'Budget Gold'!A1" tooltip="Retour au tableau Budget Gold" display="Retour au Budget" xr:uid="{00000000-0004-0000-0300-000001000000}"/>
    <hyperlink ref="H10:J11" location="'Vir 2'!A1" tooltip="Mouvements des épargnes et provisions du mois" display="Synthèse des mouvements d'épargne/provisions" xr:uid="{00000000-0004-0000-0300-000002000000}"/>
    <hyperlink ref="L10:N11" location="'Vir 3'!A1" tooltip="Mouvements des épargnes et provisions du mois" display="Synthèse des mouvements d'épargne/provisions" xr:uid="{00000000-0004-0000-0300-000003000000}"/>
    <hyperlink ref="D14:F15" location="'Vir 4'!A1" tooltip="Mouvements des épargnes et provisions du mois" display="Synthèse des mouvements d'épargne/provisions" xr:uid="{00000000-0004-0000-0300-000004000000}"/>
    <hyperlink ref="H14:J15" location="'Vir 5'!A1" tooltip="Mouvements des épargnes et provisions du mois" display="Synthèse des mouvements d'épargne/provisions" xr:uid="{00000000-0004-0000-0300-000005000000}"/>
    <hyperlink ref="L14:N15" location="'Vir 6'!A1" tooltip="Mouvements des épargnes et provisions du mois" display="Synthèse des mouvements d'épargne/provisions" xr:uid="{00000000-0004-0000-0300-000006000000}"/>
    <hyperlink ref="D18:F19" location="'Vir 7'!A1" tooltip="Mouvements des épargnes et provisions du mois" display="Synthèse des mouvements d'épargne/provisions" xr:uid="{00000000-0004-0000-0300-000007000000}"/>
    <hyperlink ref="H18:J19" location="'Vir 8'!A1" tooltip="Mouvements des épargnes et provisions du mois" display="Synthèse des mouvements d'épargne/provisions" xr:uid="{00000000-0004-0000-0300-000008000000}"/>
    <hyperlink ref="L18:N19" location="'Vir 9'!A1" tooltip="Mouvements des épargnes et provisions du mois" display="Synthèse des mouvements d'épargne/provisions" xr:uid="{00000000-0004-0000-0300-000009000000}"/>
    <hyperlink ref="D22:F23" location="'Vir 10'!A1" tooltip="Mouvements des épargnes et provisions du mois" display="Synthèse des mouvements d'épargne/provisions" xr:uid="{00000000-0004-0000-0300-00000A000000}"/>
    <hyperlink ref="H22:J23" location="'Vir 11'!A1" tooltip="Mouvements des épargnes et provisions du mois" display="Synthèse des mouvements d'épargne/provisions" xr:uid="{00000000-0004-0000-0300-00000B000000}"/>
    <hyperlink ref="L22:N23" location="'Vir 12'!A1" tooltip="Mouvements des épargnes et provisions du mois" display="Synthèse des mouvements d'épargne/provisions" xr:uid="{00000000-0004-0000-0300-00000C000000}"/>
    <hyperlink ref="D10:F11" location="'Vir 1'!A1" tooltip="Mouvements des épargnes et provisions du mois" display="Synthèse des mouvements d'épargne/provisions" xr:uid="{00000000-0004-0000-0300-00000D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21"/>
  <sheetViews>
    <sheetView workbookViewId="0">
      <selection activeCell="E12" sqref="E12"/>
    </sheetView>
  </sheetViews>
  <sheetFormatPr baseColWidth="10" defaultColWidth="10.6640625" defaultRowHeight="13"/>
  <cols>
    <col min="1" max="1" width="15" style="163" customWidth="1"/>
    <col min="2" max="2" width="4.33203125" style="163" customWidth="1"/>
    <col min="3" max="3" width="10.6640625" style="163"/>
    <col min="4" max="4" width="43.1640625" style="163" bestFit="1" customWidth="1"/>
    <col min="5" max="5" width="36.33203125" style="163" customWidth="1"/>
    <col min="6" max="6" width="3.1640625" style="163" customWidth="1"/>
    <col min="7" max="16384" width="10.6640625" style="163"/>
  </cols>
  <sheetData>
    <row r="2" spans="1:9" ht="26.25" customHeight="1">
      <c r="A2" s="162" t="s">
        <v>489</v>
      </c>
    </row>
    <row r="4" spans="1:9" ht="28">
      <c r="D4" s="307" t="s">
        <v>522</v>
      </c>
      <c r="E4" s="175" t="str">
        <f>Menu!I6</f>
        <v>Version 2026 Révision VMAX EUR</v>
      </c>
      <c r="G4" s="723"/>
      <c r="H4" s="723"/>
      <c r="I4" s="723"/>
    </row>
    <row r="5" spans="1:9" ht="12.75" customHeight="1">
      <c r="D5" s="164" t="s">
        <v>484</v>
      </c>
      <c r="G5" s="723"/>
      <c r="H5" s="723"/>
      <c r="I5" s="723"/>
    </row>
    <row r="7" spans="1:9">
      <c r="C7" s="165"/>
      <c r="D7" s="165"/>
      <c r="E7" s="165"/>
      <c r="F7" s="165"/>
    </row>
    <row r="8" spans="1:9" s="166" customFormat="1" ht="16">
      <c r="C8" s="167"/>
      <c r="D8" s="168" t="s">
        <v>486</v>
      </c>
      <c r="E8" s="253"/>
      <c r="F8" s="167"/>
    </row>
    <row r="9" spans="1:9" s="166" customFormat="1" ht="16">
      <c r="C9" s="167"/>
      <c r="D9" s="168"/>
      <c r="E9" s="169"/>
      <c r="F9" s="167"/>
    </row>
    <row r="10" spans="1:9" s="166" customFormat="1" ht="16">
      <c r="C10" s="167"/>
      <c r="D10" s="168" t="s">
        <v>485</v>
      </c>
      <c r="E10" s="253"/>
      <c r="F10" s="167"/>
    </row>
    <row r="11" spans="1:9" s="166" customFormat="1" ht="16">
      <c r="C11" s="167"/>
      <c r="D11" s="168"/>
      <c r="E11" s="169"/>
      <c r="F11" s="167"/>
    </row>
    <row r="12" spans="1:9" s="166" customFormat="1" ht="16">
      <c r="C12" s="167"/>
      <c r="D12" s="168" t="s">
        <v>287</v>
      </c>
      <c r="E12" s="161">
        <v>46023</v>
      </c>
      <c r="F12" s="167"/>
    </row>
    <row r="13" spans="1:9" s="166" customFormat="1" ht="16">
      <c r="C13" s="167"/>
      <c r="D13" s="168"/>
      <c r="E13" s="169"/>
      <c r="F13" s="167"/>
    </row>
    <row r="14" spans="1:9" s="166" customFormat="1" ht="16">
      <c r="C14" s="167"/>
      <c r="D14" s="168" t="s">
        <v>490</v>
      </c>
      <c r="E14" s="254"/>
      <c r="F14" s="167"/>
    </row>
    <row r="15" spans="1:9" ht="16">
      <c r="C15" s="167"/>
      <c r="D15" s="168"/>
      <c r="E15" s="169"/>
      <c r="F15" s="167"/>
    </row>
    <row r="16" spans="1:9" ht="16">
      <c r="C16" s="167"/>
      <c r="D16" s="168" t="s">
        <v>488</v>
      </c>
      <c r="E16" s="170" t="str">
        <f>IF(OR(E14="",E14="jj/mm/aaaa"),"",DATE(YEAR(E14),MONTH(E14),1))</f>
        <v/>
      </c>
      <c r="F16" s="167"/>
    </row>
    <row r="17" spans="3:6">
      <c r="C17" s="165"/>
      <c r="D17" s="171"/>
      <c r="E17" s="165"/>
      <c r="F17" s="165"/>
    </row>
    <row r="19" spans="3:6">
      <c r="C19" s="165"/>
      <c r="D19" s="165"/>
      <c r="E19" s="165"/>
      <c r="F19" s="165"/>
    </row>
    <row r="20" spans="3:6" ht="20">
      <c r="C20" s="724" t="s">
        <v>492</v>
      </c>
      <c r="D20" s="724"/>
      <c r="E20" s="724"/>
      <c r="F20" s="724"/>
    </row>
    <row r="21" spans="3:6">
      <c r="C21" s="165"/>
      <c r="D21" s="165"/>
      <c r="E21" s="165"/>
      <c r="F21" s="165"/>
    </row>
  </sheetData>
  <sheetProtection algorithmName="SHA-512" hashValue="a5eZyi38Vdm6tQtsb+k49NEI8dAgrrZjMyPwiHVyyK9iUb++FAAr+7BSNBEcyRZsONjA3njiq8npcBIjBz+Dog==" saltValue="V9osCRTW87niuRPyBGZ2Kw==" spinCount="100000" sheet="1" objects="1" scenarios="1"/>
  <mergeCells count="2">
    <mergeCell ref="G4:I5"/>
    <mergeCell ref="C20:F20"/>
  </mergeCells>
  <hyperlinks>
    <hyperlink ref="A2" location="Menu!A1" tooltip="Accès au Menu Général" display="Accès au MENU" xr:uid="{00000000-0004-0000-0400-000000000000}"/>
    <hyperlink ref="C20:F20" location="Mariage!A1" tooltip="Accès au tableau Mariage Gold" display="Accéder à Mariage Gold" xr:uid="{00000000-0004-0000-0400-000001000000}"/>
  </hyperlink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xr:uid="{00000000-0002-0000-0400-000000000000}">
          <x14:formula1>
            <xm:f>Données!$H$8:$H$19</xm:f>
          </x14:formula1>
          <xm:sqref>E12</xm:sqref>
        </x14:dataValidation>
        <x14:dataValidation type="list" allowBlank="1" xr:uid="{00000000-0002-0000-0400-000001000000}">
          <x14:formula1>
            <xm:f>Données!$H$64:$H$65</xm:f>
          </x14:formula1>
          <xm:sqref>E14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160"/>
  <sheetViews>
    <sheetView zoomScale="130" zoomScaleNormal="130" workbookViewId="0"/>
  </sheetViews>
  <sheetFormatPr baseColWidth="10" defaultColWidth="10.6640625" defaultRowHeight="13"/>
  <cols>
    <col min="1" max="1" width="16.1640625" style="163" bestFit="1" customWidth="1"/>
    <col min="2" max="2" width="1.83203125" style="255" customWidth="1"/>
    <col min="3" max="3" width="36.1640625" style="255" bestFit="1" customWidth="1"/>
    <col min="4" max="4" width="1" style="255" customWidth="1"/>
    <col min="5" max="5" width="17.33203125" style="255" customWidth="1"/>
    <col min="6" max="6" width="1" style="255" customWidth="1"/>
    <col min="7" max="7" width="15.6640625" style="255" customWidth="1"/>
    <col min="8" max="8" width="6.6640625" style="256" customWidth="1"/>
    <col min="9" max="9" width="1" style="255" customWidth="1"/>
    <col min="10" max="10" width="13.33203125" style="255" customWidth="1"/>
    <col min="11" max="11" width="3.33203125" style="312" bestFit="1" customWidth="1"/>
    <col min="12" max="12" width="12.83203125" style="255" customWidth="1"/>
    <col min="13" max="13" width="3.33203125" style="312" bestFit="1" customWidth="1"/>
    <col min="14" max="14" width="12.1640625" style="255" customWidth="1"/>
    <col min="15" max="15" width="3.33203125" style="312" bestFit="1" customWidth="1"/>
    <col min="16" max="16" width="1" style="255" customWidth="1"/>
    <col min="17" max="17" width="21.1640625" style="255" customWidth="1"/>
    <col min="18" max="18" width="20.1640625" style="255" customWidth="1"/>
    <col min="19" max="19" width="1" style="255" customWidth="1"/>
    <col min="20" max="20" width="21.1640625" style="255" customWidth="1"/>
    <col min="21" max="21" width="1" style="255" customWidth="1"/>
    <col min="22" max="22" width="46" style="257" customWidth="1"/>
    <col min="23" max="23" width="10.6640625" style="255"/>
    <col min="24" max="24" width="10.6640625" style="258"/>
    <col min="25" max="25" width="15.1640625" style="259" customWidth="1"/>
    <col min="26" max="26" width="19.1640625" style="255" customWidth="1"/>
    <col min="27" max="27" width="9.83203125" style="260" customWidth="1"/>
    <col min="28" max="28" width="17.83203125" style="259" customWidth="1"/>
    <col min="29" max="29" width="12.83203125" style="261" customWidth="1"/>
    <col min="30" max="31" width="17.6640625" style="259" customWidth="1"/>
    <col min="32" max="32" width="10.6640625" style="255"/>
    <col min="33" max="33" width="3.33203125" style="255" customWidth="1"/>
    <col min="34" max="34" width="10.6640625" style="258"/>
    <col min="35" max="35" width="15.1640625" style="259" customWidth="1"/>
    <col min="36" max="36" width="19.1640625" style="255" customWidth="1"/>
    <col min="37" max="37" width="10.83203125" style="260" customWidth="1"/>
    <col min="38" max="38" width="25.33203125" style="261" customWidth="1"/>
    <col min="39" max="39" width="21.83203125" style="261" customWidth="1"/>
    <col min="40" max="40" width="22.33203125" style="259" customWidth="1"/>
    <col min="41" max="41" width="17.6640625" style="259" customWidth="1"/>
    <col min="42" max="16384" width="10.6640625" style="255"/>
  </cols>
  <sheetData>
    <row r="1" spans="1:42" ht="5.75" customHeight="1" thickBot="1"/>
    <row r="2" spans="1:42" s="163" customFormat="1" ht="30.5" customHeight="1" thickBot="1">
      <c r="A2" s="262"/>
      <c r="C2" s="263" t="s">
        <v>469</v>
      </c>
      <c r="E2" s="729" t="s">
        <v>529</v>
      </c>
      <c r="F2" s="730"/>
      <c r="G2" s="730"/>
      <c r="H2" s="731"/>
      <c r="K2" s="313"/>
      <c r="M2" s="313"/>
      <c r="O2" s="313"/>
      <c r="V2" s="264"/>
      <c r="X2" s="265" t="s">
        <v>520</v>
      </c>
      <c r="Y2" s="766" t="s">
        <v>505</v>
      </c>
      <c r="Z2" s="766"/>
      <c r="AA2" s="766"/>
      <c r="AB2" s="766"/>
      <c r="AC2" s="766"/>
      <c r="AD2" s="766"/>
      <c r="AE2" s="766"/>
      <c r="AH2" s="265" t="s">
        <v>520</v>
      </c>
      <c r="AI2" s="763" t="s">
        <v>514</v>
      </c>
      <c r="AJ2" s="763"/>
      <c r="AK2" s="763"/>
      <c r="AL2" s="763"/>
      <c r="AM2" s="763"/>
      <c r="AN2" s="763"/>
      <c r="AO2" s="266"/>
    </row>
    <row r="3" spans="1:42" s="163" customFormat="1" ht="26" thickBot="1">
      <c r="A3" s="98" t="s">
        <v>290</v>
      </c>
      <c r="B3" s="267"/>
      <c r="C3" s="173" t="str">
        <f>CONCATENATE('Menu Mariage'!E8," &amp; ",'Menu Mariage'!E10)</f>
        <v xml:space="preserve"> &amp; </v>
      </c>
      <c r="D3" s="268"/>
      <c r="E3" s="732">
        <f>AD5</f>
        <v>0</v>
      </c>
      <c r="F3" s="733"/>
      <c r="G3" s="733"/>
      <c r="H3" s="734"/>
      <c r="I3" s="268"/>
      <c r="K3" s="313"/>
      <c r="M3" s="313"/>
      <c r="O3" s="313"/>
      <c r="P3" s="268"/>
      <c r="S3" s="268"/>
      <c r="T3" s="26">
        <f>SUM(IF(T9="",0,E9), IF(T10="",0,E10), IF(T11="",0,E11), IF(T12="",0,E12), IF(T13="",0,E13), IF(T14="",0,E14), IF(T15="",0,E15), IF(T16="",0,E16), IF(T17="",0,E17), IF(T18="",0,E18), IF(T20="",0,E20), IF(T21="",0,E21), IF(T22="",0,E22), IF(T23="",0,E23), IF(T24="",0,E24), IF(T25="",0,E25), IF(T26="",0,E26), IF(T30="",0,E30), IF(T31="",0,E31), IF(T32="",0,E32), IF(T33="",0,E33), IF(T34="",0,E34), IF(T35="",0,E35), IF(T36="",0,E36), IF(T37="",0,E37), IF(T38="",0,E38), IF(T39="",0,E39), IF(T40="",0,E40), IF(T44="",0,E44), IF(T45="",0,E45), IF(T46="",0,E46), IF(T47="",0,E47), IF(T48="",0,E48), IF(T49="",0,E49), IF(T50="",0,E50), IF(T51="",0,E51), IF(T52="",0,E52), IF(T53="",0,E53), IF(T54="",0,E54), IF(T58="",0,E58), IF(T59="",0,E59), IF(T60="",0,E60), IF(T61="",0,E61), IF(T62="",0,E62), IF(T63="",0,E63), IF(T64="",0,E64), IF(T68="",0,E68), IF(T69="",0,E69), IF(T70="",0,E70))</f>
        <v>0</v>
      </c>
      <c r="U3" s="268"/>
      <c r="V3" s="269" t="s">
        <v>524</v>
      </c>
      <c r="X3" s="270"/>
      <c r="Y3" s="766"/>
      <c r="Z3" s="766"/>
      <c r="AA3" s="766"/>
      <c r="AB3" s="766"/>
      <c r="AC3" s="766"/>
      <c r="AD3" s="766"/>
      <c r="AE3" s="766"/>
      <c r="AF3" s="271" t="s">
        <v>360</v>
      </c>
      <c r="AH3" s="270"/>
      <c r="AI3" s="763"/>
      <c r="AJ3" s="763"/>
      <c r="AK3" s="763"/>
      <c r="AL3" s="763"/>
      <c r="AM3" s="763"/>
      <c r="AN3" s="763"/>
      <c r="AO3" s="266"/>
    </row>
    <row r="4" spans="1:42" ht="2.75" customHeight="1" thickBot="1"/>
    <row r="5" spans="1:42" s="163" customFormat="1" ht="17.75" customHeight="1">
      <c r="A5" s="101" t="s">
        <v>402</v>
      </c>
      <c r="C5" s="174" t="str">
        <f>IF(OR('Menu Mariage'!E14="",'Menu Mariage'!E14="jj/mm/aaaa"),"",CONCATENATE("Le ",DAY('Menu Mariage'!E14),"/",MONTH('Menu Mariage'!E14),"/",YEAR('Menu Mariage'!E14)))</f>
        <v/>
      </c>
      <c r="E5" s="316">
        <f>E27+E41+E55+E65+E71</f>
        <v>0</v>
      </c>
      <c r="F5" s="272"/>
      <c r="G5" s="748">
        <f>G27+G41+G55+G65+G71</f>
        <v>0</v>
      </c>
      <c r="H5" s="749"/>
      <c r="K5" s="313"/>
      <c r="L5" s="270" t="str">
        <f>Menu!I6</f>
        <v>Version 2026 Révision VMAX EUR</v>
      </c>
      <c r="M5" s="313"/>
      <c r="O5" s="313"/>
      <c r="Q5" s="761" t="s">
        <v>460</v>
      </c>
      <c r="R5" s="762"/>
      <c r="S5" s="273"/>
      <c r="T5" s="27">
        <f>SUM(IF(T9="",0,G9), IF(T10="",0,G10), IF(T11="",0,G11), IF(T12="",0,G12), IF(T13="",0,G13), IF(T14="",0,G14), IF(T15="",0,G15), IF(T16="",0,G16), IF(T17="",0,G17), IF(T18="",0,G18), IF(T20="",0,G20), IF(T21="",0,G21), IF(T22="",0,G22), IF(T23="",0,G23), IF(T24="",0,G24), IF(T25="",0,G25), IF(T26="",0,G26), IF(T30="",0,G30), IF(T31="",0,G31), IF(T32="",0,G32), IF(T33="",0,G33), IF(T34="",0,G34), IF(T35="",0,G35), IF(T36="",0,G36), IF(T37="",0,G37), IF(T38="",0,G38), IF(T39="",0,G39), IF(T40="",0,G40), IF(T44="",0,G44), IF(T45="",0,G45), IF(T46="",0,G46), IF(T47="",0,G47), IF(T48="",0,G48), IF(T49="",0,G49), IF(T50="",0,G50), IF(T51="",0,G51), IF(T52="",0,G52), IF(T53="",0,G53), IF(T54="",0,G54), IF(T58="",0,G58), IF(T59="",0,G59), IF(T60="",0,G60), IF(T61="",0,G61), IF(T62="",0,G62), IF(T63="",0,G63), IF(T64="",0,G64), IF(T68="",0,G68), IF(T69="",0,G69), IF(T70="",0,G70))</f>
        <v>0</v>
      </c>
      <c r="V5" s="269" t="s">
        <v>525</v>
      </c>
      <c r="X5" s="270"/>
      <c r="Y5" s="274" t="s">
        <v>506</v>
      </c>
      <c r="AA5" s="275"/>
      <c r="AB5" s="276"/>
      <c r="AC5" s="277"/>
      <c r="AD5" s="278">
        <f>MAX(AD8:AD157)</f>
        <v>0</v>
      </c>
      <c r="AE5" s="279">
        <f>MAX(AE8:AE157)</f>
        <v>0</v>
      </c>
      <c r="AF5" s="280">
        <f>AE5-AD5</f>
        <v>0</v>
      </c>
      <c r="AG5" s="281"/>
      <c r="AJ5" s="775" t="s">
        <v>518</v>
      </c>
      <c r="AK5" s="319"/>
      <c r="AL5" s="757" t="s">
        <v>516</v>
      </c>
      <c r="AM5" s="767" t="s">
        <v>517</v>
      </c>
      <c r="AN5" s="755" t="s">
        <v>528</v>
      </c>
    </row>
    <row r="6" spans="1:42" s="163" customFormat="1" ht="12.75" customHeight="1" thickBot="1">
      <c r="A6" s="102" t="s">
        <v>351</v>
      </c>
      <c r="E6" s="737" t="s">
        <v>530</v>
      </c>
      <c r="G6" s="739" t="s">
        <v>532</v>
      </c>
      <c r="H6" s="740"/>
      <c r="K6" s="313"/>
      <c r="M6" s="313"/>
      <c r="O6" s="313"/>
      <c r="Q6" s="160" t="str">
        <f>CONCATENATE(COUNTIF(Q9:Q70,"1 (indispensable)")," prio1, ",COUNTIF(Q9:Q70,"2 (essentiel)")," prio2 et ",COUNTIF(Q9:Q70," 3 (souhaitable)")," prio3")</f>
        <v>0 prio1, 0 prio2 et 0 prio3</v>
      </c>
      <c r="R6" s="160" t="str">
        <f>CONCATENATE(COUNTIF(R9:R70,"1 (indispensable)")," prio1, ",COUNTIF(R9:R70,"2 (essentiel)")," prio2 et ",COUNTIF(R9:R70," 3 (souhaitable)")," prio3")</f>
        <v>0 prio1, 0 prio2 et 0 prio3</v>
      </c>
      <c r="T6" s="759" t="s">
        <v>467</v>
      </c>
      <c r="V6" s="264"/>
      <c r="X6" s="270"/>
      <c r="Y6" s="753" t="s">
        <v>494</v>
      </c>
      <c r="Z6" s="753" t="s">
        <v>495</v>
      </c>
      <c r="AA6" s="753" t="s">
        <v>502</v>
      </c>
      <c r="AB6" s="769" t="s">
        <v>507</v>
      </c>
      <c r="AC6" s="771" t="s">
        <v>497</v>
      </c>
      <c r="AD6" s="773" t="s">
        <v>526</v>
      </c>
      <c r="AE6" s="764" t="s">
        <v>527</v>
      </c>
      <c r="AJ6" s="776"/>
      <c r="AK6" s="319"/>
      <c r="AL6" s="758"/>
      <c r="AM6" s="768"/>
      <c r="AN6" s="756"/>
    </row>
    <row r="7" spans="1:42" s="163" customFormat="1" ht="17" thickBot="1">
      <c r="C7" s="282" t="s">
        <v>415</v>
      </c>
      <c r="D7" s="173"/>
      <c r="E7" s="738"/>
      <c r="F7" s="173"/>
      <c r="G7" s="741"/>
      <c r="H7" s="742"/>
      <c r="I7" s="173"/>
      <c r="J7" s="727" t="s">
        <v>456</v>
      </c>
      <c r="K7" s="728"/>
      <c r="L7" s="727" t="s">
        <v>457</v>
      </c>
      <c r="M7" s="728"/>
      <c r="N7" s="727" t="s">
        <v>458</v>
      </c>
      <c r="O7" s="728"/>
      <c r="P7" s="173"/>
      <c r="Q7" s="284" t="str">
        <f>IF('Menu Mariage'!E8="","Priorités de la fiancée",CONCATENATE("Priorités de ",'Menu Mariage'!E8))</f>
        <v>Priorités de la fiancée</v>
      </c>
      <c r="R7" s="284" t="str">
        <f>IF('Menu Mariage'!E10="","Priorités du fiancé",CONCATENATE("Priorités de ",'Menu Mariage'!E10))</f>
        <v>Priorités du fiancé</v>
      </c>
      <c r="S7" s="173"/>
      <c r="T7" s="760"/>
      <c r="U7" s="173"/>
      <c r="V7" s="283" t="s">
        <v>464</v>
      </c>
      <c r="Y7" s="754"/>
      <c r="Z7" s="754"/>
      <c r="AA7" s="754"/>
      <c r="AB7" s="770"/>
      <c r="AC7" s="772"/>
      <c r="AD7" s="774"/>
      <c r="AE7" s="765"/>
      <c r="AJ7" s="285">
        <f>0-SUM(AJ11:AJ160)</f>
        <v>0</v>
      </c>
      <c r="AL7" s="318">
        <f>IF((0-AJ7)-AE5&lt;0,0,(0-AJ7)-AE5)</f>
        <v>0</v>
      </c>
      <c r="AM7" s="317">
        <f>SUM(AN11:AN160)</f>
        <v>0</v>
      </c>
      <c r="AN7" s="279">
        <f>AE5-AM7</f>
        <v>0</v>
      </c>
      <c r="AP7" s="255"/>
    </row>
    <row r="8" spans="1:42">
      <c r="A8" s="750" t="s">
        <v>493</v>
      </c>
      <c r="C8" s="286" t="s">
        <v>437</v>
      </c>
      <c r="D8" s="287"/>
      <c r="F8" s="287"/>
      <c r="I8" s="287"/>
      <c r="P8" s="287"/>
      <c r="S8" s="287"/>
      <c r="U8" s="287"/>
      <c r="X8" s="270">
        <v>1</v>
      </c>
      <c r="Y8" s="340" t="s">
        <v>496</v>
      </c>
      <c r="Z8" s="341"/>
      <c r="AA8" s="342" t="s">
        <v>504</v>
      </c>
      <c r="AB8" s="343"/>
      <c r="AC8" s="343"/>
      <c r="AD8" s="179" t="str">
        <f>IF(Z8="","",Z8)</f>
        <v/>
      </c>
      <c r="AE8" s="288" t="str">
        <f>IF(AA8="Non effectué","",Z8)</f>
        <v/>
      </c>
      <c r="AH8" s="270"/>
      <c r="AI8" s="274"/>
      <c r="AJ8" s="277"/>
      <c r="AK8" s="275"/>
      <c r="AL8" s="277"/>
      <c r="AM8" s="277"/>
      <c r="AN8" s="276"/>
      <c r="AO8" s="276"/>
    </row>
    <row r="9" spans="1:42" ht="12.75" customHeight="1">
      <c r="A9" s="750"/>
      <c r="C9" s="334" t="s">
        <v>432</v>
      </c>
      <c r="D9" s="289"/>
      <c r="E9" s="290"/>
      <c r="F9" s="289"/>
      <c r="G9" s="310" t="str">
        <f>IF(H9="",IF(E9="","",E9),IF(H9="Devis 1",J9,IF(H9="Devis 2",L9,N9)))</f>
        <v/>
      </c>
      <c r="H9" s="308"/>
      <c r="I9" s="289"/>
      <c r="J9" s="291"/>
      <c r="K9" s="314" t="s">
        <v>523</v>
      </c>
      <c r="L9" s="291"/>
      <c r="M9" s="314" t="s">
        <v>523</v>
      </c>
      <c r="N9" s="291"/>
      <c r="O9" s="314" t="s">
        <v>523</v>
      </c>
      <c r="P9" s="289"/>
      <c r="Q9" s="292"/>
      <c r="R9" s="292"/>
      <c r="S9" s="289"/>
      <c r="T9" s="293" t="str">
        <f t="shared" ref="T9:T26" si="0">IF(OR(Q9="1 (indispensable)",R9="1 (indispensable)"),"1 (indispensable)",IF(AND(Q9="2 (essentiel)",R9="2 (essentiel)"),"2 (essentiel)",""))</f>
        <v/>
      </c>
      <c r="U9" s="289"/>
      <c r="V9" s="294"/>
      <c r="X9" s="258">
        <f>1+X8</f>
        <v>2</v>
      </c>
      <c r="Y9" s="340" t="s">
        <v>496</v>
      </c>
      <c r="Z9" s="341"/>
      <c r="AA9" s="342" t="s">
        <v>504</v>
      </c>
      <c r="AB9" s="343"/>
      <c r="AC9" s="343"/>
      <c r="AD9" s="295" t="str">
        <f>IF(Z9="","",Z9+AD8)</f>
        <v/>
      </c>
      <c r="AE9" s="295" t="str">
        <f t="shared" ref="AE9:AE72" si="1">IF(Z9="","",IF(AA9="Non effectué",IF(AE8="","",AE8),IF(AE8="",Z9,Z9+AE8)))</f>
        <v/>
      </c>
      <c r="AH9" s="270"/>
      <c r="AI9" s="753" t="s">
        <v>494</v>
      </c>
      <c r="AJ9" s="753" t="s">
        <v>510</v>
      </c>
      <c r="AK9" s="753" t="s">
        <v>502</v>
      </c>
      <c r="AL9" s="753" t="s">
        <v>512</v>
      </c>
      <c r="AM9" s="753" t="s">
        <v>511</v>
      </c>
      <c r="AN9" s="751" t="s">
        <v>515</v>
      </c>
      <c r="AO9" s="163"/>
      <c r="AP9" s="163"/>
    </row>
    <row r="10" spans="1:42" ht="13.25" customHeight="1">
      <c r="C10" s="334" t="s">
        <v>434</v>
      </c>
      <c r="D10" s="289"/>
      <c r="E10" s="291"/>
      <c r="F10" s="289"/>
      <c r="G10" s="310" t="str">
        <f t="shared" ref="G10:G18" si="2">IF(H10="",IF(E10="","",E10),IF(H10="Devis 1",J10,IF(H10="Devis 2",L10,N10)))</f>
        <v/>
      </c>
      <c r="H10" s="308"/>
      <c r="I10" s="289"/>
      <c r="J10" s="291"/>
      <c r="K10" s="314" t="s">
        <v>523</v>
      </c>
      <c r="L10" s="291"/>
      <c r="M10" s="314" t="s">
        <v>523</v>
      </c>
      <c r="N10" s="291"/>
      <c r="O10" s="314" t="s">
        <v>523</v>
      </c>
      <c r="P10" s="289"/>
      <c r="Q10" s="292"/>
      <c r="R10" s="292"/>
      <c r="S10" s="289"/>
      <c r="T10" s="293" t="str">
        <f t="shared" si="0"/>
        <v/>
      </c>
      <c r="U10" s="289"/>
      <c r="V10" s="294"/>
      <c r="X10" s="258">
        <f t="shared" ref="X10:X73" si="3">1+X9</f>
        <v>3</v>
      </c>
      <c r="Y10" s="340" t="s">
        <v>496</v>
      </c>
      <c r="Z10" s="341"/>
      <c r="AA10" s="342" t="s">
        <v>504</v>
      </c>
      <c r="AB10" s="343"/>
      <c r="AC10" s="343"/>
      <c r="AD10" s="295" t="str">
        <f t="shared" ref="AD10:AD35" si="4">IF(Z10="","",Z10+AD9)</f>
        <v/>
      </c>
      <c r="AE10" s="295" t="str">
        <f t="shared" si="1"/>
        <v/>
      </c>
      <c r="AH10" s="163"/>
      <c r="AI10" s="754"/>
      <c r="AJ10" s="754"/>
      <c r="AK10" s="754"/>
      <c r="AL10" s="754"/>
      <c r="AM10" s="754"/>
      <c r="AN10" s="752"/>
      <c r="AO10" s="163"/>
      <c r="AP10" s="163"/>
    </row>
    <row r="11" spans="1:42">
      <c r="A11" s="296" t="s">
        <v>508</v>
      </c>
      <c r="C11" s="334" t="s">
        <v>438</v>
      </c>
      <c r="D11" s="289"/>
      <c r="E11" s="291"/>
      <c r="F11" s="289"/>
      <c r="G11" s="310" t="str">
        <f t="shared" si="2"/>
        <v/>
      </c>
      <c r="H11" s="308"/>
      <c r="I11" s="289"/>
      <c r="J11" s="291"/>
      <c r="K11" s="314" t="s">
        <v>523</v>
      </c>
      <c r="L11" s="291"/>
      <c r="M11" s="314" t="s">
        <v>523</v>
      </c>
      <c r="N11" s="291"/>
      <c r="O11" s="314" t="s">
        <v>523</v>
      </c>
      <c r="P11" s="289"/>
      <c r="Q11" s="292"/>
      <c r="R11" s="292"/>
      <c r="S11" s="289"/>
      <c r="T11" s="293" t="str">
        <f t="shared" si="0"/>
        <v/>
      </c>
      <c r="U11" s="289"/>
      <c r="V11" s="294"/>
      <c r="X11" s="258">
        <f t="shared" si="3"/>
        <v>4</v>
      </c>
      <c r="Y11" s="340" t="s">
        <v>496</v>
      </c>
      <c r="Z11" s="341"/>
      <c r="AA11" s="342" t="s">
        <v>504</v>
      </c>
      <c r="AB11" s="343"/>
      <c r="AC11" s="343"/>
      <c r="AD11" s="295" t="str">
        <f t="shared" si="4"/>
        <v/>
      </c>
      <c r="AE11" s="295" t="str">
        <f t="shared" si="1"/>
        <v/>
      </c>
      <c r="AH11" s="270">
        <v>1</v>
      </c>
      <c r="AI11" s="340" t="s">
        <v>496</v>
      </c>
      <c r="AJ11" s="341"/>
      <c r="AK11" s="342" t="s">
        <v>504</v>
      </c>
      <c r="AL11" s="344" t="s">
        <v>513</v>
      </c>
      <c r="AM11" s="343" t="s">
        <v>519</v>
      </c>
      <c r="AN11" s="179" t="str">
        <f>IF(AK11="Non effectué","",AJ11)</f>
        <v/>
      </c>
      <c r="AO11" s="163"/>
    </row>
    <row r="12" spans="1:42">
      <c r="A12" s="297"/>
      <c r="C12" s="334" t="s">
        <v>439</v>
      </c>
      <c r="D12" s="289"/>
      <c r="E12" s="291"/>
      <c r="F12" s="289"/>
      <c r="G12" s="310" t="str">
        <f t="shared" si="2"/>
        <v/>
      </c>
      <c r="H12" s="308"/>
      <c r="I12" s="289"/>
      <c r="J12" s="291"/>
      <c r="K12" s="314" t="s">
        <v>523</v>
      </c>
      <c r="L12" s="291"/>
      <c r="M12" s="314" t="s">
        <v>523</v>
      </c>
      <c r="N12" s="291"/>
      <c r="O12" s="314" t="s">
        <v>523</v>
      </c>
      <c r="P12" s="289"/>
      <c r="Q12" s="292"/>
      <c r="R12" s="292"/>
      <c r="S12" s="289"/>
      <c r="T12" s="293" t="str">
        <f t="shared" si="0"/>
        <v/>
      </c>
      <c r="U12" s="289"/>
      <c r="V12" s="294"/>
      <c r="X12" s="258">
        <f t="shared" si="3"/>
        <v>5</v>
      </c>
      <c r="Y12" s="340" t="s">
        <v>496</v>
      </c>
      <c r="Z12" s="341"/>
      <c r="AA12" s="342" t="s">
        <v>504</v>
      </c>
      <c r="AB12" s="343"/>
      <c r="AC12" s="343"/>
      <c r="AD12" s="295" t="str">
        <f t="shared" si="4"/>
        <v/>
      </c>
      <c r="AE12" s="295" t="str">
        <f t="shared" si="1"/>
        <v/>
      </c>
      <c r="AH12" s="258">
        <f>1+AH11</f>
        <v>2</v>
      </c>
      <c r="AI12" s="340" t="s">
        <v>496</v>
      </c>
      <c r="AJ12" s="341"/>
      <c r="AK12" s="342" t="s">
        <v>504</v>
      </c>
      <c r="AL12" s="344"/>
      <c r="AM12" s="343"/>
      <c r="AN12" s="179" t="str">
        <f t="shared" ref="AN12:AN75" si="5">IF(AK12="Non effectué","",AJ12)</f>
        <v/>
      </c>
      <c r="AO12" s="163"/>
    </row>
    <row r="13" spans="1:42">
      <c r="A13" s="296" t="s">
        <v>509</v>
      </c>
      <c r="C13" s="334" t="s">
        <v>416</v>
      </c>
      <c r="D13" s="289"/>
      <c r="E13" s="291"/>
      <c r="F13" s="289"/>
      <c r="G13" s="310" t="str">
        <f t="shared" si="2"/>
        <v/>
      </c>
      <c r="H13" s="308"/>
      <c r="I13" s="289"/>
      <c r="J13" s="291"/>
      <c r="K13" s="314" t="s">
        <v>523</v>
      </c>
      <c r="L13" s="291"/>
      <c r="M13" s="314" t="s">
        <v>523</v>
      </c>
      <c r="N13" s="291"/>
      <c r="O13" s="314" t="s">
        <v>523</v>
      </c>
      <c r="P13" s="289"/>
      <c r="Q13" s="292"/>
      <c r="R13" s="292"/>
      <c r="S13" s="289"/>
      <c r="T13" s="293" t="str">
        <f t="shared" si="0"/>
        <v/>
      </c>
      <c r="U13" s="289"/>
      <c r="V13" s="294"/>
      <c r="X13" s="258">
        <f t="shared" si="3"/>
        <v>6</v>
      </c>
      <c r="Y13" s="340" t="s">
        <v>496</v>
      </c>
      <c r="Z13" s="341"/>
      <c r="AA13" s="342" t="s">
        <v>504</v>
      </c>
      <c r="AB13" s="343"/>
      <c r="AC13" s="343"/>
      <c r="AD13" s="295" t="str">
        <f>IF(Z13="","",Z13+AD12)</f>
        <v/>
      </c>
      <c r="AE13" s="295" t="str">
        <f t="shared" si="1"/>
        <v/>
      </c>
      <c r="AH13" s="258">
        <f t="shared" ref="AH13:AH76" si="6">1+AH12</f>
        <v>3</v>
      </c>
      <c r="AI13" s="340" t="s">
        <v>496</v>
      </c>
      <c r="AJ13" s="341"/>
      <c r="AK13" s="342" t="s">
        <v>504</v>
      </c>
      <c r="AL13" s="344"/>
      <c r="AM13" s="343"/>
      <c r="AN13" s="179" t="str">
        <f t="shared" si="5"/>
        <v/>
      </c>
      <c r="AO13" s="163"/>
    </row>
    <row r="14" spans="1:42">
      <c r="C14" s="334" t="s">
        <v>435</v>
      </c>
      <c r="D14" s="289"/>
      <c r="E14" s="291"/>
      <c r="F14" s="289"/>
      <c r="G14" s="310" t="str">
        <f t="shared" si="2"/>
        <v/>
      </c>
      <c r="H14" s="308"/>
      <c r="I14" s="289"/>
      <c r="J14" s="291"/>
      <c r="K14" s="314" t="s">
        <v>523</v>
      </c>
      <c r="L14" s="291"/>
      <c r="M14" s="314" t="s">
        <v>523</v>
      </c>
      <c r="N14" s="291"/>
      <c r="O14" s="314" t="s">
        <v>523</v>
      </c>
      <c r="P14" s="289"/>
      <c r="Q14" s="292"/>
      <c r="R14" s="292"/>
      <c r="S14" s="289"/>
      <c r="T14" s="293" t="str">
        <f t="shared" si="0"/>
        <v/>
      </c>
      <c r="U14" s="289"/>
      <c r="V14" s="294"/>
      <c r="X14" s="258">
        <f t="shared" si="3"/>
        <v>7</v>
      </c>
      <c r="Y14" s="340" t="s">
        <v>496</v>
      </c>
      <c r="Z14" s="341"/>
      <c r="AA14" s="342" t="s">
        <v>504</v>
      </c>
      <c r="AB14" s="343"/>
      <c r="AC14" s="343"/>
      <c r="AD14" s="295" t="str">
        <f t="shared" si="4"/>
        <v/>
      </c>
      <c r="AE14" s="295" t="str">
        <f t="shared" si="1"/>
        <v/>
      </c>
      <c r="AH14" s="258">
        <f t="shared" si="6"/>
        <v>4</v>
      </c>
      <c r="AI14" s="340" t="s">
        <v>496</v>
      </c>
      <c r="AJ14" s="341"/>
      <c r="AK14" s="342" t="s">
        <v>504</v>
      </c>
      <c r="AL14" s="344"/>
      <c r="AM14" s="343"/>
      <c r="AN14" s="179" t="str">
        <f t="shared" si="5"/>
        <v/>
      </c>
      <c r="AO14" s="163"/>
    </row>
    <row r="15" spans="1:42">
      <c r="C15" s="334" t="s">
        <v>440</v>
      </c>
      <c r="D15" s="289"/>
      <c r="E15" s="291"/>
      <c r="F15" s="289"/>
      <c r="G15" s="310" t="str">
        <f t="shared" si="2"/>
        <v/>
      </c>
      <c r="H15" s="308"/>
      <c r="I15" s="289"/>
      <c r="J15" s="291"/>
      <c r="K15" s="314" t="s">
        <v>523</v>
      </c>
      <c r="L15" s="291"/>
      <c r="M15" s="314" t="s">
        <v>523</v>
      </c>
      <c r="N15" s="291"/>
      <c r="O15" s="314" t="s">
        <v>523</v>
      </c>
      <c r="P15" s="289"/>
      <c r="Q15" s="292"/>
      <c r="R15" s="292"/>
      <c r="S15" s="289"/>
      <c r="T15" s="293" t="str">
        <f t="shared" si="0"/>
        <v/>
      </c>
      <c r="U15" s="289"/>
      <c r="V15" s="294"/>
      <c r="X15" s="258">
        <f t="shared" si="3"/>
        <v>8</v>
      </c>
      <c r="Y15" s="340" t="s">
        <v>496</v>
      </c>
      <c r="Z15" s="341"/>
      <c r="AA15" s="342" t="s">
        <v>504</v>
      </c>
      <c r="AB15" s="343"/>
      <c r="AC15" s="343"/>
      <c r="AD15" s="295" t="str">
        <f t="shared" si="4"/>
        <v/>
      </c>
      <c r="AE15" s="295" t="str">
        <f t="shared" si="1"/>
        <v/>
      </c>
      <c r="AH15" s="258">
        <f t="shared" si="6"/>
        <v>5</v>
      </c>
      <c r="AI15" s="340" t="s">
        <v>496</v>
      </c>
      <c r="AJ15" s="341"/>
      <c r="AK15" s="342" t="s">
        <v>504</v>
      </c>
      <c r="AL15" s="344"/>
      <c r="AM15" s="343"/>
      <c r="AN15" s="179" t="str">
        <f t="shared" si="5"/>
        <v/>
      </c>
      <c r="AO15" s="163"/>
    </row>
    <row r="16" spans="1:42">
      <c r="C16" s="334" t="s">
        <v>450</v>
      </c>
      <c r="D16" s="289"/>
      <c r="E16" s="291"/>
      <c r="F16" s="289"/>
      <c r="G16" s="310" t="str">
        <f t="shared" si="2"/>
        <v/>
      </c>
      <c r="H16" s="308"/>
      <c r="I16" s="289"/>
      <c r="J16" s="291"/>
      <c r="K16" s="314" t="s">
        <v>523</v>
      </c>
      <c r="L16" s="291"/>
      <c r="M16" s="314" t="s">
        <v>523</v>
      </c>
      <c r="N16" s="291"/>
      <c r="O16" s="314" t="s">
        <v>523</v>
      </c>
      <c r="P16" s="289"/>
      <c r="Q16" s="292"/>
      <c r="R16" s="292"/>
      <c r="S16" s="289"/>
      <c r="T16" s="293" t="str">
        <f t="shared" si="0"/>
        <v/>
      </c>
      <c r="U16" s="289"/>
      <c r="V16" s="294"/>
      <c r="X16" s="258">
        <f t="shared" si="3"/>
        <v>9</v>
      </c>
      <c r="Y16" s="340" t="s">
        <v>496</v>
      </c>
      <c r="Z16" s="341"/>
      <c r="AA16" s="342" t="s">
        <v>504</v>
      </c>
      <c r="AB16" s="343"/>
      <c r="AC16" s="343"/>
      <c r="AD16" s="295" t="str">
        <f t="shared" si="4"/>
        <v/>
      </c>
      <c r="AE16" s="295" t="str">
        <f t="shared" si="1"/>
        <v/>
      </c>
      <c r="AH16" s="258">
        <f t="shared" si="6"/>
        <v>6</v>
      </c>
      <c r="AI16" s="340" t="s">
        <v>496</v>
      </c>
      <c r="AJ16" s="341"/>
      <c r="AK16" s="342" t="s">
        <v>504</v>
      </c>
      <c r="AL16" s="344"/>
      <c r="AM16" s="343"/>
      <c r="AN16" s="179" t="str">
        <f t="shared" si="5"/>
        <v/>
      </c>
      <c r="AO16" s="163"/>
    </row>
    <row r="17" spans="3:42">
      <c r="C17" s="334" t="s">
        <v>451</v>
      </c>
      <c r="D17" s="289"/>
      <c r="E17" s="291"/>
      <c r="F17" s="289"/>
      <c r="G17" s="310" t="str">
        <f t="shared" si="2"/>
        <v/>
      </c>
      <c r="H17" s="308"/>
      <c r="I17" s="289"/>
      <c r="J17" s="291"/>
      <c r="K17" s="314" t="s">
        <v>523</v>
      </c>
      <c r="L17" s="291"/>
      <c r="M17" s="314" t="s">
        <v>523</v>
      </c>
      <c r="N17" s="291"/>
      <c r="O17" s="314" t="s">
        <v>523</v>
      </c>
      <c r="P17" s="289"/>
      <c r="Q17" s="292"/>
      <c r="R17" s="292"/>
      <c r="S17" s="289"/>
      <c r="T17" s="293" t="str">
        <f t="shared" si="0"/>
        <v/>
      </c>
      <c r="U17" s="289"/>
      <c r="V17" s="294"/>
      <c r="X17" s="258">
        <f t="shared" si="3"/>
        <v>10</v>
      </c>
      <c r="Y17" s="340" t="s">
        <v>496</v>
      </c>
      <c r="Z17" s="341"/>
      <c r="AA17" s="342" t="s">
        <v>504</v>
      </c>
      <c r="AB17" s="343"/>
      <c r="AC17" s="343"/>
      <c r="AD17" s="295" t="str">
        <f t="shared" si="4"/>
        <v/>
      </c>
      <c r="AE17" s="295" t="str">
        <f t="shared" si="1"/>
        <v/>
      </c>
      <c r="AH17" s="258">
        <f t="shared" si="6"/>
        <v>7</v>
      </c>
      <c r="AI17" s="340" t="s">
        <v>496</v>
      </c>
      <c r="AJ17" s="341"/>
      <c r="AK17" s="342" t="s">
        <v>504</v>
      </c>
      <c r="AL17" s="344"/>
      <c r="AM17" s="343"/>
      <c r="AN17" s="179" t="str">
        <f t="shared" si="5"/>
        <v/>
      </c>
      <c r="AO17" s="163"/>
    </row>
    <row r="18" spans="3:42">
      <c r="C18" s="334" t="s">
        <v>452</v>
      </c>
      <c r="D18" s="289"/>
      <c r="E18" s="291"/>
      <c r="F18" s="289"/>
      <c r="G18" s="310" t="str">
        <f t="shared" si="2"/>
        <v/>
      </c>
      <c r="H18" s="308"/>
      <c r="I18" s="289"/>
      <c r="J18" s="291"/>
      <c r="K18" s="314" t="s">
        <v>523</v>
      </c>
      <c r="L18" s="291"/>
      <c r="M18" s="314" t="s">
        <v>523</v>
      </c>
      <c r="N18" s="291"/>
      <c r="O18" s="314" t="s">
        <v>523</v>
      </c>
      <c r="P18" s="289"/>
      <c r="Q18" s="292"/>
      <c r="R18" s="292"/>
      <c r="S18" s="289"/>
      <c r="T18" s="293" t="str">
        <f t="shared" si="0"/>
        <v/>
      </c>
      <c r="U18" s="289"/>
      <c r="V18" s="294"/>
      <c r="X18" s="258">
        <f t="shared" si="3"/>
        <v>11</v>
      </c>
      <c r="Y18" s="340" t="s">
        <v>496</v>
      </c>
      <c r="Z18" s="341"/>
      <c r="AA18" s="342" t="s">
        <v>504</v>
      </c>
      <c r="AB18" s="343"/>
      <c r="AC18" s="343"/>
      <c r="AD18" s="295" t="str">
        <f t="shared" si="4"/>
        <v/>
      </c>
      <c r="AE18" s="295" t="str">
        <f t="shared" si="1"/>
        <v/>
      </c>
      <c r="AH18" s="258">
        <f t="shared" si="6"/>
        <v>8</v>
      </c>
      <c r="AI18" s="340" t="s">
        <v>496</v>
      </c>
      <c r="AJ18" s="341"/>
      <c r="AK18" s="342" t="s">
        <v>504</v>
      </c>
      <c r="AL18" s="344"/>
      <c r="AM18" s="343"/>
      <c r="AN18" s="179" t="str">
        <f t="shared" si="5"/>
        <v/>
      </c>
      <c r="AO18" s="163"/>
    </row>
    <row r="19" spans="3:42">
      <c r="C19" s="335" t="s">
        <v>459</v>
      </c>
      <c r="D19" s="287"/>
      <c r="E19" s="259"/>
      <c r="F19" s="287"/>
      <c r="G19" s="259"/>
      <c r="H19" s="261"/>
      <c r="I19" s="287"/>
      <c r="P19" s="287"/>
      <c r="Q19" s="261"/>
      <c r="R19" s="261"/>
      <c r="S19" s="287"/>
      <c r="T19" s="261"/>
      <c r="U19" s="287"/>
      <c r="X19" s="258">
        <f t="shared" si="3"/>
        <v>12</v>
      </c>
      <c r="Y19" s="340" t="s">
        <v>496</v>
      </c>
      <c r="Z19" s="341"/>
      <c r="AA19" s="342" t="s">
        <v>504</v>
      </c>
      <c r="AB19" s="343"/>
      <c r="AC19" s="343"/>
      <c r="AD19" s="295" t="str">
        <f t="shared" si="4"/>
        <v/>
      </c>
      <c r="AE19" s="295" t="str">
        <f t="shared" si="1"/>
        <v/>
      </c>
      <c r="AH19" s="258">
        <f t="shared" si="6"/>
        <v>9</v>
      </c>
      <c r="AI19" s="340" t="s">
        <v>496</v>
      </c>
      <c r="AJ19" s="341"/>
      <c r="AK19" s="342" t="s">
        <v>504</v>
      </c>
      <c r="AL19" s="344"/>
      <c r="AM19" s="343"/>
      <c r="AN19" s="179" t="str">
        <f t="shared" si="5"/>
        <v/>
      </c>
      <c r="AO19" s="163"/>
    </row>
    <row r="20" spans="3:42">
      <c r="C20" s="334" t="s">
        <v>433</v>
      </c>
      <c r="D20" s="289"/>
      <c r="E20" s="291"/>
      <c r="F20" s="289"/>
      <c r="G20" s="310" t="str">
        <f t="shared" ref="G20:G26" si="7">IF(H20="",IF(E20="","",E20),IF(H20="Devis 1",J20,IF(H20="Devis 2",L20,N20)))</f>
        <v/>
      </c>
      <c r="H20" s="308"/>
      <c r="I20" s="289"/>
      <c r="J20" s="291"/>
      <c r="K20" s="314" t="s">
        <v>523</v>
      </c>
      <c r="L20" s="291"/>
      <c r="M20" s="314" t="s">
        <v>523</v>
      </c>
      <c r="N20" s="291"/>
      <c r="O20" s="314" t="s">
        <v>523</v>
      </c>
      <c r="P20" s="289"/>
      <c r="Q20" s="292"/>
      <c r="R20" s="292"/>
      <c r="S20" s="289"/>
      <c r="T20" s="293" t="str">
        <f t="shared" si="0"/>
        <v/>
      </c>
      <c r="U20" s="289"/>
      <c r="V20" s="294"/>
      <c r="X20" s="258">
        <f t="shared" si="3"/>
        <v>13</v>
      </c>
      <c r="Y20" s="340" t="s">
        <v>496</v>
      </c>
      <c r="Z20" s="341"/>
      <c r="AA20" s="342" t="s">
        <v>504</v>
      </c>
      <c r="AB20" s="343"/>
      <c r="AC20" s="343"/>
      <c r="AD20" s="295" t="str">
        <f t="shared" si="4"/>
        <v/>
      </c>
      <c r="AE20" s="295" t="str">
        <f t="shared" si="1"/>
        <v/>
      </c>
      <c r="AH20" s="258">
        <f t="shared" si="6"/>
        <v>10</v>
      </c>
      <c r="AI20" s="340" t="s">
        <v>496</v>
      </c>
      <c r="AJ20" s="341"/>
      <c r="AK20" s="342" t="s">
        <v>504</v>
      </c>
      <c r="AL20" s="344"/>
      <c r="AM20" s="343"/>
      <c r="AN20" s="179" t="str">
        <f t="shared" si="5"/>
        <v/>
      </c>
      <c r="AO20" s="163"/>
    </row>
    <row r="21" spans="3:42">
      <c r="C21" s="334" t="s">
        <v>436</v>
      </c>
      <c r="D21" s="289"/>
      <c r="E21" s="291"/>
      <c r="F21" s="289"/>
      <c r="G21" s="310" t="str">
        <f t="shared" si="7"/>
        <v/>
      </c>
      <c r="H21" s="308"/>
      <c r="I21" s="289"/>
      <c r="J21" s="291"/>
      <c r="K21" s="314" t="s">
        <v>523</v>
      </c>
      <c r="L21" s="291"/>
      <c r="M21" s="314" t="s">
        <v>523</v>
      </c>
      <c r="N21" s="291"/>
      <c r="O21" s="314" t="s">
        <v>523</v>
      </c>
      <c r="P21" s="289"/>
      <c r="Q21" s="292"/>
      <c r="R21" s="292"/>
      <c r="S21" s="289"/>
      <c r="T21" s="293" t="str">
        <f t="shared" si="0"/>
        <v/>
      </c>
      <c r="U21" s="289"/>
      <c r="V21" s="294"/>
      <c r="X21" s="258">
        <f t="shared" si="3"/>
        <v>14</v>
      </c>
      <c r="Y21" s="340" t="s">
        <v>496</v>
      </c>
      <c r="Z21" s="341"/>
      <c r="AA21" s="342" t="s">
        <v>504</v>
      </c>
      <c r="AB21" s="343"/>
      <c r="AC21" s="343"/>
      <c r="AD21" s="295" t="str">
        <f t="shared" si="4"/>
        <v/>
      </c>
      <c r="AE21" s="295" t="str">
        <f t="shared" si="1"/>
        <v/>
      </c>
      <c r="AH21" s="258">
        <f t="shared" si="6"/>
        <v>11</v>
      </c>
      <c r="AI21" s="340" t="s">
        <v>496</v>
      </c>
      <c r="AJ21" s="341"/>
      <c r="AK21" s="342" t="s">
        <v>504</v>
      </c>
      <c r="AL21" s="344"/>
      <c r="AM21" s="343"/>
      <c r="AN21" s="179" t="str">
        <f t="shared" si="5"/>
        <v/>
      </c>
      <c r="AO21" s="163"/>
    </row>
    <row r="22" spans="3:42">
      <c r="C22" s="334" t="s">
        <v>434</v>
      </c>
      <c r="D22" s="289"/>
      <c r="E22" s="291"/>
      <c r="F22" s="289"/>
      <c r="G22" s="310" t="str">
        <f t="shared" si="7"/>
        <v/>
      </c>
      <c r="H22" s="308"/>
      <c r="I22" s="289"/>
      <c r="J22" s="291"/>
      <c r="K22" s="314" t="s">
        <v>523</v>
      </c>
      <c r="L22" s="291"/>
      <c r="M22" s="314" t="s">
        <v>523</v>
      </c>
      <c r="N22" s="291"/>
      <c r="O22" s="314" t="s">
        <v>523</v>
      </c>
      <c r="P22" s="289"/>
      <c r="Q22" s="292"/>
      <c r="R22" s="292"/>
      <c r="S22" s="289"/>
      <c r="T22" s="293" t="str">
        <f t="shared" si="0"/>
        <v/>
      </c>
      <c r="U22" s="289"/>
      <c r="V22" s="294"/>
      <c r="X22" s="258">
        <f t="shared" si="3"/>
        <v>15</v>
      </c>
      <c r="Y22" s="340" t="s">
        <v>496</v>
      </c>
      <c r="Z22" s="341"/>
      <c r="AA22" s="342" t="s">
        <v>504</v>
      </c>
      <c r="AB22" s="343"/>
      <c r="AC22" s="343"/>
      <c r="AD22" s="295" t="str">
        <f t="shared" si="4"/>
        <v/>
      </c>
      <c r="AE22" s="295" t="str">
        <f t="shared" si="1"/>
        <v/>
      </c>
      <c r="AH22" s="258">
        <f t="shared" si="6"/>
        <v>12</v>
      </c>
      <c r="AI22" s="340" t="s">
        <v>496</v>
      </c>
      <c r="AJ22" s="341"/>
      <c r="AK22" s="342" t="s">
        <v>504</v>
      </c>
      <c r="AL22" s="344"/>
      <c r="AM22" s="343"/>
      <c r="AN22" s="179" t="str">
        <f t="shared" si="5"/>
        <v/>
      </c>
      <c r="AO22" s="163"/>
    </row>
    <row r="23" spans="3:42">
      <c r="C23" s="334" t="s">
        <v>440</v>
      </c>
      <c r="D23" s="289"/>
      <c r="E23" s="291"/>
      <c r="F23" s="289"/>
      <c r="G23" s="310" t="str">
        <f t="shared" si="7"/>
        <v/>
      </c>
      <c r="H23" s="308"/>
      <c r="I23" s="289"/>
      <c r="J23" s="291"/>
      <c r="K23" s="314" t="s">
        <v>523</v>
      </c>
      <c r="L23" s="291"/>
      <c r="M23" s="314" t="s">
        <v>523</v>
      </c>
      <c r="N23" s="291"/>
      <c r="O23" s="314" t="s">
        <v>523</v>
      </c>
      <c r="P23" s="289"/>
      <c r="Q23" s="292"/>
      <c r="R23" s="292"/>
      <c r="S23" s="289"/>
      <c r="T23" s="293" t="str">
        <f t="shared" si="0"/>
        <v/>
      </c>
      <c r="U23" s="289"/>
      <c r="V23" s="294"/>
      <c r="X23" s="258">
        <f t="shared" si="3"/>
        <v>16</v>
      </c>
      <c r="Y23" s="340" t="s">
        <v>496</v>
      </c>
      <c r="Z23" s="341"/>
      <c r="AA23" s="342" t="s">
        <v>504</v>
      </c>
      <c r="AB23" s="343"/>
      <c r="AC23" s="343"/>
      <c r="AD23" s="295" t="str">
        <f t="shared" si="4"/>
        <v/>
      </c>
      <c r="AE23" s="295" t="str">
        <f t="shared" si="1"/>
        <v/>
      </c>
      <c r="AH23" s="258">
        <f t="shared" si="6"/>
        <v>13</v>
      </c>
      <c r="AI23" s="340" t="s">
        <v>496</v>
      </c>
      <c r="AJ23" s="341"/>
      <c r="AK23" s="342" t="s">
        <v>504</v>
      </c>
      <c r="AL23" s="344"/>
      <c r="AM23" s="343"/>
      <c r="AN23" s="179" t="str">
        <f t="shared" si="5"/>
        <v/>
      </c>
      <c r="AO23" s="163"/>
    </row>
    <row r="24" spans="3:42">
      <c r="C24" s="334" t="s">
        <v>450</v>
      </c>
      <c r="D24" s="289"/>
      <c r="E24" s="291"/>
      <c r="F24" s="289"/>
      <c r="G24" s="310" t="str">
        <f t="shared" si="7"/>
        <v/>
      </c>
      <c r="H24" s="308"/>
      <c r="I24" s="289"/>
      <c r="J24" s="291"/>
      <c r="K24" s="314" t="s">
        <v>523</v>
      </c>
      <c r="L24" s="291"/>
      <c r="M24" s="314" t="s">
        <v>523</v>
      </c>
      <c r="N24" s="291"/>
      <c r="O24" s="314" t="s">
        <v>523</v>
      </c>
      <c r="P24" s="289"/>
      <c r="Q24" s="292"/>
      <c r="R24" s="292"/>
      <c r="S24" s="289"/>
      <c r="T24" s="293" t="str">
        <f t="shared" si="0"/>
        <v/>
      </c>
      <c r="U24" s="289"/>
      <c r="V24" s="294"/>
      <c r="X24" s="258">
        <f t="shared" si="3"/>
        <v>17</v>
      </c>
      <c r="Y24" s="340" t="s">
        <v>496</v>
      </c>
      <c r="Z24" s="341"/>
      <c r="AA24" s="342" t="s">
        <v>504</v>
      </c>
      <c r="AB24" s="343"/>
      <c r="AC24" s="343"/>
      <c r="AD24" s="295" t="str">
        <f t="shared" si="4"/>
        <v/>
      </c>
      <c r="AE24" s="295" t="str">
        <f t="shared" si="1"/>
        <v/>
      </c>
      <c r="AH24" s="258">
        <f t="shared" si="6"/>
        <v>14</v>
      </c>
      <c r="AI24" s="340" t="s">
        <v>496</v>
      </c>
      <c r="AJ24" s="341"/>
      <c r="AK24" s="342" t="s">
        <v>504</v>
      </c>
      <c r="AL24" s="344"/>
      <c r="AM24" s="343"/>
      <c r="AN24" s="179" t="str">
        <f t="shared" si="5"/>
        <v/>
      </c>
      <c r="AO24" s="163"/>
    </row>
    <row r="25" spans="3:42">
      <c r="C25" s="334" t="s">
        <v>451</v>
      </c>
      <c r="D25" s="289"/>
      <c r="E25" s="291"/>
      <c r="F25" s="289"/>
      <c r="G25" s="310" t="str">
        <f t="shared" si="7"/>
        <v/>
      </c>
      <c r="H25" s="308"/>
      <c r="I25" s="289"/>
      <c r="J25" s="291"/>
      <c r="K25" s="314" t="s">
        <v>523</v>
      </c>
      <c r="L25" s="291"/>
      <c r="M25" s="314" t="s">
        <v>523</v>
      </c>
      <c r="N25" s="291"/>
      <c r="O25" s="314" t="s">
        <v>523</v>
      </c>
      <c r="P25" s="289"/>
      <c r="Q25" s="292"/>
      <c r="R25" s="292"/>
      <c r="S25" s="289"/>
      <c r="T25" s="293" t="str">
        <f t="shared" si="0"/>
        <v/>
      </c>
      <c r="U25" s="289"/>
      <c r="V25" s="294"/>
      <c r="X25" s="258">
        <f t="shared" si="3"/>
        <v>18</v>
      </c>
      <c r="Y25" s="340" t="s">
        <v>496</v>
      </c>
      <c r="Z25" s="341"/>
      <c r="AA25" s="342" t="s">
        <v>504</v>
      </c>
      <c r="AB25" s="343"/>
      <c r="AC25" s="343"/>
      <c r="AD25" s="295" t="str">
        <f t="shared" si="4"/>
        <v/>
      </c>
      <c r="AE25" s="295" t="str">
        <f t="shared" si="1"/>
        <v/>
      </c>
      <c r="AH25" s="258">
        <f t="shared" si="6"/>
        <v>15</v>
      </c>
      <c r="AI25" s="340" t="s">
        <v>496</v>
      </c>
      <c r="AJ25" s="341"/>
      <c r="AK25" s="342" t="s">
        <v>504</v>
      </c>
      <c r="AL25" s="344"/>
      <c r="AM25" s="343"/>
      <c r="AN25" s="179" t="str">
        <f t="shared" si="5"/>
        <v/>
      </c>
      <c r="AO25" s="163"/>
    </row>
    <row r="26" spans="3:42">
      <c r="C26" s="334" t="s">
        <v>452</v>
      </c>
      <c r="D26" s="289"/>
      <c r="E26" s="291"/>
      <c r="F26" s="289"/>
      <c r="G26" s="310" t="str">
        <f t="shared" si="7"/>
        <v/>
      </c>
      <c r="H26" s="308"/>
      <c r="I26" s="289"/>
      <c r="J26" s="291"/>
      <c r="K26" s="314" t="s">
        <v>523</v>
      </c>
      <c r="L26" s="291"/>
      <c r="M26" s="314" t="s">
        <v>523</v>
      </c>
      <c r="N26" s="291"/>
      <c r="O26" s="314" t="s">
        <v>523</v>
      </c>
      <c r="P26" s="289"/>
      <c r="Q26" s="292"/>
      <c r="R26" s="292"/>
      <c r="S26" s="289"/>
      <c r="T26" s="293" t="str">
        <f t="shared" si="0"/>
        <v/>
      </c>
      <c r="U26" s="289"/>
      <c r="V26" s="294"/>
      <c r="X26" s="258">
        <f t="shared" si="3"/>
        <v>19</v>
      </c>
      <c r="Y26" s="340" t="s">
        <v>496</v>
      </c>
      <c r="Z26" s="341"/>
      <c r="AA26" s="342" t="s">
        <v>504</v>
      </c>
      <c r="AB26" s="343"/>
      <c r="AC26" s="343"/>
      <c r="AD26" s="295" t="str">
        <f t="shared" si="4"/>
        <v/>
      </c>
      <c r="AE26" s="295" t="str">
        <f t="shared" si="1"/>
        <v/>
      </c>
      <c r="AH26" s="258">
        <f t="shared" si="6"/>
        <v>16</v>
      </c>
      <c r="AI26" s="340" t="s">
        <v>496</v>
      </c>
      <c r="AJ26" s="341"/>
      <c r="AK26" s="342" t="s">
        <v>504</v>
      </c>
      <c r="AL26" s="344"/>
      <c r="AM26" s="343"/>
      <c r="AN26" s="179" t="str">
        <f t="shared" si="5"/>
        <v/>
      </c>
      <c r="AO26" s="163"/>
    </row>
    <row r="27" spans="3:42">
      <c r="C27" s="336" t="s">
        <v>465</v>
      </c>
      <c r="D27" s="163"/>
      <c r="E27" s="320">
        <f>SUM(E9:E26)</f>
        <v>0</v>
      </c>
      <c r="F27" s="163"/>
      <c r="G27" s="743">
        <f>SUM(G9:G26)</f>
        <v>0</v>
      </c>
      <c r="H27" s="743"/>
      <c r="I27" s="163"/>
      <c r="J27" s="725">
        <f>SUM(J9:J26)</f>
        <v>0</v>
      </c>
      <c r="K27" s="726"/>
      <c r="L27" s="725">
        <f t="shared" ref="L27:N27" si="8">SUM(L9:L26)</f>
        <v>0</v>
      </c>
      <c r="M27" s="726"/>
      <c r="N27" s="725">
        <f t="shared" si="8"/>
        <v>0</v>
      </c>
      <c r="O27" s="726"/>
      <c r="Q27" s="259"/>
      <c r="R27" s="259"/>
      <c r="T27" s="259"/>
      <c r="X27" s="258">
        <f t="shared" si="3"/>
        <v>20</v>
      </c>
      <c r="Y27" s="340" t="s">
        <v>496</v>
      </c>
      <c r="Z27" s="341"/>
      <c r="AA27" s="342" t="s">
        <v>504</v>
      </c>
      <c r="AB27" s="343"/>
      <c r="AC27" s="343"/>
      <c r="AD27" s="295" t="str">
        <f t="shared" si="4"/>
        <v/>
      </c>
      <c r="AE27" s="295" t="str">
        <f t="shared" si="1"/>
        <v/>
      </c>
      <c r="AH27" s="258">
        <f t="shared" si="6"/>
        <v>17</v>
      </c>
      <c r="AI27" s="340" t="s">
        <v>496</v>
      </c>
      <c r="AJ27" s="341"/>
      <c r="AK27" s="342" t="s">
        <v>504</v>
      </c>
      <c r="AL27" s="344"/>
      <c r="AM27" s="343"/>
      <c r="AN27" s="179" t="str">
        <f t="shared" si="5"/>
        <v/>
      </c>
      <c r="AO27" s="163"/>
    </row>
    <row r="28" spans="3:42">
      <c r="C28" s="337"/>
      <c r="Q28" s="259"/>
      <c r="R28" s="259"/>
      <c r="T28" s="259"/>
      <c r="X28" s="258">
        <f t="shared" si="3"/>
        <v>21</v>
      </c>
      <c r="Y28" s="340" t="s">
        <v>496</v>
      </c>
      <c r="Z28" s="341"/>
      <c r="AA28" s="342" t="s">
        <v>504</v>
      </c>
      <c r="AB28" s="343"/>
      <c r="AC28" s="343"/>
      <c r="AD28" s="295" t="str">
        <f t="shared" si="4"/>
        <v/>
      </c>
      <c r="AE28" s="295" t="str">
        <f t="shared" si="1"/>
        <v/>
      </c>
      <c r="AH28" s="258">
        <f t="shared" si="6"/>
        <v>18</v>
      </c>
      <c r="AI28" s="340" t="s">
        <v>496</v>
      </c>
      <c r="AJ28" s="341"/>
      <c r="AK28" s="342" t="s">
        <v>504</v>
      </c>
      <c r="AL28" s="344"/>
      <c r="AM28" s="343"/>
      <c r="AN28" s="179" t="str">
        <f t="shared" si="5"/>
        <v/>
      </c>
      <c r="AO28" s="163"/>
    </row>
    <row r="29" spans="3:42" s="163" customFormat="1" ht="16">
      <c r="C29" s="338" t="s">
        <v>417</v>
      </c>
      <c r="D29" s="173"/>
      <c r="E29" s="315" t="s">
        <v>531</v>
      </c>
      <c r="F29" s="173"/>
      <c r="G29" s="746" t="s">
        <v>533</v>
      </c>
      <c r="H29" s="747"/>
      <c r="I29" s="173"/>
      <c r="J29" s="735" t="s">
        <v>456</v>
      </c>
      <c r="K29" s="736"/>
      <c r="L29" s="735" t="s">
        <v>457</v>
      </c>
      <c r="M29" s="736"/>
      <c r="N29" s="727" t="s">
        <v>458</v>
      </c>
      <c r="O29" s="728"/>
      <c r="P29" s="173"/>
      <c r="Q29" s="284" t="str">
        <f>Q7</f>
        <v>Priorités de la fiancée</v>
      </c>
      <c r="R29" s="284" t="str">
        <f>R7</f>
        <v>Priorités du fiancé</v>
      </c>
      <c r="S29" s="173"/>
      <c r="T29" s="298" t="s">
        <v>467</v>
      </c>
      <c r="U29" s="173"/>
      <c r="V29" s="283" t="s">
        <v>464</v>
      </c>
      <c r="X29" s="258">
        <f t="shared" si="3"/>
        <v>22</v>
      </c>
      <c r="Y29" s="340" t="s">
        <v>496</v>
      </c>
      <c r="Z29" s="341"/>
      <c r="AA29" s="342" t="s">
        <v>504</v>
      </c>
      <c r="AB29" s="343"/>
      <c r="AC29" s="343"/>
      <c r="AD29" s="295" t="str">
        <f t="shared" si="4"/>
        <v/>
      </c>
      <c r="AE29" s="295" t="str">
        <f t="shared" si="1"/>
        <v/>
      </c>
      <c r="AH29" s="258">
        <f t="shared" si="6"/>
        <v>19</v>
      </c>
      <c r="AI29" s="340" t="s">
        <v>496</v>
      </c>
      <c r="AJ29" s="341"/>
      <c r="AK29" s="342" t="s">
        <v>504</v>
      </c>
      <c r="AL29" s="344"/>
      <c r="AM29" s="343"/>
      <c r="AN29" s="179" t="str">
        <f t="shared" si="5"/>
        <v/>
      </c>
      <c r="AP29" s="255"/>
    </row>
    <row r="30" spans="3:42">
      <c r="C30" s="334" t="s">
        <v>418</v>
      </c>
      <c r="D30" s="289"/>
      <c r="E30" s="291"/>
      <c r="F30" s="289"/>
      <c r="G30" s="310" t="str">
        <f t="shared" ref="G30:G40" si="9">IF(H30="",IF(E30="","",E30),IF(H30="Devis 1",J30,IF(H30="Devis 2",L30,N30)))</f>
        <v/>
      </c>
      <c r="H30" s="308"/>
      <c r="I30" s="289"/>
      <c r="J30" s="291"/>
      <c r="K30" s="314" t="s">
        <v>523</v>
      </c>
      <c r="L30" s="291"/>
      <c r="M30" s="314" t="s">
        <v>523</v>
      </c>
      <c r="N30" s="291"/>
      <c r="O30" s="314" t="s">
        <v>523</v>
      </c>
      <c r="P30" s="289"/>
      <c r="Q30" s="292"/>
      <c r="R30" s="292"/>
      <c r="S30" s="289"/>
      <c r="T30" s="293" t="str">
        <f t="shared" ref="T30:T40" si="10">IF(OR(Q30="1 (indispensable)",R30="1 (indispensable)"),"1 (indispensable)",IF(AND(Q30="2 (essentiel)",R30="2 (essentiel)"),"2 (essentiel)",""))</f>
        <v/>
      </c>
      <c r="U30" s="289"/>
      <c r="V30" s="294"/>
      <c r="X30" s="258">
        <f t="shared" si="3"/>
        <v>23</v>
      </c>
      <c r="Y30" s="340" t="s">
        <v>496</v>
      </c>
      <c r="Z30" s="341"/>
      <c r="AA30" s="342" t="s">
        <v>504</v>
      </c>
      <c r="AB30" s="343"/>
      <c r="AC30" s="343"/>
      <c r="AD30" s="295" t="str">
        <f t="shared" si="4"/>
        <v/>
      </c>
      <c r="AE30" s="295" t="str">
        <f t="shared" si="1"/>
        <v/>
      </c>
      <c r="AH30" s="258">
        <f t="shared" si="6"/>
        <v>20</v>
      </c>
      <c r="AI30" s="340" t="s">
        <v>496</v>
      </c>
      <c r="AJ30" s="341"/>
      <c r="AK30" s="342" t="s">
        <v>504</v>
      </c>
      <c r="AL30" s="344"/>
      <c r="AM30" s="343"/>
      <c r="AN30" s="179" t="str">
        <f t="shared" si="5"/>
        <v/>
      </c>
      <c r="AO30" s="163"/>
    </row>
    <row r="31" spans="3:42">
      <c r="C31" s="334" t="s">
        <v>441</v>
      </c>
      <c r="D31" s="289"/>
      <c r="E31" s="291"/>
      <c r="F31" s="289"/>
      <c r="G31" s="310" t="str">
        <f t="shared" si="9"/>
        <v/>
      </c>
      <c r="H31" s="308"/>
      <c r="I31" s="289"/>
      <c r="J31" s="291"/>
      <c r="K31" s="314" t="s">
        <v>523</v>
      </c>
      <c r="L31" s="291"/>
      <c r="M31" s="314" t="s">
        <v>523</v>
      </c>
      <c r="N31" s="291"/>
      <c r="O31" s="314" t="s">
        <v>523</v>
      </c>
      <c r="P31" s="289"/>
      <c r="Q31" s="292"/>
      <c r="R31" s="292"/>
      <c r="S31" s="289"/>
      <c r="T31" s="293" t="str">
        <f t="shared" si="10"/>
        <v/>
      </c>
      <c r="U31" s="289"/>
      <c r="V31" s="294"/>
      <c r="X31" s="258">
        <f t="shared" si="3"/>
        <v>24</v>
      </c>
      <c r="Y31" s="340" t="s">
        <v>496</v>
      </c>
      <c r="Z31" s="341"/>
      <c r="AA31" s="342" t="s">
        <v>504</v>
      </c>
      <c r="AB31" s="343"/>
      <c r="AC31" s="343"/>
      <c r="AD31" s="295" t="str">
        <f t="shared" si="4"/>
        <v/>
      </c>
      <c r="AE31" s="295" t="str">
        <f t="shared" si="1"/>
        <v/>
      </c>
      <c r="AH31" s="258">
        <f t="shared" si="6"/>
        <v>21</v>
      </c>
      <c r="AI31" s="340" t="s">
        <v>496</v>
      </c>
      <c r="AJ31" s="341"/>
      <c r="AK31" s="342" t="s">
        <v>504</v>
      </c>
      <c r="AL31" s="344"/>
      <c r="AM31" s="343"/>
      <c r="AN31" s="179" t="str">
        <f t="shared" si="5"/>
        <v/>
      </c>
      <c r="AO31" s="163"/>
    </row>
    <row r="32" spans="3:42">
      <c r="C32" s="334" t="s">
        <v>419</v>
      </c>
      <c r="D32" s="289"/>
      <c r="E32" s="291"/>
      <c r="F32" s="289"/>
      <c r="G32" s="310" t="str">
        <f t="shared" si="9"/>
        <v/>
      </c>
      <c r="H32" s="308"/>
      <c r="I32" s="289"/>
      <c r="J32" s="291"/>
      <c r="K32" s="314" t="s">
        <v>523</v>
      </c>
      <c r="L32" s="291"/>
      <c r="M32" s="314" t="s">
        <v>523</v>
      </c>
      <c r="N32" s="291"/>
      <c r="O32" s="314" t="s">
        <v>523</v>
      </c>
      <c r="P32" s="289"/>
      <c r="Q32" s="292"/>
      <c r="R32" s="292"/>
      <c r="S32" s="289"/>
      <c r="T32" s="293" t="str">
        <f t="shared" si="10"/>
        <v/>
      </c>
      <c r="U32" s="289"/>
      <c r="V32" s="294"/>
      <c r="X32" s="258">
        <f t="shared" si="3"/>
        <v>25</v>
      </c>
      <c r="Y32" s="340" t="s">
        <v>496</v>
      </c>
      <c r="Z32" s="341"/>
      <c r="AA32" s="342" t="s">
        <v>504</v>
      </c>
      <c r="AB32" s="343"/>
      <c r="AC32" s="343"/>
      <c r="AD32" s="295" t="str">
        <f t="shared" si="4"/>
        <v/>
      </c>
      <c r="AE32" s="295" t="str">
        <f t="shared" si="1"/>
        <v/>
      </c>
      <c r="AH32" s="258">
        <f t="shared" si="6"/>
        <v>22</v>
      </c>
      <c r="AI32" s="340" t="s">
        <v>496</v>
      </c>
      <c r="AJ32" s="341"/>
      <c r="AK32" s="342" t="s">
        <v>504</v>
      </c>
      <c r="AL32" s="344"/>
      <c r="AM32" s="343"/>
      <c r="AN32" s="179" t="str">
        <f t="shared" si="5"/>
        <v/>
      </c>
      <c r="AO32" s="163"/>
      <c r="AP32" s="163"/>
    </row>
    <row r="33" spans="3:42">
      <c r="C33" s="334" t="s">
        <v>442</v>
      </c>
      <c r="D33" s="289"/>
      <c r="E33" s="291"/>
      <c r="F33" s="289"/>
      <c r="G33" s="310" t="str">
        <f t="shared" si="9"/>
        <v/>
      </c>
      <c r="H33" s="308"/>
      <c r="I33" s="289"/>
      <c r="J33" s="291"/>
      <c r="K33" s="314" t="s">
        <v>523</v>
      </c>
      <c r="L33" s="291"/>
      <c r="M33" s="314" t="s">
        <v>523</v>
      </c>
      <c r="N33" s="291"/>
      <c r="O33" s="314" t="s">
        <v>523</v>
      </c>
      <c r="P33" s="289"/>
      <c r="Q33" s="292"/>
      <c r="R33" s="292"/>
      <c r="S33" s="289"/>
      <c r="T33" s="293" t="str">
        <f t="shared" si="10"/>
        <v/>
      </c>
      <c r="U33" s="289"/>
      <c r="V33" s="294"/>
      <c r="X33" s="258">
        <f t="shared" si="3"/>
        <v>26</v>
      </c>
      <c r="Y33" s="340" t="s">
        <v>496</v>
      </c>
      <c r="Z33" s="341"/>
      <c r="AA33" s="342" t="s">
        <v>504</v>
      </c>
      <c r="AB33" s="343"/>
      <c r="AC33" s="343"/>
      <c r="AD33" s="295" t="str">
        <f t="shared" si="4"/>
        <v/>
      </c>
      <c r="AE33" s="295" t="str">
        <f t="shared" si="1"/>
        <v/>
      </c>
      <c r="AH33" s="258">
        <f t="shared" si="6"/>
        <v>23</v>
      </c>
      <c r="AI33" s="340" t="s">
        <v>496</v>
      </c>
      <c r="AJ33" s="341"/>
      <c r="AK33" s="342" t="s">
        <v>504</v>
      </c>
      <c r="AL33" s="344"/>
      <c r="AM33" s="343"/>
      <c r="AN33" s="179" t="str">
        <f t="shared" si="5"/>
        <v/>
      </c>
      <c r="AO33" s="163"/>
    </row>
    <row r="34" spans="3:42">
      <c r="C34" s="334" t="s">
        <v>443</v>
      </c>
      <c r="D34" s="289"/>
      <c r="E34" s="291"/>
      <c r="F34" s="289"/>
      <c r="G34" s="310" t="str">
        <f t="shared" si="9"/>
        <v/>
      </c>
      <c r="H34" s="308"/>
      <c r="I34" s="289"/>
      <c r="J34" s="291"/>
      <c r="K34" s="314" t="s">
        <v>523</v>
      </c>
      <c r="L34" s="291"/>
      <c r="M34" s="314" t="s">
        <v>523</v>
      </c>
      <c r="N34" s="291"/>
      <c r="O34" s="314" t="s">
        <v>523</v>
      </c>
      <c r="P34" s="289"/>
      <c r="Q34" s="292"/>
      <c r="R34" s="292"/>
      <c r="S34" s="289"/>
      <c r="T34" s="293" t="str">
        <f t="shared" si="10"/>
        <v/>
      </c>
      <c r="U34" s="289"/>
      <c r="V34" s="294"/>
      <c r="X34" s="258">
        <f t="shared" si="3"/>
        <v>27</v>
      </c>
      <c r="Y34" s="340" t="s">
        <v>496</v>
      </c>
      <c r="Z34" s="341"/>
      <c r="AA34" s="342" t="s">
        <v>504</v>
      </c>
      <c r="AB34" s="343"/>
      <c r="AC34" s="343"/>
      <c r="AD34" s="295" t="str">
        <f t="shared" si="4"/>
        <v/>
      </c>
      <c r="AE34" s="295" t="str">
        <f t="shared" si="1"/>
        <v/>
      </c>
      <c r="AH34" s="258">
        <f t="shared" si="6"/>
        <v>24</v>
      </c>
      <c r="AI34" s="340" t="s">
        <v>496</v>
      </c>
      <c r="AJ34" s="341"/>
      <c r="AK34" s="342" t="s">
        <v>504</v>
      </c>
      <c r="AL34" s="344"/>
      <c r="AM34" s="343"/>
      <c r="AN34" s="179" t="str">
        <f t="shared" si="5"/>
        <v/>
      </c>
      <c r="AO34" s="163"/>
    </row>
    <row r="35" spans="3:42">
      <c r="C35" s="334" t="s">
        <v>444</v>
      </c>
      <c r="D35" s="289"/>
      <c r="E35" s="291"/>
      <c r="F35" s="289"/>
      <c r="G35" s="310" t="str">
        <f t="shared" si="9"/>
        <v/>
      </c>
      <c r="H35" s="308"/>
      <c r="I35" s="289"/>
      <c r="J35" s="291"/>
      <c r="K35" s="314" t="s">
        <v>523</v>
      </c>
      <c r="L35" s="291"/>
      <c r="M35" s="314" t="s">
        <v>523</v>
      </c>
      <c r="N35" s="291"/>
      <c r="O35" s="314" t="s">
        <v>523</v>
      </c>
      <c r="P35" s="289"/>
      <c r="Q35" s="292"/>
      <c r="R35" s="292"/>
      <c r="S35" s="289"/>
      <c r="T35" s="293" t="str">
        <f t="shared" si="10"/>
        <v/>
      </c>
      <c r="U35" s="289"/>
      <c r="V35" s="294"/>
      <c r="X35" s="258">
        <f t="shared" si="3"/>
        <v>28</v>
      </c>
      <c r="Y35" s="340" t="s">
        <v>496</v>
      </c>
      <c r="Z35" s="341"/>
      <c r="AA35" s="342" t="s">
        <v>504</v>
      </c>
      <c r="AB35" s="343"/>
      <c r="AC35" s="343"/>
      <c r="AD35" s="295" t="str">
        <f t="shared" si="4"/>
        <v/>
      </c>
      <c r="AE35" s="295" t="str">
        <f t="shared" si="1"/>
        <v/>
      </c>
      <c r="AH35" s="258">
        <f t="shared" si="6"/>
        <v>25</v>
      </c>
      <c r="AI35" s="340" t="s">
        <v>496</v>
      </c>
      <c r="AJ35" s="341"/>
      <c r="AK35" s="342" t="s">
        <v>504</v>
      </c>
      <c r="AL35" s="344"/>
      <c r="AM35" s="343"/>
      <c r="AN35" s="179" t="str">
        <f t="shared" si="5"/>
        <v/>
      </c>
      <c r="AO35" s="163"/>
    </row>
    <row r="36" spans="3:42">
      <c r="C36" s="334" t="s">
        <v>420</v>
      </c>
      <c r="D36" s="289"/>
      <c r="E36" s="291"/>
      <c r="F36" s="289"/>
      <c r="G36" s="310" t="str">
        <f t="shared" si="9"/>
        <v/>
      </c>
      <c r="H36" s="308"/>
      <c r="I36" s="289"/>
      <c r="J36" s="291"/>
      <c r="K36" s="314" t="s">
        <v>523</v>
      </c>
      <c r="L36" s="291"/>
      <c r="M36" s="314" t="s">
        <v>523</v>
      </c>
      <c r="N36" s="291"/>
      <c r="O36" s="314" t="s">
        <v>523</v>
      </c>
      <c r="P36" s="289"/>
      <c r="Q36" s="292"/>
      <c r="R36" s="292"/>
      <c r="S36" s="289"/>
      <c r="T36" s="293" t="str">
        <f t="shared" si="10"/>
        <v/>
      </c>
      <c r="U36" s="289"/>
      <c r="V36" s="294"/>
      <c r="X36" s="258">
        <f t="shared" si="3"/>
        <v>29</v>
      </c>
      <c r="Y36" s="340" t="s">
        <v>496</v>
      </c>
      <c r="Z36" s="341"/>
      <c r="AA36" s="342" t="s">
        <v>504</v>
      </c>
      <c r="AB36" s="343"/>
      <c r="AC36" s="343"/>
      <c r="AD36" s="295" t="str">
        <f t="shared" ref="AD36:AD47" si="11">IF(Z36="","",Z36+AD35)</f>
        <v/>
      </c>
      <c r="AE36" s="295" t="str">
        <f t="shared" si="1"/>
        <v/>
      </c>
      <c r="AH36" s="258">
        <f t="shared" si="6"/>
        <v>26</v>
      </c>
      <c r="AI36" s="340" t="s">
        <v>496</v>
      </c>
      <c r="AJ36" s="341"/>
      <c r="AK36" s="342" t="s">
        <v>504</v>
      </c>
      <c r="AL36" s="344"/>
      <c r="AM36" s="343"/>
      <c r="AN36" s="179" t="str">
        <f t="shared" si="5"/>
        <v/>
      </c>
      <c r="AO36" s="163"/>
    </row>
    <row r="37" spans="3:42">
      <c r="C37" s="334" t="s">
        <v>421</v>
      </c>
      <c r="D37" s="289"/>
      <c r="E37" s="291"/>
      <c r="F37" s="289"/>
      <c r="G37" s="310" t="str">
        <f t="shared" si="9"/>
        <v/>
      </c>
      <c r="H37" s="308"/>
      <c r="I37" s="289"/>
      <c r="J37" s="291"/>
      <c r="K37" s="314" t="s">
        <v>523</v>
      </c>
      <c r="L37" s="291"/>
      <c r="M37" s="314" t="s">
        <v>523</v>
      </c>
      <c r="N37" s="291"/>
      <c r="O37" s="314" t="s">
        <v>523</v>
      </c>
      <c r="P37" s="289"/>
      <c r="Q37" s="292"/>
      <c r="R37" s="292"/>
      <c r="S37" s="289"/>
      <c r="T37" s="293" t="str">
        <f t="shared" si="10"/>
        <v/>
      </c>
      <c r="U37" s="289"/>
      <c r="V37" s="294"/>
      <c r="X37" s="258">
        <f t="shared" si="3"/>
        <v>30</v>
      </c>
      <c r="Y37" s="340" t="s">
        <v>496</v>
      </c>
      <c r="Z37" s="341"/>
      <c r="AA37" s="342" t="s">
        <v>504</v>
      </c>
      <c r="AB37" s="343"/>
      <c r="AC37" s="343"/>
      <c r="AD37" s="295" t="str">
        <f t="shared" si="11"/>
        <v/>
      </c>
      <c r="AE37" s="295" t="str">
        <f t="shared" si="1"/>
        <v/>
      </c>
      <c r="AH37" s="258">
        <f t="shared" si="6"/>
        <v>27</v>
      </c>
      <c r="AI37" s="340" t="s">
        <v>496</v>
      </c>
      <c r="AJ37" s="341"/>
      <c r="AK37" s="342" t="s">
        <v>504</v>
      </c>
      <c r="AL37" s="344"/>
      <c r="AM37" s="343"/>
      <c r="AN37" s="179" t="str">
        <f t="shared" si="5"/>
        <v/>
      </c>
      <c r="AO37" s="163"/>
    </row>
    <row r="38" spans="3:42">
      <c r="C38" s="334" t="s">
        <v>450</v>
      </c>
      <c r="D38" s="289"/>
      <c r="E38" s="291"/>
      <c r="F38" s="289"/>
      <c r="G38" s="310" t="str">
        <f t="shared" si="9"/>
        <v/>
      </c>
      <c r="H38" s="308"/>
      <c r="I38" s="289"/>
      <c r="J38" s="291"/>
      <c r="K38" s="314" t="s">
        <v>523</v>
      </c>
      <c r="L38" s="291"/>
      <c r="M38" s="314" t="s">
        <v>523</v>
      </c>
      <c r="N38" s="291"/>
      <c r="O38" s="314" t="s">
        <v>523</v>
      </c>
      <c r="P38" s="289"/>
      <c r="Q38" s="292"/>
      <c r="R38" s="292"/>
      <c r="S38" s="289"/>
      <c r="T38" s="293" t="str">
        <f t="shared" si="10"/>
        <v/>
      </c>
      <c r="U38" s="289"/>
      <c r="V38" s="294"/>
      <c r="X38" s="258">
        <f t="shared" si="3"/>
        <v>31</v>
      </c>
      <c r="Y38" s="340" t="s">
        <v>496</v>
      </c>
      <c r="Z38" s="341"/>
      <c r="AA38" s="342" t="s">
        <v>504</v>
      </c>
      <c r="AB38" s="343"/>
      <c r="AC38" s="343"/>
      <c r="AD38" s="295" t="str">
        <f t="shared" si="11"/>
        <v/>
      </c>
      <c r="AE38" s="295" t="str">
        <f t="shared" si="1"/>
        <v/>
      </c>
      <c r="AH38" s="258">
        <f t="shared" si="6"/>
        <v>28</v>
      </c>
      <c r="AI38" s="340" t="s">
        <v>496</v>
      </c>
      <c r="AJ38" s="341"/>
      <c r="AK38" s="342" t="s">
        <v>504</v>
      </c>
      <c r="AL38" s="344"/>
      <c r="AM38" s="343"/>
      <c r="AN38" s="179" t="str">
        <f t="shared" si="5"/>
        <v/>
      </c>
      <c r="AO38" s="163"/>
    </row>
    <row r="39" spans="3:42">
      <c r="C39" s="334" t="s">
        <v>451</v>
      </c>
      <c r="D39" s="289"/>
      <c r="E39" s="291"/>
      <c r="F39" s="289"/>
      <c r="G39" s="310" t="str">
        <f t="shared" si="9"/>
        <v/>
      </c>
      <c r="H39" s="308"/>
      <c r="I39" s="289"/>
      <c r="J39" s="291"/>
      <c r="K39" s="314" t="s">
        <v>523</v>
      </c>
      <c r="L39" s="291"/>
      <c r="M39" s="314" t="s">
        <v>523</v>
      </c>
      <c r="N39" s="291"/>
      <c r="O39" s="314" t="s">
        <v>523</v>
      </c>
      <c r="P39" s="289"/>
      <c r="Q39" s="292"/>
      <c r="R39" s="292"/>
      <c r="S39" s="289"/>
      <c r="T39" s="293" t="str">
        <f t="shared" si="10"/>
        <v/>
      </c>
      <c r="U39" s="289"/>
      <c r="V39" s="294"/>
      <c r="X39" s="258">
        <f t="shared" si="3"/>
        <v>32</v>
      </c>
      <c r="Y39" s="340" t="s">
        <v>496</v>
      </c>
      <c r="Z39" s="341"/>
      <c r="AA39" s="342" t="s">
        <v>504</v>
      </c>
      <c r="AB39" s="343"/>
      <c r="AC39" s="343"/>
      <c r="AD39" s="295" t="str">
        <f t="shared" si="11"/>
        <v/>
      </c>
      <c r="AE39" s="295" t="str">
        <f t="shared" si="1"/>
        <v/>
      </c>
      <c r="AH39" s="258">
        <f t="shared" si="6"/>
        <v>29</v>
      </c>
      <c r="AI39" s="340" t="s">
        <v>496</v>
      </c>
      <c r="AJ39" s="341"/>
      <c r="AK39" s="342" t="s">
        <v>504</v>
      </c>
      <c r="AL39" s="344"/>
      <c r="AM39" s="343"/>
      <c r="AN39" s="179" t="str">
        <f t="shared" si="5"/>
        <v/>
      </c>
      <c r="AO39" s="163"/>
    </row>
    <row r="40" spans="3:42">
      <c r="C40" s="334" t="s">
        <v>452</v>
      </c>
      <c r="D40" s="289"/>
      <c r="E40" s="291"/>
      <c r="F40" s="289"/>
      <c r="G40" s="310" t="str">
        <f t="shared" si="9"/>
        <v/>
      </c>
      <c r="H40" s="308"/>
      <c r="I40" s="289"/>
      <c r="J40" s="291"/>
      <c r="K40" s="314" t="s">
        <v>523</v>
      </c>
      <c r="L40" s="291"/>
      <c r="M40" s="314" t="s">
        <v>523</v>
      </c>
      <c r="N40" s="291"/>
      <c r="O40" s="314" t="s">
        <v>523</v>
      </c>
      <c r="P40" s="289"/>
      <c r="Q40" s="292"/>
      <c r="R40" s="292"/>
      <c r="S40" s="289"/>
      <c r="T40" s="293" t="str">
        <f t="shared" si="10"/>
        <v/>
      </c>
      <c r="U40" s="289"/>
      <c r="V40" s="294"/>
      <c r="X40" s="258">
        <f t="shared" si="3"/>
        <v>33</v>
      </c>
      <c r="Y40" s="340" t="s">
        <v>496</v>
      </c>
      <c r="Z40" s="341"/>
      <c r="AA40" s="342" t="s">
        <v>504</v>
      </c>
      <c r="AB40" s="343"/>
      <c r="AC40" s="343"/>
      <c r="AD40" s="295" t="str">
        <f t="shared" si="11"/>
        <v/>
      </c>
      <c r="AE40" s="295" t="str">
        <f t="shared" si="1"/>
        <v/>
      </c>
      <c r="AH40" s="258">
        <f t="shared" si="6"/>
        <v>30</v>
      </c>
      <c r="AI40" s="340" t="s">
        <v>496</v>
      </c>
      <c r="AJ40" s="341"/>
      <c r="AK40" s="342" t="s">
        <v>504</v>
      </c>
      <c r="AL40" s="344"/>
      <c r="AM40" s="343"/>
      <c r="AN40" s="179" t="str">
        <f t="shared" si="5"/>
        <v/>
      </c>
      <c r="AO40" s="163"/>
    </row>
    <row r="41" spans="3:42">
      <c r="C41" s="336" t="s">
        <v>465</v>
      </c>
      <c r="D41" s="163"/>
      <c r="E41" s="320">
        <f>SUM(E30:E40)</f>
        <v>0</v>
      </c>
      <c r="F41" s="163"/>
      <c r="G41" s="743">
        <f>SUM(G30:G40)</f>
        <v>0</v>
      </c>
      <c r="H41" s="743"/>
      <c r="I41" s="163"/>
      <c r="J41" s="725">
        <f>SUM(J30:J40)</f>
        <v>0</v>
      </c>
      <c r="K41" s="726"/>
      <c r="L41" s="725">
        <f t="shared" ref="L41:N41" si="12">SUM(L30:L40)</f>
        <v>0</v>
      </c>
      <c r="M41" s="726"/>
      <c r="N41" s="725">
        <f t="shared" si="12"/>
        <v>0</v>
      </c>
      <c r="O41" s="726"/>
      <c r="Q41" s="259"/>
      <c r="R41" s="259"/>
      <c r="T41" s="259"/>
      <c r="X41" s="258">
        <f t="shared" si="3"/>
        <v>34</v>
      </c>
      <c r="Y41" s="340" t="s">
        <v>496</v>
      </c>
      <c r="Z41" s="341"/>
      <c r="AA41" s="342" t="s">
        <v>504</v>
      </c>
      <c r="AB41" s="343"/>
      <c r="AC41" s="343"/>
      <c r="AD41" s="295" t="str">
        <f t="shared" si="11"/>
        <v/>
      </c>
      <c r="AE41" s="295" t="str">
        <f t="shared" si="1"/>
        <v/>
      </c>
      <c r="AH41" s="258">
        <f t="shared" si="6"/>
        <v>31</v>
      </c>
      <c r="AI41" s="340" t="s">
        <v>496</v>
      </c>
      <c r="AJ41" s="341"/>
      <c r="AK41" s="342" t="s">
        <v>504</v>
      </c>
      <c r="AL41" s="344"/>
      <c r="AM41" s="343"/>
      <c r="AN41" s="179" t="str">
        <f t="shared" si="5"/>
        <v/>
      </c>
      <c r="AO41" s="163"/>
    </row>
    <row r="42" spans="3:42">
      <c r="C42" s="337"/>
      <c r="Q42" s="259"/>
      <c r="R42" s="259"/>
      <c r="T42" s="259"/>
      <c r="X42" s="258">
        <f t="shared" si="3"/>
        <v>35</v>
      </c>
      <c r="Y42" s="340" t="s">
        <v>496</v>
      </c>
      <c r="Z42" s="341"/>
      <c r="AA42" s="342" t="s">
        <v>504</v>
      </c>
      <c r="AB42" s="343"/>
      <c r="AC42" s="343"/>
      <c r="AD42" s="295" t="str">
        <f t="shared" si="11"/>
        <v/>
      </c>
      <c r="AE42" s="295" t="str">
        <f t="shared" si="1"/>
        <v/>
      </c>
      <c r="AH42" s="258">
        <f t="shared" si="6"/>
        <v>32</v>
      </c>
      <c r="AI42" s="340" t="s">
        <v>496</v>
      </c>
      <c r="AJ42" s="341"/>
      <c r="AK42" s="342" t="s">
        <v>504</v>
      </c>
      <c r="AL42" s="344"/>
      <c r="AM42" s="343"/>
      <c r="AN42" s="179" t="str">
        <f t="shared" si="5"/>
        <v/>
      </c>
      <c r="AO42" s="163"/>
    </row>
    <row r="43" spans="3:42" s="163" customFormat="1" ht="16">
      <c r="C43" s="338" t="s">
        <v>422</v>
      </c>
      <c r="D43" s="173"/>
      <c r="E43" s="315" t="s">
        <v>531</v>
      </c>
      <c r="F43" s="173"/>
      <c r="G43" s="746" t="s">
        <v>533</v>
      </c>
      <c r="H43" s="747"/>
      <c r="I43" s="173"/>
      <c r="J43" s="735" t="s">
        <v>456</v>
      </c>
      <c r="K43" s="736"/>
      <c r="L43" s="735" t="s">
        <v>457</v>
      </c>
      <c r="M43" s="736"/>
      <c r="N43" s="727" t="s">
        <v>458</v>
      </c>
      <c r="O43" s="728"/>
      <c r="P43" s="173"/>
      <c r="Q43" s="284" t="str">
        <f>Q29</f>
        <v>Priorités de la fiancée</v>
      </c>
      <c r="R43" s="284" t="str">
        <f>R29</f>
        <v>Priorités du fiancé</v>
      </c>
      <c r="S43" s="173"/>
      <c r="T43" s="298" t="str">
        <f>T29</f>
        <v>Priorités combinées</v>
      </c>
      <c r="U43" s="173"/>
      <c r="V43" s="283" t="s">
        <v>464</v>
      </c>
      <c r="X43" s="258">
        <f t="shared" si="3"/>
        <v>36</v>
      </c>
      <c r="Y43" s="340" t="s">
        <v>496</v>
      </c>
      <c r="Z43" s="341"/>
      <c r="AA43" s="342" t="s">
        <v>504</v>
      </c>
      <c r="AB43" s="343"/>
      <c r="AC43" s="343"/>
      <c r="AD43" s="295" t="str">
        <f t="shared" si="11"/>
        <v/>
      </c>
      <c r="AE43" s="295" t="str">
        <f t="shared" si="1"/>
        <v/>
      </c>
      <c r="AH43" s="258">
        <f t="shared" si="6"/>
        <v>33</v>
      </c>
      <c r="AI43" s="340" t="s">
        <v>496</v>
      </c>
      <c r="AJ43" s="341"/>
      <c r="AK43" s="342" t="s">
        <v>504</v>
      </c>
      <c r="AL43" s="344"/>
      <c r="AM43" s="343"/>
      <c r="AN43" s="179" t="str">
        <f t="shared" si="5"/>
        <v/>
      </c>
      <c r="AP43" s="255"/>
    </row>
    <row r="44" spans="3:42">
      <c r="C44" s="334" t="s">
        <v>423</v>
      </c>
      <c r="D44" s="289"/>
      <c r="E44" s="291"/>
      <c r="F44" s="289"/>
      <c r="G44" s="310" t="str">
        <f t="shared" ref="G44:G54" si="13">IF(H44="",IF(E44="","",E44),IF(H44="Devis 1",J44,IF(H44="Devis 2",L44,N44)))</f>
        <v/>
      </c>
      <c r="H44" s="308"/>
      <c r="I44" s="289"/>
      <c r="J44" s="291"/>
      <c r="K44" s="314" t="s">
        <v>523</v>
      </c>
      <c r="L44" s="291"/>
      <c r="M44" s="314" t="s">
        <v>523</v>
      </c>
      <c r="N44" s="291"/>
      <c r="O44" s="314" t="s">
        <v>523</v>
      </c>
      <c r="P44" s="289"/>
      <c r="Q44" s="292"/>
      <c r="R44" s="292"/>
      <c r="S44" s="289"/>
      <c r="T44" s="293" t="str">
        <f t="shared" ref="T44:T54" si="14">IF(OR(Q44="1 (indispensable)",R44="1 (indispensable)"),"1 (indispensable)",IF(AND(Q44="2 (essentiel)",R44="2 (essentiel)"),"2 (essentiel)",""))</f>
        <v/>
      </c>
      <c r="U44" s="289"/>
      <c r="V44" s="294"/>
      <c r="X44" s="258">
        <f t="shared" si="3"/>
        <v>37</v>
      </c>
      <c r="Y44" s="340" t="s">
        <v>496</v>
      </c>
      <c r="Z44" s="341"/>
      <c r="AA44" s="342" t="s">
        <v>504</v>
      </c>
      <c r="AB44" s="343"/>
      <c r="AC44" s="343"/>
      <c r="AD44" s="295" t="str">
        <f t="shared" si="11"/>
        <v/>
      </c>
      <c r="AE44" s="295" t="str">
        <f t="shared" si="1"/>
        <v/>
      </c>
      <c r="AH44" s="258">
        <f t="shared" si="6"/>
        <v>34</v>
      </c>
      <c r="AI44" s="340" t="s">
        <v>496</v>
      </c>
      <c r="AJ44" s="341"/>
      <c r="AK44" s="342" t="s">
        <v>504</v>
      </c>
      <c r="AL44" s="344"/>
      <c r="AM44" s="343"/>
      <c r="AN44" s="179" t="str">
        <f t="shared" si="5"/>
        <v/>
      </c>
      <c r="AO44" s="163"/>
    </row>
    <row r="45" spans="3:42">
      <c r="C45" s="334" t="s">
        <v>424</v>
      </c>
      <c r="D45" s="289"/>
      <c r="E45" s="291"/>
      <c r="F45" s="289"/>
      <c r="G45" s="310" t="str">
        <f t="shared" si="13"/>
        <v/>
      </c>
      <c r="H45" s="308"/>
      <c r="I45" s="289"/>
      <c r="J45" s="291"/>
      <c r="K45" s="314" t="s">
        <v>523</v>
      </c>
      <c r="L45" s="291"/>
      <c r="M45" s="314" t="s">
        <v>523</v>
      </c>
      <c r="N45" s="291"/>
      <c r="O45" s="314" t="s">
        <v>523</v>
      </c>
      <c r="P45" s="289"/>
      <c r="Q45" s="292"/>
      <c r="R45" s="292"/>
      <c r="S45" s="289"/>
      <c r="T45" s="293" t="str">
        <f t="shared" si="14"/>
        <v/>
      </c>
      <c r="U45" s="289"/>
      <c r="V45" s="294"/>
      <c r="X45" s="258">
        <f t="shared" si="3"/>
        <v>38</v>
      </c>
      <c r="Y45" s="340" t="s">
        <v>496</v>
      </c>
      <c r="Z45" s="341"/>
      <c r="AA45" s="342" t="s">
        <v>504</v>
      </c>
      <c r="AB45" s="343"/>
      <c r="AC45" s="343"/>
      <c r="AD45" s="295" t="str">
        <f t="shared" si="11"/>
        <v/>
      </c>
      <c r="AE45" s="295" t="str">
        <f t="shared" si="1"/>
        <v/>
      </c>
      <c r="AH45" s="258">
        <f t="shared" si="6"/>
        <v>35</v>
      </c>
      <c r="AI45" s="340" t="s">
        <v>496</v>
      </c>
      <c r="AJ45" s="341"/>
      <c r="AK45" s="342" t="s">
        <v>504</v>
      </c>
      <c r="AL45" s="344"/>
      <c r="AM45" s="343"/>
      <c r="AN45" s="179" t="str">
        <f t="shared" si="5"/>
        <v/>
      </c>
      <c r="AO45" s="163"/>
    </row>
    <row r="46" spans="3:42">
      <c r="C46" s="334" t="s">
        <v>425</v>
      </c>
      <c r="D46" s="289"/>
      <c r="E46" s="291"/>
      <c r="F46" s="289"/>
      <c r="G46" s="310" t="str">
        <f t="shared" si="13"/>
        <v/>
      </c>
      <c r="H46" s="308"/>
      <c r="I46" s="289"/>
      <c r="J46" s="291"/>
      <c r="K46" s="314" t="s">
        <v>523</v>
      </c>
      <c r="L46" s="291"/>
      <c r="M46" s="314" t="s">
        <v>523</v>
      </c>
      <c r="N46" s="291"/>
      <c r="O46" s="314" t="s">
        <v>523</v>
      </c>
      <c r="P46" s="289"/>
      <c r="Q46" s="292"/>
      <c r="R46" s="292"/>
      <c r="S46" s="289"/>
      <c r="T46" s="293" t="str">
        <f t="shared" si="14"/>
        <v/>
      </c>
      <c r="U46" s="289"/>
      <c r="V46" s="294"/>
      <c r="X46" s="258">
        <f t="shared" si="3"/>
        <v>39</v>
      </c>
      <c r="Y46" s="340" t="s">
        <v>496</v>
      </c>
      <c r="Z46" s="341"/>
      <c r="AA46" s="342" t="s">
        <v>504</v>
      </c>
      <c r="AB46" s="343"/>
      <c r="AC46" s="343"/>
      <c r="AD46" s="295" t="str">
        <f t="shared" si="11"/>
        <v/>
      </c>
      <c r="AE46" s="295" t="str">
        <f t="shared" si="1"/>
        <v/>
      </c>
      <c r="AH46" s="258">
        <f t="shared" si="6"/>
        <v>36</v>
      </c>
      <c r="AI46" s="340" t="s">
        <v>496</v>
      </c>
      <c r="AJ46" s="341"/>
      <c r="AK46" s="342" t="s">
        <v>504</v>
      </c>
      <c r="AL46" s="344"/>
      <c r="AM46" s="343"/>
      <c r="AN46" s="179" t="str">
        <f t="shared" si="5"/>
        <v/>
      </c>
      <c r="AO46" s="163"/>
      <c r="AP46" s="163"/>
    </row>
    <row r="47" spans="3:42">
      <c r="C47" s="334" t="s">
        <v>426</v>
      </c>
      <c r="D47" s="289"/>
      <c r="E47" s="291"/>
      <c r="F47" s="289"/>
      <c r="G47" s="310" t="str">
        <f t="shared" si="13"/>
        <v/>
      </c>
      <c r="H47" s="308"/>
      <c r="I47" s="289"/>
      <c r="J47" s="291"/>
      <c r="K47" s="314" t="s">
        <v>523</v>
      </c>
      <c r="L47" s="291"/>
      <c r="M47" s="314" t="s">
        <v>523</v>
      </c>
      <c r="N47" s="291"/>
      <c r="O47" s="314" t="s">
        <v>523</v>
      </c>
      <c r="P47" s="289"/>
      <c r="Q47" s="292"/>
      <c r="R47" s="292"/>
      <c r="S47" s="289"/>
      <c r="T47" s="293" t="str">
        <f t="shared" si="14"/>
        <v/>
      </c>
      <c r="U47" s="289"/>
      <c r="V47" s="294"/>
      <c r="X47" s="258">
        <f t="shared" si="3"/>
        <v>40</v>
      </c>
      <c r="Y47" s="340" t="s">
        <v>496</v>
      </c>
      <c r="Z47" s="341"/>
      <c r="AA47" s="342" t="s">
        <v>504</v>
      </c>
      <c r="AB47" s="343"/>
      <c r="AC47" s="343"/>
      <c r="AD47" s="295" t="str">
        <f t="shared" si="11"/>
        <v/>
      </c>
      <c r="AE47" s="295" t="str">
        <f t="shared" si="1"/>
        <v/>
      </c>
      <c r="AH47" s="258">
        <f t="shared" si="6"/>
        <v>37</v>
      </c>
      <c r="AI47" s="340" t="s">
        <v>496</v>
      </c>
      <c r="AJ47" s="341"/>
      <c r="AK47" s="342" t="s">
        <v>504</v>
      </c>
      <c r="AL47" s="344"/>
      <c r="AM47" s="343"/>
      <c r="AN47" s="179" t="str">
        <f t="shared" si="5"/>
        <v/>
      </c>
      <c r="AO47" s="163"/>
    </row>
    <row r="48" spans="3:42">
      <c r="C48" s="334" t="s">
        <v>445</v>
      </c>
      <c r="D48" s="289"/>
      <c r="E48" s="291"/>
      <c r="F48" s="289"/>
      <c r="G48" s="310" t="str">
        <f t="shared" si="13"/>
        <v/>
      </c>
      <c r="H48" s="308"/>
      <c r="I48" s="289"/>
      <c r="J48" s="291"/>
      <c r="K48" s="314" t="s">
        <v>523</v>
      </c>
      <c r="L48" s="291"/>
      <c r="M48" s="314" t="s">
        <v>523</v>
      </c>
      <c r="N48" s="291"/>
      <c r="O48" s="314" t="s">
        <v>523</v>
      </c>
      <c r="P48" s="289"/>
      <c r="Q48" s="292"/>
      <c r="R48" s="292"/>
      <c r="S48" s="289"/>
      <c r="T48" s="293" t="str">
        <f t="shared" si="14"/>
        <v/>
      </c>
      <c r="U48" s="289"/>
      <c r="V48" s="294"/>
      <c r="X48" s="258">
        <f t="shared" si="3"/>
        <v>41</v>
      </c>
      <c r="Y48" s="340" t="s">
        <v>496</v>
      </c>
      <c r="Z48" s="341"/>
      <c r="AA48" s="342" t="s">
        <v>504</v>
      </c>
      <c r="AB48" s="343"/>
      <c r="AC48" s="343"/>
      <c r="AD48" s="295" t="str">
        <f t="shared" ref="AD48:AD107" si="15">IF(Z48="","",Z48+AD47)</f>
        <v/>
      </c>
      <c r="AE48" s="295" t="str">
        <f t="shared" si="1"/>
        <v/>
      </c>
      <c r="AH48" s="258">
        <f t="shared" si="6"/>
        <v>38</v>
      </c>
      <c r="AI48" s="340" t="s">
        <v>496</v>
      </c>
      <c r="AJ48" s="341"/>
      <c r="AK48" s="342" t="s">
        <v>504</v>
      </c>
      <c r="AL48" s="344"/>
      <c r="AM48" s="343"/>
      <c r="AN48" s="179" t="str">
        <f t="shared" si="5"/>
        <v/>
      </c>
      <c r="AO48" s="163"/>
    </row>
    <row r="49" spans="3:42">
      <c r="C49" s="334" t="s">
        <v>427</v>
      </c>
      <c r="D49" s="289"/>
      <c r="E49" s="291"/>
      <c r="F49" s="289"/>
      <c r="G49" s="310" t="str">
        <f t="shared" si="13"/>
        <v/>
      </c>
      <c r="H49" s="308"/>
      <c r="I49" s="289"/>
      <c r="J49" s="291"/>
      <c r="K49" s="314" t="s">
        <v>523</v>
      </c>
      <c r="L49" s="291"/>
      <c r="M49" s="314" t="s">
        <v>523</v>
      </c>
      <c r="N49" s="291"/>
      <c r="O49" s="314" t="s">
        <v>523</v>
      </c>
      <c r="P49" s="289"/>
      <c r="Q49" s="292"/>
      <c r="R49" s="292"/>
      <c r="S49" s="289"/>
      <c r="T49" s="293" t="str">
        <f t="shared" si="14"/>
        <v/>
      </c>
      <c r="U49" s="289"/>
      <c r="V49" s="294"/>
      <c r="X49" s="258">
        <f t="shared" si="3"/>
        <v>42</v>
      </c>
      <c r="Y49" s="340" t="s">
        <v>496</v>
      </c>
      <c r="Z49" s="341"/>
      <c r="AA49" s="342" t="s">
        <v>504</v>
      </c>
      <c r="AB49" s="343"/>
      <c r="AC49" s="343"/>
      <c r="AD49" s="295" t="str">
        <f t="shared" si="15"/>
        <v/>
      </c>
      <c r="AE49" s="295" t="str">
        <f t="shared" si="1"/>
        <v/>
      </c>
      <c r="AH49" s="258">
        <f t="shared" si="6"/>
        <v>39</v>
      </c>
      <c r="AI49" s="340" t="s">
        <v>496</v>
      </c>
      <c r="AJ49" s="341"/>
      <c r="AK49" s="342" t="s">
        <v>504</v>
      </c>
      <c r="AL49" s="344"/>
      <c r="AM49" s="343"/>
      <c r="AN49" s="179" t="str">
        <f t="shared" si="5"/>
        <v/>
      </c>
      <c r="AO49" s="163"/>
    </row>
    <row r="50" spans="3:42">
      <c r="C50" s="334" t="s">
        <v>428</v>
      </c>
      <c r="D50" s="289"/>
      <c r="E50" s="291"/>
      <c r="F50" s="289"/>
      <c r="G50" s="310" t="str">
        <f t="shared" si="13"/>
        <v/>
      </c>
      <c r="H50" s="308"/>
      <c r="I50" s="289"/>
      <c r="J50" s="291"/>
      <c r="K50" s="314" t="s">
        <v>523</v>
      </c>
      <c r="L50" s="291"/>
      <c r="M50" s="314" t="s">
        <v>523</v>
      </c>
      <c r="N50" s="291"/>
      <c r="O50" s="314" t="s">
        <v>523</v>
      </c>
      <c r="P50" s="289"/>
      <c r="Q50" s="292"/>
      <c r="R50" s="292"/>
      <c r="S50" s="289"/>
      <c r="T50" s="293" t="str">
        <f t="shared" si="14"/>
        <v/>
      </c>
      <c r="U50" s="289"/>
      <c r="V50" s="294"/>
      <c r="X50" s="258">
        <f t="shared" si="3"/>
        <v>43</v>
      </c>
      <c r="Y50" s="340" t="s">
        <v>496</v>
      </c>
      <c r="Z50" s="341"/>
      <c r="AA50" s="342" t="s">
        <v>504</v>
      </c>
      <c r="AB50" s="343"/>
      <c r="AC50" s="343"/>
      <c r="AD50" s="295" t="str">
        <f t="shared" si="15"/>
        <v/>
      </c>
      <c r="AE50" s="295" t="str">
        <f t="shared" si="1"/>
        <v/>
      </c>
      <c r="AH50" s="258">
        <f t="shared" si="6"/>
        <v>40</v>
      </c>
      <c r="AI50" s="340" t="s">
        <v>496</v>
      </c>
      <c r="AJ50" s="341"/>
      <c r="AK50" s="342" t="s">
        <v>504</v>
      </c>
      <c r="AL50" s="344"/>
      <c r="AM50" s="343"/>
      <c r="AN50" s="179" t="str">
        <f t="shared" si="5"/>
        <v/>
      </c>
      <c r="AO50" s="163"/>
    </row>
    <row r="51" spans="3:42">
      <c r="C51" s="339" t="s">
        <v>446</v>
      </c>
      <c r="D51" s="289"/>
      <c r="E51" s="291"/>
      <c r="F51" s="289"/>
      <c r="G51" s="310" t="str">
        <f t="shared" si="13"/>
        <v/>
      </c>
      <c r="H51" s="308"/>
      <c r="I51" s="289"/>
      <c r="J51" s="291"/>
      <c r="K51" s="314" t="s">
        <v>523</v>
      </c>
      <c r="L51" s="291"/>
      <c r="M51" s="314" t="s">
        <v>523</v>
      </c>
      <c r="N51" s="291"/>
      <c r="O51" s="314" t="s">
        <v>523</v>
      </c>
      <c r="P51" s="289"/>
      <c r="Q51" s="292"/>
      <c r="R51" s="292"/>
      <c r="S51" s="289"/>
      <c r="T51" s="293" t="str">
        <f t="shared" si="14"/>
        <v/>
      </c>
      <c r="U51" s="289"/>
      <c r="V51" s="294"/>
      <c r="X51" s="258">
        <f t="shared" si="3"/>
        <v>44</v>
      </c>
      <c r="Y51" s="340" t="s">
        <v>496</v>
      </c>
      <c r="Z51" s="341"/>
      <c r="AA51" s="342" t="s">
        <v>504</v>
      </c>
      <c r="AB51" s="343"/>
      <c r="AC51" s="343"/>
      <c r="AD51" s="295" t="str">
        <f t="shared" si="15"/>
        <v/>
      </c>
      <c r="AE51" s="295" t="str">
        <f t="shared" si="1"/>
        <v/>
      </c>
      <c r="AH51" s="258">
        <f t="shared" si="6"/>
        <v>41</v>
      </c>
      <c r="AI51" s="340" t="s">
        <v>496</v>
      </c>
      <c r="AJ51" s="341"/>
      <c r="AK51" s="342" t="s">
        <v>504</v>
      </c>
      <c r="AL51" s="344"/>
      <c r="AM51" s="343"/>
      <c r="AN51" s="179" t="str">
        <f t="shared" si="5"/>
        <v/>
      </c>
      <c r="AO51" s="163"/>
    </row>
    <row r="52" spans="3:42">
      <c r="C52" s="334" t="s">
        <v>450</v>
      </c>
      <c r="D52" s="289"/>
      <c r="E52" s="291"/>
      <c r="F52" s="289"/>
      <c r="G52" s="310" t="str">
        <f t="shared" si="13"/>
        <v/>
      </c>
      <c r="H52" s="308"/>
      <c r="I52" s="289"/>
      <c r="J52" s="291"/>
      <c r="K52" s="314" t="s">
        <v>523</v>
      </c>
      <c r="L52" s="291"/>
      <c r="M52" s="314" t="s">
        <v>523</v>
      </c>
      <c r="N52" s="291"/>
      <c r="O52" s="314" t="s">
        <v>523</v>
      </c>
      <c r="P52" s="289"/>
      <c r="Q52" s="292"/>
      <c r="R52" s="292"/>
      <c r="S52" s="289"/>
      <c r="T52" s="293" t="str">
        <f t="shared" si="14"/>
        <v/>
      </c>
      <c r="U52" s="289"/>
      <c r="V52" s="294"/>
      <c r="X52" s="258">
        <f t="shared" si="3"/>
        <v>45</v>
      </c>
      <c r="Y52" s="340" t="s">
        <v>496</v>
      </c>
      <c r="Z52" s="341"/>
      <c r="AA52" s="342" t="s">
        <v>504</v>
      </c>
      <c r="AB52" s="343"/>
      <c r="AC52" s="343"/>
      <c r="AD52" s="295" t="str">
        <f t="shared" si="15"/>
        <v/>
      </c>
      <c r="AE52" s="295" t="str">
        <f t="shared" si="1"/>
        <v/>
      </c>
      <c r="AH52" s="258">
        <f t="shared" si="6"/>
        <v>42</v>
      </c>
      <c r="AI52" s="340" t="s">
        <v>496</v>
      </c>
      <c r="AJ52" s="341"/>
      <c r="AK52" s="342" t="s">
        <v>504</v>
      </c>
      <c r="AL52" s="344"/>
      <c r="AM52" s="343"/>
      <c r="AN52" s="179" t="str">
        <f t="shared" si="5"/>
        <v/>
      </c>
      <c r="AO52" s="163"/>
    </row>
    <row r="53" spans="3:42">
      <c r="C53" s="334" t="s">
        <v>451</v>
      </c>
      <c r="D53" s="289"/>
      <c r="E53" s="291"/>
      <c r="F53" s="289"/>
      <c r="G53" s="310" t="str">
        <f t="shared" si="13"/>
        <v/>
      </c>
      <c r="H53" s="308"/>
      <c r="I53" s="289"/>
      <c r="J53" s="291"/>
      <c r="K53" s="314" t="s">
        <v>523</v>
      </c>
      <c r="L53" s="291"/>
      <c r="M53" s="314" t="s">
        <v>523</v>
      </c>
      <c r="N53" s="291"/>
      <c r="O53" s="314" t="s">
        <v>523</v>
      </c>
      <c r="P53" s="289"/>
      <c r="Q53" s="292"/>
      <c r="R53" s="292"/>
      <c r="S53" s="289"/>
      <c r="T53" s="293" t="str">
        <f t="shared" si="14"/>
        <v/>
      </c>
      <c r="U53" s="289"/>
      <c r="V53" s="294"/>
      <c r="X53" s="258">
        <f t="shared" si="3"/>
        <v>46</v>
      </c>
      <c r="Y53" s="340" t="s">
        <v>496</v>
      </c>
      <c r="Z53" s="341"/>
      <c r="AA53" s="342" t="s">
        <v>504</v>
      </c>
      <c r="AB53" s="343"/>
      <c r="AC53" s="343"/>
      <c r="AD53" s="295" t="str">
        <f t="shared" si="15"/>
        <v/>
      </c>
      <c r="AE53" s="295" t="str">
        <f t="shared" si="1"/>
        <v/>
      </c>
      <c r="AH53" s="258">
        <f t="shared" si="6"/>
        <v>43</v>
      </c>
      <c r="AI53" s="340" t="s">
        <v>496</v>
      </c>
      <c r="AJ53" s="341"/>
      <c r="AK53" s="342" t="s">
        <v>504</v>
      </c>
      <c r="AL53" s="344"/>
      <c r="AM53" s="343"/>
      <c r="AN53" s="179" t="str">
        <f t="shared" si="5"/>
        <v/>
      </c>
      <c r="AO53" s="163"/>
    </row>
    <row r="54" spans="3:42">
      <c r="C54" s="334" t="s">
        <v>452</v>
      </c>
      <c r="D54" s="289"/>
      <c r="E54" s="291"/>
      <c r="F54" s="289"/>
      <c r="G54" s="310" t="str">
        <f t="shared" si="13"/>
        <v/>
      </c>
      <c r="H54" s="308"/>
      <c r="I54" s="289"/>
      <c r="J54" s="291"/>
      <c r="K54" s="314" t="s">
        <v>523</v>
      </c>
      <c r="L54" s="291"/>
      <c r="M54" s="314" t="s">
        <v>523</v>
      </c>
      <c r="N54" s="291"/>
      <c r="O54" s="314" t="s">
        <v>523</v>
      </c>
      <c r="P54" s="289"/>
      <c r="Q54" s="292"/>
      <c r="R54" s="292"/>
      <c r="S54" s="289"/>
      <c r="T54" s="293" t="str">
        <f t="shared" si="14"/>
        <v/>
      </c>
      <c r="U54" s="289"/>
      <c r="V54" s="294"/>
      <c r="X54" s="258">
        <f t="shared" si="3"/>
        <v>47</v>
      </c>
      <c r="Y54" s="340" t="s">
        <v>496</v>
      </c>
      <c r="Z54" s="341"/>
      <c r="AA54" s="342" t="s">
        <v>504</v>
      </c>
      <c r="AB54" s="343"/>
      <c r="AC54" s="343"/>
      <c r="AD54" s="295" t="str">
        <f t="shared" si="15"/>
        <v/>
      </c>
      <c r="AE54" s="295" t="str">
        <f t="shared" si="1"/>
        <v/>
      </c>
      <c r="AH54" s="258">
        <f t="shared" si="6"/>
        <v>44</v>
      </c>
      <c r="AI54" s="340" t="s">
        <v>496</v>
      </c>
      <c r="AJ54" s="341"/>
      <c r="AK54" s="342" t="s">
        <v>504</v>
      </c>
      <c r="AL54" s="344"/>
      <c r="AM54" s="343"/>
      <c r="AN54" s="179" t="str">
        <f t="shared" si="5"/>
        <v/>
      </c>
      <c r="AO54" s="163"/>
    </row>
    <row r="55" spans="3:42">
      <c r="C55" s="336" t="s">
        <v>465</v>
      </c>
      <c r="D55" s="163"/>
      <c r="E55" s="320">
        <f>SUM(E44:E54)</f>
        <v>0</v>
      </c>
      <c r="F55" s="163"/>
      <c r="G55" s="743">
        <f>SUM(G44:G54)</f>
        <v>0</v>
      </c>
      <c r="H55" s="743"/>
      <c r="I55" s="163"/>
      <c r="J55" s="725">
        <f>SUM(J44:J54)</f>
        <v>0</v>
      </c>
      <c r="K55" s="726"/>
      <c r="L55" s="725">
        <f t="shared" ref="L55" si="16">SUM(L44:L54)</f>
        <v>0</v>
      </c>
      <c r="M55" s="726"/>
      <c r="N55" s="725">
        <f t="shared" ref="N55" si="17">SUM(N44:N54)</f>
        <v>0</v>
      </c>
      <c r="O55" s="726"/>
      <c r="Q55" s="259"/>
      <c r="R55" s="259"/>
      <c r="T55" s="259"/>
      <c r="X55" s="258">
        <f t="shared" si="3"/>
        <v>48</v>
      </c>
      <c r="Y55" s="340" t="s">
        <v>496</v>
      </c>
      <c r="Z55" s="341"/>
      <c r="AA55" s="342" t="s">
        <v>504</v>
      </c>
      <c r="AB55" s="343"/>
      <c r="AC55" s="343"/>
      <c r="AD55" s="295" t="str">
        <f t="shared" si="15"/>
        <v/>
      </c>
      <c r="AE55" s="295" t="str">
        <f t="shared" si="1"/>
        <v/>
      </c>
      <c r="AH55" s="258">
        <f t="shared" si="6"/>
        <v>45</v>
      </c>
      <c r="AI55" s="340" t="s">
        <v>496</v>
      </c>
      <c r="AJ55" s="341"/>
      <c r="AK55" s="342" t="s">
        <v>504</v>
      </c>
      <c r="AL55" s="344"/>
      <c r="AM55" s="343"/>
      <c r="AN55" s="179" t="str">
        <f t="shared" si="5"/>
        <v/>
      </c>
      <c r="AO55" s="163"/>
    </row>
    <row r="56" spans="3:42">
      <c r="C56" s="337"/>
      <c r="Q56" s="259"/>
      <c r="R56" s="259"/>
      <c r="T56" s="259"/>
      <c r="X56" s="258">
        <f t="shared" si="3"/>
        <v>49</v>
      </c>
      <c r="Y56" s="340" t="s">
        <v>496</v>
      </c>
      <c r="Z56" s="341"/>
      <c r="AA56" s="342" t="s">
        <v>504</v>
      </c>
      <c r="AB56" s="343"/>
      <c r="AC56" s="343"/>
      <c r="AD56" s="295" t="str">
        <f t="shared" si="15"/>
        <v/>
      </c>
      <c r="AE56" s="295" t="str">
        <f t="shared" si="1"/>
        <v/>
      </c>
      <c r="AH56" s="258">
        <f t="shared" si="6"/>
        <v>46</v>
      </c>
      <c r="AI56" s="340" t="s">
        <v>496</v>
      </c>
      <c r="AJ56" s="341"/>
      <c r="AK56" s="342" t="s">
        <v>504</v>
      </c>
      <c r="AL56" s="344"/>
      <c r="AM56" s="343"/>
      <c r="AN56" s="179" t="str">
        <f t="shared" si="5"/>
        <v/>
      </c>
      <c r="AO56" s="163"/>
    </row>
    <row r="57" spans="3:42" s="163" customFormat="1" ht="16">
      <c r="C57" s="338" t="s">
        <v>429</v>
      </c>
      <c r="D57" s="173"/>
      <c r="E57" s="315" t="s">
        <v>531</v>
      </c>
      <c r="F57" s="173"/>
      <c r="G57" s="746" t="s">
        <v>533</v>
      </c>
      <c r="H57" s="747"/>
      <c r="I57" s="173"/>
      <c r="J57" s="735" t="s">
        <v>456</v>
      </c>
      <c r="K57" s="736"/>
      <c r="L57" s="735" t="s">
        <v>457</v>
      </c>
      <c r="M57" s="736"/>
      <c r="N57" s="727" t="s">
        <v>458</v>
      </c>
      <c r="O57" s="728"/>
      <c r="P57" s="173"/>
      <c r="Q57" s="284" t="str">
        <f>Q43</f>
        <v>Priorités de la fiancée</v>
      </c>
      <c r="R57" s="284" t="str">
        <f>R43</f>
        <v>Priorités du fiancé</v>
      </c>
      <c r="S57" s="299"/>
      <c r="T57" s="298" t="str">
        <f>T43</f>
        <v>Priorités combinées</v>
      </c>
      <c r="U57" s="173"/>
      <c r="V57" s="283" t="s">
        <v>464</v>
      </c>
      <c r="X57" s="258">
        <f t="shared" si="3"/>
        <v>50</v>
      </c>
      <c r="Y57" s="340" t="s">
        <v>496</v>
      </c>
      <c r="Z57" s="341"/>
      <c r="AA57" s="342" t="s">
        <v>504</v>
      </c>
      <c r="AB57" s="343"/>
      <c r="AC57" s="343"/>
      <c r="AD57" s="295" t="str">
        <f t="shared" si="15"/>
        <v/>
      </c>
      <c r="AE57" s="295" t="str">
        <f t="shared" si="1"/>
        <v/>
      </c>
      <c r="AH57" s="258">
        <f t="shared" si="6"/>
        <v>47</v>
      </c>
      <c r="AI57" s="340" t="s">
        <v>496</v>
      </c>
      <c r="AJ57" s="341"/>
      <c r="AK57" s="342" t="s">
        <v>504</v>
      </c>
      <c r="AL57" s="344"/>
      <c r="AM57" s="343"/>
      <c r="AN57" s="179" t="str">
        <f t="shared" si="5"/>
        <v/>
      </c>
      <c r="AP57" s="255"/>
    </row>
    <row r="58" spans="3:42">
      <c r="C58" s="334" t="s">
        <v>447</v>
      </c>
      <c r="D58" s="289"/>
      <c r="E58" s="291"/>
      <c r="F58" s="289"/>
      <c r="G58" s="310" t="str">
        <f t="shared" ref="G58:G64" si="18">IF(H58="",IF(E58="","",E58),IF(H58="Devis 1",J58,IF(H58="Devis 2",L58,N58)))</f>
        <v/>
      </c>
      <c r="H58" s="308"/>
      <c r="I58" s="289"/>
      <c r="J58" s="291"/>
      <c r="K58" s="314" t="s">
        <v>523</v>
      </c>
      <c r="L58" s="291"/>
      <c r="M58" s="314" t="s">
        <v>523</v>
      </c>
      <c r="N58" s="291"/>
      <c r="O58" s="314" t="s">
        <v>523</v>
      </c>
      <c r="P58" s="289"/>
      <c r="Q58" s="292"/>
      <c r="R58" s="292"/>
      <c r="S58" s="289"/>
      <c r="T58" s="293" t="str">
        <f t="shared" ref="T58:T64" si="19">IF(OR(Q58="1 (indispensable)",R58="1 (indispensable)"),"1 (indispensable)",IF(AND(Q58="2 (essentiel)",R58="2 (essentiel)"),"2 (essentiel)",""))</f>
        <v/>
      </c>
      <c r="U58" s="289"/>
      <c r="V58" s="294"/>
      <c r="X58" s="258">
        <f t="shared" si="3"/>
        <v>51</v>
      </c>
      <c r="Y58" s="340" t="s">
        <v>496</v>
      </c>
      <c r="Z58" s="341"/>
      <c r="AA58" s="342" t="s">
        <v>504</v>
      </c>
      <c r="AB58" s="343"/>
      <c r="AC58" s="343"/>
      <c r="AD58" s="295" t="str">
        <f t="shared" si="15"/>
        <v/>
      </c>
      <c r="AE58" s="295" t="str">
        <f t="shared" si="1"/>
        <v/>
      </c>
      <c r="AH58" s="258">
        <f t="shared" si="6"/>
        <v>48</v>
      </c>
      <c r="AI58" s="340" t="s">
        <v>496</v>
      </c>
      <c r="AJ58" s="341"/>
      <c r="AK58" s="342" t="s">
        <v>504</v>
      </c>
      <c r="AL58" s="344"/>
      <c r="AM58" s="343"/>
      <c r="AN58" s="179" t="str">
        <f t="shared" si="5"/>
        <v/>
      </c>
      <c r="AO58" s="163"/>
    </row>
    <row r="59" spans="3:42">
      <c r="C59" s="334" t="s">
        <v>430</v>
      </c>
      <c r="D59" s="289"/>
      <c r="E59" s="291"/>
      <c r="F59" s="289"/>
      <c r="G59" s="310" t="str">
        <f t="shared" si="18"/>
        <v/>
      </c>
      <c r="H59" s="308"/>
      <c r="I59" s="289"/>
      <c r="J59" s="291"/>
      <c r="K59" s="314" t="s">
        <v>523</v>
      </c>
      <c r="L59" s="291"/>
      <c r="M59" s="314" t="s">
        <v>523</v>
      </c>
      <c r="N59" s="291"/>
      <c r="O59" s="314" t="s">
        <v>523</v>
      </c>
      <c r="P59" s="289"/>
      <c r="Q59" s="292"/>
      <c r="R59" s="292"/>
      <c r="S59" s="289"/>
      <c r="T59" s="293" t="str">
        <f t="shared" si="19"/>
        <v/>
      </c>
      <c r="U59" s="289"/>
      <c r="V59" s="294"/>
      <c r="X59" s="258">
        <f t="shared" si="3"/>
        <v>52</v>
      </c>
      <c r="Y59" s="340" t="s">
        <v>496</v>
      </c>
      <c r="Z59" s="341"/>
      <c r="AA59" s="342" t="s">
        <v>504</v>
      </c>
      <c r="AB59" s="343"/>
      <c r="AC59" s="343"/>
      <c r="AD59" s="295" t="str">
        <f t="shared" si="15"/>
        <v/>
      </c>
      <c r="AE59" s="295" t="str">
        <f t="shared" si="1"/>
        <v/>
      </c>
      <c r="AH59" s="258">
        <f t="shared" si="6"/>
        <v>49</v>
      </c>
      <c r="AI59" s="340" t="s">
        <v>496</v>
      </c>
      <c r="AJ59" s="341"/>
      <c r="AK59" s="342" t="s">
        <v>504</v>
      </c>
      <c r="AL59" s="344"/>
      <c r="AM59" s="343"/>
      <c r="AN59" s="179" t="str">
        <f t="shared" si="5"/>
        <v/>
      </c>
      <c r="AO59" s="163"/>
    </row>
    <row r="60" spans="3:42">
      <c r="C60" s="334" t="s">
        <v>448</v>
      </c>
      <c r="D60" s="289"/>
      <c r="E60" s="291"/>
      <c r="F60" s="289"/>
      <c r="G60" s="310" t="str">
        <f t="shared" si="18"/>
        <v/>
      </c>
      <c r="H60" s="308"/>
      <c r="I60" s="289"/>
      <c r="J60" s="291"/>
      <c r="K60" s="314" t="s">
        <v>523</v>
      </c>
      <c r="L60" s="291"/>
      <c r="M60" s="314" t="s">
        <v>523</v>
      </c>
      <c r="N60" s="291"/>
      <c r="O60" s="314" t="s">
        <v>523</v>
      </c>
      <c r="P60" s="289"/>
      <c r="Q60" s="292"/>
      <c r="R60" s="292"/>
      <c r="S60" s="289"/>
      <c r="T60" s="293" t="str">
        <f t="shared" si="19"/>
        <v/>
      </c>
      <c r="U60" s="289"/>
      <c r="V60" s="294"/>
      <c r="X60" s="258">
        <f t="shared" si="3"/>
        <v>53</v>
      </c>
      <c r="Y60" s="340" t="s">
        <v>496</v>
      </c>
      <c r="Z60" s="341"/>
      <c r="AA60" s="342" t="s">
        <v>504</v>
      </c>
      <c r="AB60" s="343"/>
      <c r="AC60" s="343"/>
      <c r="AD60" s="295" t="str">
        <f t="shared" si="15"/>
        <v/>
      </c>
      <c r="AE60" s="295" t="str">
        <f t="shared" si="1"/>
        <v/>
      </c>
      <c r="AH60" s="258">
        <f t="shared" si="6"/>
        <v>50</v>
      </c>
      <c r="AI60" s="340" t="s">
        <v>496</v>
      </c>
      <c r="AJ60" s="341"/>
      <c r="AK60" s="342" t="s">
        <v>504</v>
      </c>
      <c r="AL60" s="344"/>
      <c r="AM60" s="343"/>
      <c r="AN60" s="179" t="str">
        <f t="shared" si="5"/>
        <v/>
      </c>
      <c r="AO60" s="163"/>
      <c r="AP60" s="163"/>
    </row>
    <row r="61" spans="3:42">
      <c r="C61" s="334" t="s">
        <v>431</v>
      </c>
      <c r="D61" s="289"/>
      <c r="E61" s="291"/>
      <c r="F61" s="289"/>
      <c r="G61" s="310" t="str">
        <f t="shared" si="18"/>
        <v/>
      </c>
      <c r="H61" s="308"/>
      <c r="I61" s="289"/>
      <c r="J61" s="291"/>
      <c r="K61" s="314" t="s">
        <v>523</v>
      </c>
      <c r="L61" s="291"/>
      <c r="M61" s="314" t="s">
        <v>523</v>
      </c>
      <c r="N61" s="291"/>
      <c r="O61" s="314" t="s">
        <v>523</v>
      </c>
      <c r="P61" s="289"/>
      <c r="Q61" s="292"/>
      <c r="R61" s="292"/>
      <c r="S61" s="289"/>
      <c r="T61" s="293" t="str">
        <f t="shared" si="19"/>
        <v/>
      </c>
      <c r="U61" s="289"/>
      <c r="V61" s="294"/>
      <c r="X61" s="258">
        <f t="shared" si="3"/>
        <v>54</v>
      </c>
      <c r="Y61" s="340" t="s">
        <v>496</v>
      </c>
      <c r="Z61" s="341"/>
      <c r="AA61" s="342" t="s">
        <v>504</v>
      </c>
      <c r="AB61" s="343"/>
      <c r="AC61" s="343"/>
      <c r="AD61" s="295" t="str">
        <f t="shared" si="15"/>
        <v/>
      </c>
      <c r="AE61" s="295" t="str">
        <f t="shared" si="1"/>
        <v/>
      </c>
      <c r="AH61" s="258">
        <f t="shared" si="6"/>
        <v>51</v>
      </c>
      <c r="AI61" s="340" t="s">
        <v>496</v>
      </c>
      <c r="AJ61" s="341"/>
      <c r="AK61" s="342" t="s">
        <v>504</v>
      </c>
      <c r="AL61" s="344"/>
      <c r="AM61" s="343"/>
      <c r="AN61" s="179" t="str">
        <f t="shared" si="5"/>
        <v/>
      </c>
      <c r="AO61" s="163"/>
    </row>
    <row r="62" spans="3:42">
      <c r="C62" s="334" t="s">
        <v>450</v>
      </c>
      <c r="D62" s="289"/>
      <c r="E62" s="291"/>
      <c r="F62" s="289"/>
      <c r="G62" s="310" t="str">
        <f t="shared" si="18"/>
        <v/>
      </c>
      <c r="H62" s="308"/>
      <c r="I62" s="289"/>
      <c r="J62" s="291"/>
      <c r="K62" s="314" t="s">
        <v>523</v>
      </c>
      <c r="L62" s="291"/>
      <c r="M62" s="314" t="s">
        <v>523</v>
      </c>
      <c r="N62" s="291"/>
      <c r="O62" s="314" t="s">
        <v>523</v>
      </c>
      <c r="P62" s="289"/>
      <c r="Q62" s="292"/>
      <c r="R62" s="292"/>
      <c r="S62" s="289"/>
      <c r="T62" s="293" t="str">
        <f t="shared" si="19"/>
        <v/>
      </c>
      <c r="U62" s="289"/>
      <c r="V62" s="294"/>
      <c r="X62" s="258">
        <f t="shared" si="3"/>
        <v>55</v>
      </c>
      <c r="Y62" s="340" t="s">
        <v>496</v>
      </c>
      <c r="Z62" s="341"/>
      <c r="AA62" s="342" t="s">
        <v>504</v>
      </c>
      <c r="AB62" s="343"/>
      <c r="AC62" s="343"/>
      <c r="AD62" s="295" t="str">
        <f t="shared" si="15"/>
        <v/>
      </c>
      <c r="AE62" s="295" t="str">
        <f t="shared" si="1"/>
        <v/>
      </c>
      <c r="AH62" s="258">
        <f t="shared" si="6"/>
        <v>52</v>
      </c>
      <c r="AI62" s="340" t="s">
        <v>496</v>
      </c>
      <c r="AJ62" s="341"/>
      <c r="AK62" s="342" t="s">
        <v>504</v>
      </c>
      <c r="AL62" s="344"/>
      <c r="AM62" s="343"/>
      <c r="AN62" s="179" t="str">
        <f t="shared" si="5"/>
        <v/>
      </c>
      <c r="AO62" s="163"/>
    </row>
    <row r="63" spans="3:42">
      <c r="C63" s="334" t="s">
        <v>451</v>
      </c>
      <c r="D63" s="289"/>
      <c r="E63" s="291"/>
      <c r="F63" s="289"/>
      <c r="G63" s="310" t="str">
        <f t="shared" si="18"/>
        <v/>
      </c>
      <c r="H63" s="308"/>
      <c r="I63" s="289"/>
      <c r="J63" s="291"/>
      <c r="K63" s="314" t="s">
        <v>523</v>
      </c>
      <c r="L63" s="291"/>
      <c r="M63" s="314" t="s">
        <v>523</v>
      </c>
      <c r="N63" s="291"/>
      <c r="O63" s="314" t="s">
        <v>523</v>
      </c>
      <c r="P63" s="289"/>
      <c r="Q63" s="292"/>
      <c r="R63" s="292"/>
      <c r="S63" s="289"/>
      <c r="T63" s="293" t="str">
        <f t="shared" si="19"/>
        <v/>
      </c>
      <c r="U63" s="289"/>
      <c r="V63" s="294"/>
      <c r="X63" s="258">
        <f t="shared" si="3"/>
        <v>56</v>
      </c>
      <c r="Y63" s="340" t="s">
        <v>496</v>
      </c>
      <c r="Z63" s="341"/>
      <c r="AA63" s="342" t="s">
        <v>504</v>
      </c>
      <c r="AB63" s="343"/>
      <c r="AC63" s="343"/>
      <c r="AD63" s="295" t="str">
        <f t="shared" si="15"/>
        <v/>
      </c>
      <c r="AE63" s="295" t="str">
        <f t="shared" si="1"/>
        <v/>
      </c>
      <c r="AH63" s="258">
        <f t="shared" si="6"/>
        <v>53</v>
      </c>
      <c r="AI63" s="340" t="s">
        <v>496</v>
      </c>
      <c r="AJ63" s="341"/>
      <c r="AK63" s="342" t="s">
        <v>504</v>
      </c>
      <c r="AL63" s="344"/>
      <c r="AM63" s="343"/>
      <c r="AN63" s="179" t="str">
        <f t="shared" si="5"/>
        <v/>
      </c>
      <c r="AO63" s="163"/>
    </row>
    <row r="64" spans="3:42">
      <c r="C64" s="334" t="s">
        <v>452</v>
      </c>
      <c r="D64" s="289"/>
      <c r="E64" s="291"/>
      <c r="F64" s="289"/>
      <c r="G64" s="310" t="str">
        <f t="shared" si="18"/>
        <v/>
      </c>
      <c r="H64" s="308"/>
      <c r="I64" s="289"/>
      <c r="J64" s="291"/>
      <c r="K64" s="314" t="s">
        <v>523</v>
      </c>
      <c r="L64" s="291"/>
      <c r="M64" s="314" t="s">
        <v>523</v>
      </c>
      <c r="N64" s="291"/>
      <c r="O64" s="314" t="s">
        <v>523</v>
      </c>
      <c r="P64" s="289"/>
      <c r="Q64" s="292"/>
      <c r="R64" s="292"/>
      <c r="S64" s="289"/>
      <c r="T64" s="293" t="str">
        <f t="shared" si="19"/>
        <v/>
      </c>
      <c r="U64" s="289"/>
      <c r="V64" s="294"/>
      <c r="X64" s="258">
        <f t="shared" si="3"/>
        <v>57</v>
      </c>
      <c r="Y64" s="340" t="s">
        <v>496</v>
      </c>
      <c r="Z64" s="341"/>
      <c r="AA64" s="342" t="s">
        <v>504</v>
      </c>
      <c r="AB64" s="343"/>
      <c r="AC64" s="343"/>
      <c r="AD64" s="295" t="str">
        <f t="shared" si="15"/>
        <v/>
      </c>
      <c r="AE64" s="295" t="str">
        <f t="shared" si="1"/>
        <v/>
      </c>
      <c r="AH64" s="258">
        <f t="shared" si="6"/>
        <v>54</v>
      </c>
      <c r="AI64" s="340" t="s">
        <v>496</v>
      </c>
      <c r="AJ64" s="341"/>
      <c r="AK64" s="342" t="s">
        <v>504</v>
      </c>
      <c r="AL64" s="344"/>
      <c r="AM64" s="343"/>
      <c r="AN64" s="179" t="str">
        <f t="shared" si="5"/>
        <v/>
      </c>
      <c r="AO64" s="163"/>
    </row>
    <row r="65" spans="3:42">
      <c r="C65" s="336" t="s">
        <v>465</v>
      </c>
      <c r="D65" s="163"/>
      <c r="E65" s="320">
        <f>SUM(E58:E64)</f>
        <v>0</v>
      </c>
      <c r="F65" s="163"/>
      <c r="G65" s="743">
        <f>SUM(G58:G64)</f>
        <v>0</v>
      </c>
      <c r="H65" s="743"/>
      <c r="I65" s="163"/>
      <c r="J65" s="725">
        <f>SUM(J58:J64)</f>
        <v>0</v>
      </c>
      <c r="K65" s="726"/>
      <c r="L65" s="725">
        <f t="shared" ref="L65:N65" si="20">SUM(L58:L64)</f>
        <v>0</v>
      </c>
      <c r="M65" s="726"/>
      <c r="N65" s="725">
        <f t="shared" si="20"/>
        <v>0</v>
      </c>
      <c r="O65" s="726"/>
      <c r="Q65" s="259"/>
      <c r="R65" s="259"/>
      <c r="T65" s="259"/>
      <c r="X65" s="258">
        <f t="shared" si="3"/>
        <v>58</v>
      </c>
      <c r="Y65" s="340" t="s">
        <v>496</v>
      </c>
      <c r="Z65" s="341"/>
      <c r="AA65" s="342" t="s">
        <v>504</v>
      </c>
      <c r="AB65" s="343"/>
      <c r="AC65" s="343"/>
      <c r="AD65" s="295" t="str">
        <f t="shared" si="15"/>
        <v/>
      </c>
      <c r="AE65" s="295" t="str">
        <f t="shared" si="1"/>
        <v/>
      </c>
      <c r="AH65" s="258">
        <f t="shared" si="6"/>
        <v>55</v>
      </c>
      <c r="AI65" s="340" t="s">
        <v>496</v>
      </c>
      <c r="AJ65" s="341"/>
      <c r="AK65" s="342" t="s">
        <v>504</v>
      </c>
      <c r="AL65" s="344"/>
      <c r="AM65" s="343"/>
      <c r="AN65" s="179" t="str">
        <f t="shared" si="5"/>
        <v/>
      </c>
      <c r="AO65" s="163"/>
    </row>
    <row r="66" spans="3:42">
      <c r="C66" s="337"/>
      <c r="Q66" s="259"/>
      <c r="R66" s="259"/>
      <c r="T66" s="259"/>
      <c r="X66" s="258">
        <f t="shared" si="3"/>
        <v>59</v>
      </c>
      <c r="Y66" s="340" t="s">
        <v>496</v>
      </c>
      <c r="Z66" s="341"/>
      <c r="AA66" s="342" t="s">
        <v>504</v>
      </c>
      <c r="AB66" s="343"/>
      <c r="AC66" s="343"/>
      <c r="AD66" s="295" t="str">
        <f t="shared" si="15"/>
        <v/>
      </c>
      <c r="AE66" s="295" t="str">
        <f t="shared" si="1"/>
        <v/>
      </c>
      <c r="AH66" s="258">
        <f t="shared" si="6"/>
        <v>56</v>
      </c>
      <c r="AI66" s="340" t="s">
        <v>496</v>
      </c>
      <c r="AJ66" s="341"/>
      <c r="AK66" s="342" t="s">
        <v>504</v>
      </c>
      <c r="AL66" s="344"/>
      <c r="AM66" s="343"/>
      <c r="AN66" s="179" t="str">
        <f t="shared" si="5"/>
        <v/>
      </c>
      <c r="AO66" s="163"/>
    </row>
    <row r="67" spans="3:42" s="163" customFormat="1" ht="16">
      <c r="C67" s="338" t="s">
        <v>449</v>
      </c>
      <c r="D67" s="173"/>
      <c r="E67" s="315" t="s">
        <v>531</v>
      </c>
      <c r="F67" s="173"/>
      <c r="G67" s="746" t="s">
        <v>533</v>
      </c>
      <c r="H67" s="747"/>
      <c r="I67" s="173"/>
      <c r="J67" s="735" t="s">
        <v>456</v>
      </c>
      <c r="K67" s="736"/>
      <c r="L67" s="735" t="s">
        <v>457</v>
      </c>
      <c r="M67" s="736"/>
      <c r="N67" s="727" t="s">
        <v>458</v>
      </c>
      <c r="O67" s="728"/>
      <c r="P67" s="173"/>
      <c r="Q67" s="284" t="str">
        <f>Q57</f>
        <v>Priorités de la fiancée</v>
      </c>
      <c r="R67" s="284" t="str">
        <f>R57</f>
        <v>Priorités du fiancé</v>
      </c>
      <c r="S67" s="299"/>
      <c r="T67" s="298" t="str">
        <f>T57</f>
        <v>Priorités combinées</v>
      </c>
      <c r="U67" s="173"/>
      <c r="V67" s="283" t="s">
        <v>464</v>
      </c>
      <c r="X67" s="258">
        <f t="shared" si="3"/>
        <v>60</v>
      </c>
      <c r="Y67" s="340" t="s">
        <v>496</v>
      </c>
      <c r="Z67" s="341"/>
      <c r="AA67" s="342" t="s">
        <v>504</v>
      </c>
      <c r="AB67" s="343"/>
      <c r="AC67" s="343"/>
      <c r="AD67" s="295" t="str">
        <f t="shared" si="15"/>
        <v/>
      </c>
      <c r="AE67" s="295" t="str">
        <f t="shared" si="1"/>
        <v/>
      </c>
      <c r="AH67" s="258">
        <f t="shared" si="6"/>
        <v>57</v>
      </c>
      <c r="AI67" s="340" t="s">
        <v>496</v>
      </c>
      <c r="AJ67" s="341"/>
      <c r="AK67" s="342" t="s">
        <v>504</v>
      </c>
      <c r="AL67" s="344"/>
      <c r="AM67" s="343"/>
      <c r="AN67" s="179" t="str">
        <f t="shared" si="5"/>
        <v/>
      </c>
      <c r="AP67" s="255"/>
    </row>
    <row r="68" spans="3:42">
      <c r="C68" s="334" t="s">
        <v>453</v>
      </c>
      <c r="D68" s="289"/>
      <c r="E68" s="291"/>
      <c r="F68" s="289"/>
      <c r="G68" s="311" t="str">
        <f t="shared" ref="G68:G70" si="21">IF(H68="",IF(E68="","",E68),IF(H68="Devis 1",J68,IF(H68="Devis 2",L68,N68)))</f>
        <v/>
      </c>
      <c r="H68" s="309"/>
      <c r="I68" s="289"/>
      <c r="J68" s="291"/>
      <c r="K68" s="314" t="s">
        <v>523</v>
      </c>
      <c r="L68" s="291"/>
      <c r="M68" s="314" t="s">
        <v>523</v>
      </c>
      <c r="N68" s="291"/>
      <c r="O68" s="314" t="s">
        <v>523</v>
      </c>
      <c r="P68" s="289"/>
      <c r="Q68" s="292"/>
      <c r="R68" s="292"/>
      <c r="S68" s="289"/>
      <c r="T68" s="293" t="str">
        <f t="shared" ref="T68:T70" si="22">IF(OR(Q68="1 (indispensable)",R68="1 (indispensable)"),"1 (indispensable)",IF(AND(Q68="2 (essentiel)",R68="2 (essentiel)"),"2 (essentiel)",""))</f>
        <v/>
      </c>
      <c r="U68" s="289"/>
      <c r="V68" s="294"/>
      <c r="X68" s="258">
        <f t="shared" si="3"/>
        <v>61</v>
      </c>
      <c r="Y68" s="340" t="s">
        <v>496</v>
      </c>
      <c r="Z68" s="341"/>
      <c r="AA68" s="342" t="s">
        <v>504</v>
      </c>
      <c r="AB68" s="343"/>
      <c r="AC68" s="343"/>
      <c r="AD68" s="295" t="str">
        <f t="shared" si="15"/>
        <v/>
      </c>
      <c r="AE68" s="295" t="str">
        <f t="shared" si="1"/>
        <v/>
      </c>
      <c r="AH68" s="258">
        <f t="shared" si="6"/>
        <v>58</v>
      </c>
      <c r="AI68" s="340" t="s">
        <v>496</v>
      </c>
      <c r="AJ68" s="341"/>
      <c r="AK68" s="342" t="s">
        <v>504</v>
      </c>
      <c r="AL68" s="344"/>
      <c r="AM68" s="343"/>
      <c r="AN68" s="179" t="str">
        <f t="shared" si="5"/>
        <v/>
      </c>
      <c r="AO68" s="163"/>
    </row>
    <row r="69" spans="3:42">
      <c r="C69" s="334" t="s">
        <v>454</v>
      </c>
      <c r="D69" s="289"/>
      <c r="E69" s="291"/>
      <c r="F69" s="289"/>
      <c r="G69" s="310" t="str">
        <f t="shared" si="21"/>
        <v/>
      </c>
      <c r="H69" s="308"/>
      <c r="I69" s="289"/>
      <c r="J69" s="291"/>
      <c r="K69" s="314" t="s">
        <v>523</v>
      </c>
      <c r="L69" s="291"/>
      <c r="M69" s="314" t="s">
        <v>523</v>
      </c>
      <c r="N69" s="291"/>
      <c r="O69" s="314" t="s">
        <v>523</v>
      </c>
      <c r="P69" s="289"/>
      <c r="Q69" s="292"/>
      <c r="R69" s="292"/>
      <c r="S69" s="289"/>
      <c r="T69" s="293" t="str">
        <f t="shared" si="22"/>
        <v/>
      </c>
      <c r="U69" s="289"/>
      <c r="V69" s="294"/>
      <c r="X69" s="258">
        <f t="shared" si="3"/>
        <v>62</v>
      </c>
      <c r="Y69" s="340" t="s">
        <v>496</v>
      </c>
      <c r="Z69" s="341"/>
      <c r="AA69" s="342" t="s">
        <v>504</v>
      </c>
      <c r="AB69" s="343"/>
      <c r="AC69" s="343"/>
      <c r="AD69" s="295" t="str">
        <f t="shared" si="15"/>
        <v/>
      </c>
      <c r="AE69" s="295" t="str">
        <f t="shared" si="1"/>
        <v/>
      </c>
      <c r="AH69" s="258">
        <f t="shared" si="6"/>
        <v>59</v>
      </c>
      <c r="AI69" s="340" t="s">
        <v>496</v>
      </c>
      <c r="AJ69" s="341"/>
      <c r="AK69" s="342" t="s">
        <v>504</v>
      </c>
      <c r="AL69" s="344"/>
      <c r="AM69" s="343"/>
      <c r="AN69" s="179" t="str">
        <f t="shared" si="5"/>
        <v/>
      </c>
      <c r="AO69" s="163"/>
    </row>
    <row r="70" spans="3:42">
      <c r="C70" s="334" t="s">
        <v>455</v>
      </c>
      <c r="D70" s="289"/>
      <c r="E70" s="291"/>
      <c r="F70" s="289"/>
      <c r="G70" s="310" t="str">
        <f t="shared" si="21"/>
        <v/>
      </c>
      <c r="H70" s="308"/>
      <c r="I70" s="289"/>
      <c r="J70" s="291"/>
      <c r="K70" s="314" t="s">
        <v>523</v>
      </c>
      <c r="L70" s="291"/>
      <c r="M70" s="314" t="s">
        <v>523</v>
      </c>
      <c r="N70" s="291"/>
      <c r="O70" s="314" t="s">
        <v>523</v>
      </c>
      <c r="P70" s="289"/>
      <c r="Q70" s="292"/>
      <c r="R70" s="292"/>
      <c r="S70" s="289"/>
      <c r="T70" s="293" t="str">
        <f t="shared" si="22"/>
        <v/>
      </c>
      <c r="U70" s="289"/>
      <c r="V70" s="294"/>
      <c r="X70" s="258">
        <f t="shared" si="3"/>
        <v>63</v>
      </c>
      <c r="Y70" s="340" t="s">
        <v>496</v>
      </c>
      <c r="Z70" s="341"/>
      <c r="AA70" s="342" t="s">
        <v>504</v>
      </c>
      <c r="AB70" s="343"/>
      <c r="AC70" s="343"/>
      <c r="AD70" s="295" t="str">
        <f t="shared" si="15"/>
        <v/>
      </c>
      <c r="AE70" s="295" t="str">
        <f t="shared" si="1"/>
        <v/>
      </c>
      <c r="AH70" s="258">
        <f t="shared" si="6"/>
        <v>60</v>
      </c>
      <c r="AI70" s="340" t="s">
        <v>496</v>
      </c>
      <c r="AJ70" s="341"/>
      <c r="AK70" s="342" t="s">
        <v>504</v>
      </c>
      <c r="AL70" s="344"/>
      <c r="AM70" s="343"/>
      <c r="AN70" s="179" t="str">
        <f t="shared" si="5"/>
        <v/>
      </c>
      <c r="AO70" s="163"/>
      <c r="AP70" s="163"/>
    </row>
    <row r="71" spans="3:42">
      <c r="C71" s="321" t="s">
        <v>465</v>
      </c>
      <c r="D71" s="163"/>
      <c r="E71" s="320">
        <f>SUM(E68:E70)</f>
        <v>0</v>
      </c>
      <c r="F71" s="163"/>
      <c r="G71" s="743">
        <f>SUM(G68:G70)</f>
        <v>0</v>
      </c>
      <c r="H71" s="743"/>
      <c r="I71" s="163"/>
      <c r="J71" s="725">
        <f>SUM(J68:J70)</f>
        <v>0</v>
      </c>
      <c r="K71" s="726"/>
      <c r="L71" s="725">
        <f t="shared" ref="L71:N71" si="23">SUM(L68:L70)</f>
        <v>0</v>
      </c>
      <c r="M71" s="726"/>
      <c r="N71" s="725">
        <f t="shared" si="23"/>
        <v>0</v>
      </c>
      <c r="O71" s="726"/>
      <c r="Q71" s="259"/>
      <c r="R71" s="259"/>
      <c r="T71" s="259"/>
      <c r="X71" s="258">
        <f t="shared" si="3"/>
        <v>64</v>
      </c>
      <c r="Y71" s="340" t="s">
        <v>496</v>
      </c>
      <c r="Z71" s="341"/>
      <c r="AA71" s="342" t="s">
        <v>504</v>
      </c>
      <c r="AB71" s="343"/>
      <c r="AC71" s="343"/>
      <c r="AD71" s="295" t="str">
        <f t="shared" si="15"/>
        <v/>
      </c>
      <c r="AE71" s="295" t="str">
        <f t="shared" si="1"/>
        <v/>
      </c>
      <c r="AH71" s="258">
        <f t="shared" si="6"/>
        <v>61</v>
      </c>
      <c r="AI71" s="340" t="s">
        <v>496</v>
      </c>
      <c r="AJ71" s="341"/>
      <c r="AK71" s="342" t="s">
        <v>504</v>
      </c>
      <c r="AL71" s="344"/>
      <c r="AM71" s="343"/>
      <c r="AN71" s="179" t="str">
        <f t="shared" si="5"/>
        <v/>
      </c>
      <c r="AO71" s="163"/>
    </row>
    <row r="72" spans="3:42" ht="14" thickBot="1">
      <c r="X72" s="258">
        <f t="shared" si="3"/>
        <v>65</v>
      </c>
      <c r="Y72" s="340" t="s">
        <v>496</v>
      </c>
      <c r="Z72" s="341"/>
      <c r="AA72" s="342" t="s">
        <v>504</v>
      </c>
      <c r="AB72" s="343"/>
      <c r="AC72" s="343"/>
      <c r="AD72" s="295" t="str">
        <f t="shared" si="15"/>
        <v/>
      </c>
      <c r="AE72" s="295" t="str">
        <f t="shared" si="1"/>
        <v/>
      </c>
      <c r="AH72" s="258">
        <f t="shared" si="6"/>
        <v>62</v>
      </c>
      <c r="AI72" s="340" t="s">
        <v>496</v>
      </c>
      <c r="AJ72" s="341"/>
      <c r="AK72" s="342" t="s">
        <v>504</v>
      </c>
      <c r="AL72" s="344"/>
      <c r="AM72" s="343"/>
      <c r="AN72" s="179" t="str">
        <f t="shared" si="5"/>
        <v/>
      </c>
      <c r="AO72" s="163"/>
    </row>
    <row r="73" spans="3:42" ht="14">
      <c r="C73" s="300" t="s">
        <v>468</v>
      </c>
      <c r="E73" s="26">
        <f>E5</f>
        <v>0</v>
      </c>
      <c r="F73" s="272"/>
      <c r="G73" s="744">
        <f>G5</f>
        <v>0</v>
      </c>
      <c r="H73" s="745"/>
      <c r="X73" s="258">
        <f t="shared" si="3"/>
        <v>66</v>
      </c>
      <c r="Y73" s="340" t="s">
        <v>496</v>
      </c>
      <c r="Z73" s="341"/>
      <c r="AA73" s="342" t="s">
        <v>504</v>
      </c>
      <c r="AB73" s="343"/>
      <c r="AC73" s="343"/>
      <c r="AD73" s="295" t="str">
        <f t="shared" si="15"/>
        <v/>
      </c>
      <c r="AE73" s="295" t="str">
        <f t="shared" ref="AE73:AE136" si="24">IF(Z73="","",IF(AA73="Non effectué",IF(AE72="","",AE72),IF(AE72="",Z73,Z73+AE72)))</f>
        <v/>
      </c>
      <c r="AH73" s="258">
        <f t="shared" si="6"/>
        <v>63</v>
      </c>
      <c r="AI73" s="340" t="s">
        <v>496</v>
      </c>
      <c r="AJ73" s="341"/>
      <c r="AK73" s="342" t="s">
        <v>504</v>
      </c>
      <c r="AL73" s="344"/>
      <c r="AM73" s="343"/>
      <c r="AN73" s="179" t="str">
        <f t="shared" si="5"/>
        <v/>
      </c>
      <c r="AO73" s="163"/>
    </row>
    <row r="74" spans="3:42" ht="12.75" customHeight="1">
      <c r="E74" s="737" t="s">
        <v>530</v>
      </c>
      <c r="F74" s="163"/>
      <c r="G74" s="739" t="s">
        <v>532</v>
      </c>
      <c r="H74" s="740"/>
      <c r="X74" s="258">
        <f t="shared" ref="X74:X137" si="25">1+X73</f>
        <v>67</v>
      </c>
      <c r="Y74" s="340" t="s">
        <v>496</v>
      </c>
      <c r="Z74" s="341"/>
      <c r="AA74" s="342" t="s">
        <v>504</v>
      </c>
      <c r="AB74" s="343"/>
      <c r="AC74" s="343"/>
      <c r="AD74" s="295" t="str">
        <f t="shared" si="15"/>
        <v/>
      </c>
      <c r="AE74" s="295" t="str">
        <f t="shared" si="24"/>
        <v/>
      </c>
      <c r="AH74" s="258">
        <f t="shared" si="6"/>
        <v>64</v>
      </c>
      <c r="AI74" s="340" t="s">
        <v>496</v>
      </c>
      <c r="AJ74" s="341"/>
      <c r="AK74" s="342" t="s">
        <v>504</v>
      </c>
      <c r="AL74" s="344"/>
      <c r="AM74" s="343"/>
      <c r="AN74" s="179" t="str">
        <f t="shared" si="5"/>
        <v/>
      </c>
      <c r="AO74" s="163"/>
    </row>
    <row r="75" spans="3:42" ht="17" thickBot="1">
      <c r="E75" s="738"/>
      <c r="F75" s="173"/>
      <c r="G75" s="741"/>
      <c r="H75" s="742"/>
      <c r="X75" s="258">
        <f t="shared" si="25"/>
        <v>68</v>
      </c>
      <c r="Y75" s="340" t="s">
        <v>496</v>
      </c>
      <c r="Z75" s="341"/>
      <c r="AA75" s="342" t="s">
        <v>504</v>
      </c>
      <c r="AB75" s="343"/>
      <c r="AC75" s="343"/>
      <c r="AD75" s="295" t="str">
        <f t="shared" si="15"/>
        <v/>
      </c>
      <c r="AE75" s="295" t="str">
        <f t="shared" si="24"/>
        <v/>
      </c>
      <c r="AH75" s="258">
        <f t="shared" si="6"/>
        <v>65</v>
      </c>
      <c r="AI75" s="340" t="s">
        <v>496</v>
      </c>
      <c r="AJ75" s="341"/>
      <c r="AK75" s="342" t="s">
        <v>504</v>
      </c>
      <c r="AL75" s="344"/>
      <c r="AM75" s="343"/>
      <c r="AN75" s="179" t="str">
        <f t="shared" si="5"/>
        <v/>
      </c>
      <c r="AO75" s="163"/>
    </row>
    <row r="76" spans="3:42">
      <c r="X76" s="258">
        <f t="shared" si="25"/>
        <v>69</v>
      </c>
      <c r="Y76" s="340" t="s">
        <v>496</v>
      </c>
      <c r="Z76" s="341"/>
      <c r="AA76" s="342" t="s">
        <v>504</v>
      </c>
      <c r="AB76" s="343"/>
      <c r="AC76" s="343"/>
      <c r="AD76" s="295" t="str">
        <f t="shared" si="15"/>
        <v/>
      </c>
      <c r="AE76" s="295" t="str">
        <f t="shared" si="24"/>
        <v/>
      </c>
      <c r="AH76" s="258">
        <f t="shared" si="6"/>
        <v>66</v>
      </c>
      <c r="AI76" s="340" t="s">
        <v>496</v>
      </c>
      <c r="AJ76" s="341"/>
      <c r="AK76" s="342" t="s">
        <v>504</v>
      </c>
      <c r="AL76" s="344"/>
      <c r="AM76" s="343"/>
      <c r="AN76" s="179" t="str">
        <f t="shared" ref="AN76:AN139" si="26">IF(AK76="Non effectué","",AJ76)</f>
        <v/>
      </c>
      <c r="AO76" s="163"/>
    </row>
    <row r="77" spans="3:42">
      <c r="X77" s="258">
        <f t="shared" si="25"/>
        <v>70</v>
      </c>
      <c r="Y77" s="340" t="s">
        <v>496</v>
      </c>
      <c r="Z77" s="341"/>
      <c r="AA77" s="342" t="s">
        <v>504</v>
      </c>
      <c r="AB77" s="343"/>
      <c r="AC77" s="343"/>
      <c r="AD77" s="295" t="str">
        <f t="shared" si="15"/>
        <v/>
      </c>
      <c r="AE77" s="295" t="str">
        <f t="shared" si="24"/>
        <v/>
      </c>
      <c r="AH77" s="258">
        <f t="shared" ref="AH77:AH140" si="27">1+AH76</f>
        <v>67</v>
      </c>
      <c r="AI77" s="340" t="s">
        <v>496</v>
      </c>
      <c r="AJ77" s="341"/>
      <c r="AK77" s="342" t="s">
        <v>504</v>
      </c>
      <c r="AL77" s="344"/>
      <c r="AM77" s="343"/>
      <c r="AN77" s="179" t="str">
        <f t="shared" si="26"/>
        <v/>
      </c>
      <c r="AO77" s="163"/>
    </row>
    <row r="78" spans="3:42">
      <c r="X78" s="258">
        <f t="shared" si="25"/>
        <v>71</v>
      </c>
      <c r="Y78" s="340" t="s">
        <v>496</v>
      </c>
      <c r="Z78" s="341"/>
      <c r="AA78" s="342" t="s">
        <v>504</v>
      </c>
      <c r="AB78" s="343"/>
      <c r="AC78" s="343"/>
      <c r="AD78" s="295" t="str">
        <f t="shared" si="15"/>
        <v/>
      </c>
      <c r="AE78" s="295" t="str">
        <f t="shared" si="24"/>
        <v/>
      </c>
      <c r="AH78" s="258">
        <f t="shared" si="27"/>
        <v>68</v>
      </c>
      <c r="AI78" s="340" t="s">
        <v>496</v>
      </c>
      <c r="AJ78" s="341"/>
      <c r="AK78" s="342" t="s">
        <v>504</v>
      </c>
      <c r="AL78" s="344"/>
      <c r="AM78" s="343"/>
      <c r="AN78" s="179" t="str">
        <f t="shared" si="26"/>
        <v/>
      </c>
      <c r="AO78" s="163"/>
    </row>
    <row r="79" spans="3:42">
      <c r="C79" s="257"/>
      <c r="X79" s="258">
        <f t="shared" si="25"/>
        <v>72</v>
      </c>
      <c r="Y79" s="340" t="s">
        <v>496</v>
      </c>
      <c r="Z79" s="341"/>
      <c r="AA79" s="342" t="s">
        <v>504</v>
      </c>
      <c r="AB79" s="343"/>
      <c r="AC79" s="343"/>
      <c r="AD79" s="295" t="str">
        <f t="shared" si="15"/>
        <v/>
      </c>
      <c r="AE79" s="295" t="str">
        <f t="shared" si="24"/>
        <v/>
      </c>
      <c r="AH79" s="258">
        <f t="shared" si="27"/>
        <v>69</v>
      </c>
      <c r="AI79" s="340" t="s">
        <v>496</v>
      </c>
      <c r="AJ79" s="341"/>
      <c r="AK79" s="342" t="s">
        <v>504</v>
      </c>
      <c r="AL79" s="344"/>
      <c r="AM79" s="343"/>
      <c r="AN79" s="179" t="str">
        <f t="shared" si="26"/>
        <v/>
      </c>
      <c r="AO79" s="163"/>
    </row>
    <row r="80" spans="3:42">
      <c r="X80" s="258">
        <f t="shared" si="25"/>
        <v>73</v>
      </c>
      <c r="Y80" s="340" t="s">
        <v>496</v>
      </c>
      <c r="Z80" s="341"/>
      <c r="AA80" s="342" t="s">
        <v>504</v>
      </c>
      <c r="AB80" s="343"/>
      <c r="AC80" s="343"/>
      <c r="AD80" s="295" t="str">
        <f t="shared" si="15"/>
        <v/>
      </c>
      <c r="AE80" s="295" t="str">
        <f t="shared" si="24"/>
        <v/>
      </c>
      <c r="AH80" s="258">
        <f t="shared" si="27"/>
        <v>70</v>
      </c>
      <c r="AI80" s="340" t="s">
        <v>496</v>
      </c>
      <c r="AJ80" s="341"/>
      <c r="AK80" s="342" t="s">
        <v>504</v>
      </c>
      <c r="AL80" s="344"/>
      <c r="AM80" s="343"/>
      <c r="AN80" s="179" t="str">
        <f t="shared" si="26"/>
        <v/>
      </c>
      <c r="AO80" s="163"/>
    </row>
    <row r="81" spans="24:41">
      <c r="X81" s="258">
        <f t="shared" si="25"/>
        <v>74</v>
      </c>
      <c r="Y81" s="340" t="s">
        <v>496</v>
      </c>
      <c r="Z81" s="341"/>
      <c r="AA81" s="342" t="s">
        <v>504</v>
      </c>
      <c r="AB81" s="343"/>
      <c r="AC81" s="343"/>
      <c r="AD81" s="295" t="str">
        <f t="shared" si="15"/>
        <v/>
      </c>
      <c r="AE81" s="295" t="str">
        <f t="shared" si="24"/>
        <v/>
      </c>
      <c r="AH81" s="258">
        <f t="shared" si="27"/>
        <v>71</v>
      </c>
      <c r="AI81" s="340" t="s">
        <v>496</v>
      </c>
      <c r="AJ81" s="341"/>
      <c r="AK81" s="342" t="s">
        <v>504</v>
      </c>
      <c r="AL81" s="344"/>
      <c r="AM81" s="343"/>
      <c r="AN81" s="179" t="str">
        <f t="shared" si="26"/>
        <v/>
      </c>
      <c r="AO81" s="163"/>
    </row>
    <row r="82" spans="24:41">
      <c r="X82" s="258">
        <f t="shared" si="25"/>
        <v>75</v>
      </c>
      <c r="Y82" s="340" t="s">
        <v>496</v>
      </c>
      <c r="Z82" s="341"/>
      <c r="AA82" s="342" t="s">
        <v>504</v>
      </c>
      <c r="AB82" s="343"/>
      <c r="AC82" s="343"/>
      <c r="AD82" s="295" t="str">
        <f t="shared" si="15"/>
        <v/>
      </c>
      <c r="AE82" s="295" t="str">
        <f t="shared" si="24"/>
        <v/>
      </c>
      <c r="AH82" s="258">
        <f t="shared" si="27"/>
        <v>72</v>
      </c>
      <c r="AI82" s="340" t="s">
        <v>496</v>
      </c>
      <c r="AJ82" s="341"/>
      <c r="AK82" s="342" t="s">
        <v>504</v>
      </c>
      <c r="AL82" s="344"/>
      <c r="AM82" s="343"/>
      <c r="AN82" s="179" t="str">
        <f t="shared" si="26"/>
        <v/>
      </c>
      <c r="AO82" s="163"/>
    </row>
    <row r="83" spans="24:41">
      <c r="X83" s="258">
        <f t="shared" si="25"/>
        <v>76</v>
      </c>
      <c r="Y83" s="340" t="s">
        <v>496</v>
      </c>
      <c r="Z83" s="341"/>
      <c r="AA83" s="342" t="s">
        <v>504</v>
      </c>
      <c r="AB83" s="343"/>
      <c r="AC83" s="343"/>
      <c r="AD83" s="295" t="str">
        <f t="shared" si="15"/>
        <v/>
      </c>
      <c r="AE83" s="295" t="str">
        <f t="shared" si="24"/>
        <v/>
      </c>
      <c r="AH83" s="258">
        <f t="shared" si="27"/>
        <v>73</v>
      </c>
      <c r="AI83" s="340" t="s">
        <v>496</v>
      </c>
      <c r="AJ83" s="341"/>
      <c r="AK83" s="342" t="s">
        <v>504</v>
      </c>
      <c r="AL83" s="344"/>
      <c r="AM83" s="343"/>
      <c r="AN83" s="179" t="str">
        <f t="shared" si="26"/>
        <v/>
      </c>
      <c r="AO83" s="163"/>
    </row>
    <row r="84" spans="24:41">
      <c r="X84" s="258">
        <f t="shared" si="25"/>
        <v>77</v>
      </c>
      <c r="Y84" s="340" t="s">
        <v>496</v>
      </c>
      <c r="Z84" s="341"/>
      <c r="AA84" s="342" t="s">
        <v>504</v>
      </c>
      <c r="AB84" s="343"/>
      <c r="AC84" s="343"/>
      <c r="AD84" s="295" t="str">
        <f t="shared" si="15"/>
        <v/>
      </c>
      <c r="AE84" s="295" t="str">
        <f t="shared" si="24"/>
        <v/>
      </c>
      <c r="AH84" s="258">
        <f t="shared" si="27"/>
        <v>74</v>
      </c>
      <c r="AI84" s="340" t="s">
        <v>496</v>
      </c>
      <c r="AJ84" s="341"/>
      <c r="AK84" s="342" t="s">
        <v>504</v>
      </c>
      <c r="AL84" s="344"/>
      <c r="AM84" s="343"/>
      <c r="AN84" s="179" t="str">
        <f t="shared" si="26"/>
        <v/>
      </c>
      <c r="AO84" s="163"/>
    </row>
    <row r="85" spans="24:41">
      <c r="X85" s="258">
        <f t="shared" si="25"/>
        <v>78</v>
      </c>
      <c r="Y85" s="340" t="s">
        <v>496</v>
      </c>
      <c r="Z85" s="341"/>
      <c r="AA85" s="342" t="s">
        <v>504</v>
      </c>
      <c r="AB85" s="343"/>
      <c r="AC85" s="343"/>
      <c r="AD85" s="295" t="str">
        <f t="shared" si="15"/>
        <v/>
      </c>
      <c r="AE85" s="295" t="str">
        <f t="shared" si="24"/>
        <v/>
      </c>
      <c r="AH85" s="258">
        <f t="shared" si="27"/>
        <v>75</v>
      </c>
      <c r="AI85" s="340" t="s">
        <v>496</v>
      </c>
      <c r="AJ85" s="341"/>
      <c r="AK85" s="342" t="s">
        <v>504</v>
      </c>
      <c r="AL85" s="344"/>
      <c r="AM85" s="343"/>
      <c r="AN85" s="179" t="str">
        <f t="shared" si="26"/>
        <v/>
      </c>
      <c r="AO85" s="163"/>
    </row>
    <row r="86" spans="24:41">
      <c r="X86" s="258">
        <f t="shared" si="25"/>
        <v>79</v>
      </c>
      <c r="Y86" s="340" t="s">
        <v>496</v>
      </c>
      <c r="Z86" s="341"/>
      <c r="AA86" s="342" t="s">
        <v>504</v>
      </c>
      <c r="AB86" s="343"/>
      <c r="AC86" s="343"/>
      <c r="AD86" s="295" t="str">
        <f t="shared" si="15"/>
        <v/>
      </c>
      <c r="AE86" s="295" t="str">
        <f t="shared" si="24"/>
        <v/>
      </c>
      <c r="AH86" s="258">
        <f t="shared" si="27"/>
        <v>76</v>
      </c>
      <c r="AI86" s="340" t="s">
        <v>496</v>
      </c>
      <c r="AJ86" s="341"/>
      <c r="AK86" s="342" t="s">
        <v>504</v>
      </c>
      <c r="AL86" s="344"/>
      <c r="AM86" s="343"/>
      <c r="AN86" s="179" t="str">
        <f t="shared" si="26"/>
        <v/>
      </c>
      <c r="AO86" s="163"/>
    </row>
    <row r="87" spans="24:41">
      <c r="X87" s="258">
        <f t="shared" si="25"/>
        <v>80</v>
      </c>
      <c r="Y87" s="340" t="s">
        <v>496</v>
      </c>
      <c r="Z87" s="341"/>
      <c r="AA87" s="342" t="s">
        <v>504</v>
      </c>
      <c r="AB87" s="343"/>
      <c r="AC87" s="343"/>
      <c r="AD87" s="295" t="str">
        <f t="shared" si="15"/>
        <v/>
      </c>
      <c r="AE87" s="295" t="str">
        <f t="shared" si="24"/>
        <v/>
      </c>
      <c r="AH87" s="258">
        <f t="shared" si="27"/>
        <v>77</v>
      </c>
      <c r="AI87" s="340" t="s">
        <v>496</v>
      </c>
      <c r="AJ87" s="341"/>
      <c r="AK87" s="342" t="s">
        <v>504</v>
      </c>
      <c r="AL87" s="344"/>
      <c r="AM87" s="343"/>
      <c r="AN87" s="179" t="str">
        <f t="shared" si="26"/>
        <v/>
      </c>
      <c r="AO87" s="163"/>
    </row>
    <row r="88" spans="24:41">
      <c r="X88" s="258">
        <f t="shared" si="25"/>
        <v>81</v>
      </c>
      <c r="Y88" s="340" t="s">
        <v>496</v>
      </c>
      <c r="Z88" s="341"/>
      <c r="AA88" s="342" t="s">
        <v>504</v>
      </c>
      <c r="AB88" s="343"/>
      <c r="AC88" s="343"/>
      <c r="AD88" s="295" t="str">
        <f t="shared" si="15"/>
        <v/>
      </c>
      <c r="AE88" s="295" t="str">
        <f t="shared" si="24"/>
        <v/>
      </c>
      <c r="AH88" s="258">
        <f t="shared" si="27"/>
        <v>78</v>
      </c>
      <c r="AI88" s="340" t="s">
        <v>496</v>
      </c>
      <c r="AJ88" s="341"/>
      <c r="AK88" s="342" t="s">
        <v>504</v>
      </c>
      <c r="AL88" s="344"/>
      <c r="AM88" s="343"/>
      <c r="AN88" s="179" t="str">
        <f t="shared" si="26"/>
        <v/>
      </c>
      <c r="AO88" s="163"/>
    </row>
    <row r="89" spans="24:41">
      <c r="X89" s="258">
        <f t="shared" si="25"/>
        <v>82</v>
      </c>
      <c r="Y89" s="340" t="s">
        <v>496</v>
      </c>
      <c r="Z89" s="341"/>
      <c r="AA89" s="342" t="s">
        <v>504</v>
      </c>
      <c r="AB89" s="343"/>
      <c r="AC89" s="343"/>
      <c r="AD89" s="295" t="str">
        <f t="shared" si="15"/>
        <v/>
      </c>
      <c r="AE89" s="295" t="str">
        <f t="shared" si="24"/>
        <v/>
      </c>
      <c r="AH89" s="258">
        <f t="shared" si="27"/>
        <v>79</v>
      </c>
      <c r="AI89" s="340" t="s">
        <v>496</v>
      </c>
      <c r="AJ89" s="341"/>
      <c r="AK89" s="342" t="s">
        <v>504</v>
      </c>
      <c r="AL89" s="344"/>
      <c r="AM89" s="343"/>
      <c r="AN89" s="179" t="str">
        <f t="shared" si="26"/>
        <v/>
      </c>
      <c r="AO89" s="163"/>
    </row>
    <row r="90" spans="24:41">
      <c r="X90" s="258">
        <f t="shared" si="25"/>
        <v>83</v>
      </c>
      <c r="Y90" s="340" t="s">
        <v>496</v>
      </c>
      <c r="Z90" s="341"/>
      <c r="AA90" s="342" t="s">
        <v>504</v>
      </c>
      <c r="AB90" s="343"/>
      <c r="AC90" s="343"/>
      <c r="AD90" s="295" t="str">
        <f t="shared" si="15"/>
        <v/>
      </c>
      <c r="AE90" s="295" t="str">
        <f t="shared" si="24"/>
        <v/>
      </c>
      <c r="AH90" s="258">
        <f t="shared" si="27"/>
        <v>80</v>
      </c>
      <c r="AI90" s="340" t="s">
        <v>496</v>
      </c>
      <c r="AJ90" s="341"/>
      <c r="AK90" s="342" t="s">
        <v>504</v>
      </c>
      <c r="AL90" s="344"/>
      <c r="AM90" s="343"/>
      <c r="AN90" s="179" t="str">
        <f t="shared" si="26"/>
        <v/>
      </c>
      <c r="AO90" s="163"/>
    </row>
    <row r="91" spans="24:41">
      <c r="X91" s="258">
        <f t="shared" si="25"/>
        <v>84</v>
      </c>
      <c r="Y91" s="340" t="s">
        <v>496</v>
      </c>
      <c r="Z91" s="341"/>
      <c r="AA91" s="342" t="s">
        <v>504</v>
      </c>
      <c r="AB91" s="343"/>
      <c r="AC91" s="343"/>
      <c r="AD91" s="295" t="str">
        <f t="shared" si="15"/>
        <v/>
      </c>
      <c r="AE91" s="295" t="str">
        <f t="shared" si="24"/>
        <v/>
      </c>
      <c r="AH91" s="258">
        <f t="shared" si="27"/>
        <v>81</v>
      </c>
      <c r="AI91" s="340" t="s">
        <v>496</v>
      </c>
      <c r="AJ91" s="341"/>
      <c r="AK91" s="342" t="s">
        <v>504</v>
      </c>
      <c r="AL91" s="344"/>
      <c r="AM91" s="343"/>
      <c r="AN91" s="179" t="str">
        <f t="shared" si="26"/>
        <v/>
      </c>
      <c r="AO91" s="163"/>
    </row>
    <row r="92" spans="24:41">
      <c r="X92" s="258">
        <f t="shared" si="25"/>
        <v>85</v>
      </c>
      <c r="Y92" s="340" t="s">
        <v>496</v>
      </c>
      <c r="Z92" s="341"/>
      <c r="AA92" s="342" t="s">
        <v>504</v>
      </c>
      <c r="AB92" s="343"/>
      <c r="AC92" s="343"/>
      <c r="AD92" s="295" t="str">
        <f t="shared" si="15"/>
        <v/>
      </c>
      <c r="AE92" s="295" t="str">
        <f t="shared" si="24"/>
        <v/>
      </c>
      <c r="AH92" s="258">
        <f t="shared" si="27"/>
        <v>82</v>
      </c>
      <c r="AI92" s="340" t="s">
        <v>496</v>
      </c>
      <c r="AJ92" s="341"/>
      <c r="AK92" s="342" t="s">
        <v>504</v>
      </c>
      <c r="AL92" s="344"/>
      <c r="AM92" s="343"/>
      <c r="AN92" s="179" t="str">
        <f t="shared" si="26"/>
        <v/>
      </c>
      <c r="AO92" s="163"/>
    </row>
    <row r="93" spans="24:41">
      <c r="X93" s="258">
        <f t="shared" si="25"/>
        <v>86</v>
      </c>
      <c r="Y93" s="340" t="s">
        <v>496</v>
      </c>
      <c r="Z93" s="341"/>
      <c r="AA93" s="342" t="s">
        <v>504</v>
      </c>
      <c r="AB93" s="343"/>
      <c r="AC93" s="343"/>
      <c r="AD93" s="295" t="str">
        <f t="shared" si="15"/>
        <v/>
      </c>
      <c r="AE93" s="295" t="str">
        <f t="shared" si="24"/>
        <v/>
      </c>
      <c r="AH93" s="258">
        <f t="shared" si="27"/>
        <v>83</v>
      </c>
      <c r="AI93" s="340" t="s">
        <v>496</v>
      </c>
      <c r="AJ93" s="341"/>
      <c r="AK93" s="342" t="s">
        <v>504</v>
      </c>
      <c r="AL93" s="344"/>
      <c r="AM93" s="343"/>
      <c r="AN93" s="179" t="str">
        <f t="shared" si="26"/>
        <v/>
      </c>
      <c r="AO93" s="163"/>
    </row>
    <row r="94" spans="24:41">
      <c r="X94" s="258">
        <f t="shared" si="25"/>
        <v>87</v>
      </c>
      <c r="Y94" s="340" t="s">
        <v>496</v>
      </c>
      <c r="Z94" s="341"/>
      <c r="AA94" s="342" t="s">
        <v>504</v>
      </c>
      <c r="AB94" s="343"/>
      <c r="AC94" s="343"/>
      <c r="AD94" s="295" t="str">
        <f t="shared" si="15"/>
        <v/>
      </c>
      <c r="AE94" s="295" t="str">
        <f t="shared" si="24"/>
        <v/>
      </c>
      <c r="AH94" s="258">
        <f t="shared" si="27"/>
        <v>84</v>
      </c>
      <c r="AI94" s="340" t="s">
        <v>496</v>
      </c>
      <c r="AJ94" s="341"/>
      <c r="AK94" s="342" t="s">
        <v>504</v>
      </c>
      <c r="AL94" s="344"/>
      <c r="AM94" s="343"/>
      <c r="AN94" s="179" t="str">
        <f t="shared" si="26"/>
        <v/>
      </c>
      <c r="AO94" s="163"/>
    </row>
    <row r="95" spans="24:41">
      <c r="X95" s="258">
        <f t="shared" si="25"/>
        <v>88</v>
      </c>
      <c r="Y95" s="340" t="s">
        <v>496</v>
      </c>
      <c r="Z95" s="341"/>
      <c r="AA95" s="342" t="s">
        <v>504</v>
      </c>
      <c r="AB95" s="343"/>
      <c r="AC95" s="343"/>
      <c r="AD95" s="295" t="str">
        <f t="shared" si="15"/>
        <v/>
      </c>
      <c r="AE95" s="295" t="str">
        <f t="shared" si="24"/>
        <v/>
      </c>
      <c r="AH95" s="258">
        <f t="shared" si="27"/>
        <v>85</v>
      </c>
      <c r="AI95" s="340" t="s">
        <v>496</v>
      </c>
      <c r="AJ95" s="341"/>
      <c r="AK95" s="342" t="s">
        <v>504</v>
      </c>
      <c r="AL95" s="344"/>
      <c r="AM95" s="343"/>
      <c r="AN95" s="179" t="str">
        <f t="shared" si="26"/>
        <v/>
      </c>
      <c r="AO95" s="163"/>
    </row>
    <row r="96" spans="24:41">
      <c r="X96" s="258">
        <f t="shared" si="25"/>
        <v>89</v>
      </c>
      <c r="Y96" s="340" t="s">
        <v>496</v>
      </c>
      <c r="Z96" s="341"/>
      <c r="AA96" s="342" t="s">
        <v>504</v>
      </c>
      <c r="AB96" s="343"/>
      <c r="AC96" s="343"/>
      <c r="AD96" s="295" t="str">
        <f t="shared" si="15"/>
        <v/>
      </c>
      <c r="AE96" s="295" t="str">
        <f t="shared" si="24"/>
        <v/>
      </c>
      <c r="AH96" s="258">
        <f t="shared" si="27"/>
        <v>86</v>
      </c>
      <c r="AI96" s="340" t="s">
        <v>496</v>
      </c>
      <c r="AJ96" s="341"/>
      <c r="AK96" s="342" t="s">
        <v>504</v>
      </c>
      <c r="AL96" s="344"/>
      <c r="AM96" s="343"/>
      <c r="AN96" s="179" t="str">
        <f t="shared" si="26"/>
        <v/>
      </c>
      <c r="AO96" s="163"/>
    </row>
    <row r="97" spans="24:41">
      <c r="X97" s="258">
        <f t="shared" si="25"/>
        <v>90</v>
      </c>
      <c r="Y97" s="340" t="s">
        <v>496</v>
      </c>
      <c r="Z97" s="341"/>
      <c r="AA97" s="342" t="s">
        <v>504</v>
      </c>
      <c r="AB97" s="343"/>
      <c r="AC97" s="343"/>
      <c r="AD97" s="295" t="str">
        <f t="shared" si="15"/>
        <v/>
      </c>
      <c r="AE97" s="295" t="str">
        <f t="shared" si="24"/>
        <v/>
      </c>
      <c r="AH97" s="258">
        <f t="shared" si="27"/>
        <v>87</v>
      </c>
      <c r="AI97" s="340" t="s">
        <v>496</v>
      </c>
      <c r="AJ97" s="341"/>
      <c r="AK97" s="342" t="s">
        <v>504</v>
      </c>
      <c r="AL97" s="344"/>
      <c r="AM97" s="343"/>
      <c r="AN97" s="179" t="str">
        <f t="shared" si="26"/>
        <v/>
      </c>
      <c r="AO97" s="163"/>
    </row>
    <row r="98" spans="24:41">
      <c r="X98" s="258">
        <f t="shared" si="25"/>
        <v>91</v>
      </c>
      <c r="Y98" s="340" t="s">
        <v>496</v>
      </c>
      <c r="Z98" s="341"/>
      <c r="AA98" s="342" t="s">
        <v>504</v>
      </c>
      <c r="AB98" s="343"/>
      <c r="AC98" s="343"/>
      <c r="AD98" s="295" t="str">
        <f t="shared" si="15"/>
        <v/>
      </c>
      <c r="AE98" s="295" t="str">
        <f t="shared" si="24"/>
        <v/>
      </c>
      <c r="AH98" s="258">
        <f t="shared" si="27"/>
        <v>88</v>
      </c>
      <c r="AI98" s="340" t="s">
        <v>496</v>
      </c>
      <c r="AJ98" s="341"/>
      <c r="AK98" s="342" t="s">
        <v>504</v>
      </c>
      <c r="AL98" s="344"/>
      <c r="AM98" s="343"/>
      <c r="AN98" s="179" t="str">
        <f t="shared" si="26"/>
        <v/>
      </c>
      <c r="AO98" s="163"/>
    </row>
    <row r="99" spans="24:41">
      <c r="X99" s="258">
        <f t="shared" si="25"/>
        <v>92</v>
      </c>
      <c r="Y99" s="340" t="s">
        <v>496</v>
      </c>
      <c r="Z99" s="341"/>
      <c r="AA99" s="342" t="s">
        <v>504</v>
      </c>
      <c r="AB99" s="343"/>
      <c r="AC99" s="343"/>
      <c r="AD99" s="295" t="str">
        <f t="shared" si="15"/>
        <v/>
      </c>
      <c r="AE99" s="295" t="str">
        <f t="shared" si="24"/>
        <v/>
      </c>
      <c r="AH99" s="258">
        <f t="shared" si="27"/>
        <v>89</v>
      </c>
      <c r="AI99" s="340" t="s">
        <v>496</v>
      </c>
      <c r="AJ99" s="341"/>
      <c r="AK99" s="342" t="s">
        <v>504</v>
      </c>
      <c r="AL99" s="344"/>
      <c r="AM99" s="343"/>
      <c r="AN99" s="179" t="str">
        <f t="shared" si="26"/>
        <v/>
      </c>
      <c r="AO99" s="163"/>
    </row>
    <row r="100" spans="24:41">
      <c r="X100" s="258">
        <f t="shared" si="25"/>
        <v>93</v>
      </c>
      <c r="Y100" s="340" t="s">
        <v>496</v>
      </c>
      <c r="Z100" s="341"/>
      <c r="AA100" s="342" t="s">
        <v>504</v>
      </c>
      <c r="AB100" s="343"/>
      <c r="AC100" s="343"/>
      <c r="AD100" s="295" t="str">
        <f t="shared" si="15"/>
        <v/>
      </c>
      <c r="AE100" s="295" t="str">
        <f t="shared" si="24"/>
        <v/>
      </c>
      <c r="AH100" s="258">
        <f t="shared" si="27"/>
        <v>90</v>
      </c>
      <c r="AI100" s="340" t="s">
        <v>496</v>
      </c>
      <c r="AJ100" s="341"/>
      <c r="AK100" s="342" t="s">
        <v>504</v>
      </c>
      <c r="AL100" s="344"/>
      <c r="AM100" s="343"/>
      <c r="AN100" s="179" t="str">
        <f t="shared" si="26"/>
        <v/>
      </c>
      <c r="AO100" s="163"/>
    </row>
    <row r="101" spans="24:41">
      <c r="X101" s="258">
        <f t="shared" si="25"/>
        <v>94</v>
      </c>
      <c r="Y101" s="340" t="s">
        <v>496</v>
      </c>
      <c r="Z101" s="341"/>
      <c r="AA101" s="342" t="s">
        <v>504</v>
      </c>
      <c r="AB101" s="343"/>
      <c r="AC101" s="343"/>
      <c r="AD101" s="295" t="str">
        <f t="shared" si="15"/>
        <v/>
      </c>
      <c r="AE101" s="295" t="str">
        <f t="shared" si="24"/>
        <v/>
      </c>
      <c r="AH101" s="258">
        <f t="shared" si="27"/>
        <v>91</v>
      </c>
      <c r="AI101" s="340" t="s">
        <v>496</v>
      </c>
      <c r="AJ101" s="341"/>
      <c r="AK101" s="342" t="s">
        <v>504</v>
      </c>
      <c r="AL101" s="344"/>
      <c r="AM101" s="343"/>
      <c r="AN101" s="179" t="str">
        <f t="shared" si="26"/>
        <v/>
      </c>
      <c r="AO101" s="163"/>
    </row>
    <row r="102" spans="24:41">
      <c r="X102" s="258">
        <f t="shared" si="25"/>
        <v>95</v>
      </c>
      <c r="Y102" s="340" t="s">
        <v>496</v>
      </c>
      <c r="Z102" s="341"/>
      <c r="AA102" s="342" t="s">
        <v>504</v>
      </c>
      <c r="AB102" s="343"/>
      <c r="AC102" s="343"/>
      <c r="AD102" s="295" t="str">
        <f t="shared" si="15"/>
        <v/>
      </c>
      <c r="AE102" s="295" t="str">
        <f t="shared" si="24"/>
        <v/>
      </c>
      <c r="AH102" s="258">
        <f t="shared" si="27"/>
        <v>92</v>
      </c>
      <c r="AI102" s="340" t="s">
        <v>496</v>
      </c>
      <c r="AJ102" s="341"/>
      <c r="AK102" s="342" t="s">
        <v>504</v>
      </c>
      <c r="AL102" s="344"/>
      <c r="AM102" s="343"/>
      <c r="AN102" s="179" t="str">
        <f t="shared" si="26"/>
        <v/>
      </c>
      <c r="AO102" s="163"/>
    </row>
    <row r="103" spans="24:41">
      <c r="X103" s="258">
        <f t="shared" si="25"/>
        <v>96</v>
      </c>
      <c r="Y103" s="340" t="s">
        <v>496</v>
      </c>
      <c r="Z103" s="341"/>
      <c r="AA103" s="342" t="s">
        <v>504</v>
      </c>
      <c r="AB103" s="343"/>
      <c r="AC103" s="343"/>
      <c r="AD103" s="295" t="str">
        <f t="shared" si="15"/>
        <v/>
      </c>
      <c r="AE103" s="295" t="str">
        <f t="shared" si="24"/>
        <v/>
      </c>
      <c r="AH103" s="258">
        <f t="shared" si="27"/>
        <v>93</v>
      </c>
      <c r="AI103" s="340" t="s">
        <v>496</v>
      </c>
      <c r="AJ103" s="341"/>
      <c r="AK103" s="342" t="s">
        <v>504</v>
      </c>
      <c r="AL103" s="344"/>
      <c r="AM103" s="343"/>
      <c r="AN103" s="179" t="str">
        <f t="shared" si="26"/>
        <v/>
      </c>
      <c r="AO103" s="163"/>
    </row>
    <row r="104" spans="24:41">
      <c r="X104" s="258">
        <f t="shared" si="25"/>
        <v>97</v>
      </c>
      <c r="Y104" s="340" t="s">
        <v>496</v>
      </c>
      <c r="Z104" s="341"/>
      <c r="AA104" s="342" t="s">
        <v>504</v>
      </c>
      <c r="AB104" s="343"/>
      <c r="AC104" s="343"/>
      <c r="AD104" s="295" t="str">
        <f t="shared" si="15"/>
        <v/>
      </c>
      <c r="AE104" s="295" t="str">
        <f t="shared" si="24"/>
        <v/>
      </c>
      <c r="AH104" s="258">
        <f t="shared" si="27"/>
        <v>94</v>
      </c>
      <c r="AI104" s="340" t="s">
        <v>496</v>
      </c>
      <c r="AJ104" s="341"/>
      <c r="AK104" s="342" t="s">
        <v>504</v>
      </c>
      <c r="AL104" s="344"/>
      <c r="AM104" s="343"/>
      <c r="AN104" s="179" t="str">
        <f t="shared" si="26"/>
        <v/>
      </c>
      <c r="AO104" s="163"/>
    </row>
    <row r="105" spans="24:41">
      <c r="X105" s="258">
        <f t="shared" si="25"/>
        <v>98</v>
      </c>
      <c r="Y105" s="340" t="s">
        <v>496</v>
      </c>
      <c r="Z105" s="341"/>
      <c r="AA105" s="342" t="s">
        <v>504</v>
      </c>
      <c r="AB105" s="343"/>
      <c r="AC105" s="343"/>
      <c r="AD105" s="295" t="str">
        <f t="shared" si="15"/>
        <v/>
      </c>
      <c r="AE105" s="295" t="str">
        <f t="shared" si="24"/>
        <v/>
      </c>
      <c r="AH105" s="258">
        <f t="shared" si="27"/>
        <v>95</v>
      </c>
      <c r="AI105" s="340" t="s">
        <v>496</v>
      </c>
      <c r="AJ105" s="341"/>
      <c r="AK105" s="342" t="s">
        <v>504</v>
      </c>
      <c r="AL105" s="344"/>
      <c r="AM105" s="343"/>
      <c r="AN105" s="179" t="str">
        <f t="shared" si="26"/>
        <v/>
      </c>
      <c r="AO105" s="163"/>
    </row>
    <row r="106" spans="24:41">
      <c r="X106" s="258">
        <f t="shared" si="25"/>
        <v>99</v>
      </c>
      <c r="Y106" s="340" t="s">
        <v>496</v>
      </c>
      <c r="Z106" s="341"/>
      <c r="AA106" s="342" t="s">
        <v>504</v>
      </c>
      <c r="AB106" s="343"/>
      <c r="AC106" s="343"/>
      <c r="AD106" s="295" t="str">
        <f t="shared" si="15"/>
        <v/>
      </c>
      <c r="AE106" s="295" t="str">
        <f t="shared" si="24"/>
        <v/>
      </c>
      <c r="AH106" s="258">
        <f t="shared" si="27"/>
        <v>96</v>
      </c>
      <c r="AI106" s="340" t="s">
        <v>496</v>
      </c>
      <c r="AJ106" s="341"/>
      <c r="AK106" s="342" t="s">
        <v>504</v>
      </c>
      <c r="AL106" s="344"/>
      <c r="AM106" s="343"/>
      <c r="AN106" s="179" t="str">
        <f t="shared" si="26"/>
        <v/>
      </c>
      <c r="AO106" s="163"/>
    </row>
    <row r="107" spans="24:41">
      <c r="X107" s="258">
        <f t="shared" si="25"/>
        <v>100</v>
      </c>
      <c r="Y107" s="340" t="s">
        <v>496</v>
      </c>
      <c r="Z107" s="341"/>
      <c r="AA107" s="342" t="s">
        <v>504</v>
      </c>
      <c r="AB107" s="343"/>
      <c r="AC107" s="343"/>
      <c r="AD107" s="295" t="str">
        <f t="shared" si="15"/>
        <v/>
      </c>
      <c r="AE107" s="295" t="str">
        <f t="shared" si="24"/>
        <v/>
      </c>
      <c r="AH107" s="258">
        <f t="shared" si="27"/>
        <v>97</v>
      </c>
      <c r="AI107" s="340" t="s">
        <v>496</v>
      </c>
      <c r="AJ107" s="341"/>
      <c r="AK107" s="342" t="s">
        <v>504</v>
      </c>
      <c r="AL107" s="344"/>
      <c r="AM107" s="343"/>
      <c r="AN107" s="179" t="str">
        <f t="shared" si="26"/>
        <v/>
      </c>
      <c r="AO107" s="163"/>
    </row>
    <row r="108" spans="24:41">
      <c r="X108" s="258">
        <f t="shared" si="25"/>
        <v>101</v>
      </c>
      <c r="Y108" s="340" t="s">
        <v>496</v>
      </c>
      <c r="Z108" s="341"/>
      <c r="AA108" s="342" t="s">
        <v>504</v>
      </c>
      <c r="AB108" s="343"/>
      <c r="AC108" s="343"/>
      <c r="AD108" s="295" t="str">
        <f t="shared" ref="AD108:AD157" si="28">IF(Z108="","",Z108+AD107)</f>
        <v/>
      </c>
      <c r="AE108" s="295" t="str">
        <f t="shared" si="24"/>
        <v/>
      </c>
      <c r="AH108" s="258">
        <f t="shared" si="27"/>
        <v>98</v>
      </c>
      <c r="AI108" s="340" t="s">
        <v>496</v>
      </c>
      <c r="AJ108" s="341"/>
      <c r="AK108" s="342" t="s">
        <v>504</v>
      </c>
      <c r="AL108" s="344"/>
      <c r="AM108" s="343"/>
      <c r="AN108" s="179" t="str">
        <f t="shared" si="26"/>
        <v/>
      </c>
      <c r="AO108" s="163"/>
    </row>
    <row r="109" spans="24:41">
      <c r="X109" s="258">
        <f t="shared" si="25"/>
        <v>102</v>
      </c>
      <c r="Y109" s="340" t="s">
        <v>496</v>
      </c>
      <c r="Z109" s="341"/>
      <c r="AA109" s="342" t="s">
        <v>504</v>
      </c>
      <c r="AB109" s="343"/>
      <c r="AC109" s="343"/>
      <c r="AD109" s="295" t="str">
        <f t="shared" si="28"/>
        <v/>
      </c>
      <c r="AE109" s="295" t="str">
        <f t="shared" si="24"/>
        <v/>
      </c>
      <c r="AH109" s="258">
        <f t="shared" si="27"/>
        <v>99</v>
      </c>
      <c r="AI109" s="340" t="s">
        <v>496</v>
      </c>
      <c r="AJ109" s="341"/>
      <c r="AK109" s="342" t="s">
        <v>504</v>
      </c>
      <c r="AL109" s="344"/>
      <c r="AM109" s="343"/>
      <c r="AN109" s="179" t="str">
        <f t="shared" si="26"/>
        <v/>
      </c>
      <c r="AO109" s="163"/>
    </row>
    <row r="110" spans="24:41">
      <c r="X110" s="258">
        <f t="shared" si="25"/>
        <v>103</v>
      </c>
      <c r="Y110" s="340" t="s">
        <v>496</v>
      </c>
      <c r="Z110" s="341"/>
      <c r="AA110" s="342" t="s">
        <v>504</v>
      </c>
      <c r="AB110" s="343"/>
      <c r="AC110" s="343"/>
      <c r="AD110" s="295" t="str">
        <f t="shared" si="28"/>
        <v/>
      </c>
      <c r="AE110" s="295" t="str">
        <f t="shared" si="24"/>
        <v/>
      </c>
      <c r="AH110" s="258">
        <f t="shared" si="27"/>
        <v>100</v>
      </c>
      <c r="AI110" s="340" t="s">
        <v>496</v>
      </c>
      <c r="AJ110" s="341"/>
      <c r="AK110" s="342" t="s">
        <v>504</v>
      </c>
      <c r="AL110" s="344"/>
      <c r="AM110" s="343"/>
      <c r="AN110" s="179" t="str">
        <f t="shared" si="26"/>
        <v/>
      </c>
      <c r="AO110" s="163"/>
    </row>
    <row r="111" spans="24:41">
      <c r="X111" s="258">
        <f t="shared" si="25"/>
        <v>104</v>
      </c>
      <c r="Y111" s="340" t="s">
        <v>496</v>
      </c>
      <c r="Z111" s="341"/>
      <c r="AA111" s="342" t="s">
        <v>504</v>
      </c>
      <c r="AB111" s="343"/>
      <c r="AC111" s="343"/>
      <c r="AD111" s="295" t="str">
        <f t="shared" si="28"/>
        <v/>
      </c>
      <c r="AE111" s="295" t="str">
        <f t="shared" si="24"/>
        <v/>
      </c>
      <c r="AH111" s="258">
        <f t="shared" si="27"/>
        <v>101</v>
      </c>
      <c r="AI111" s="340" t="s">
        <v>496</v>
      </c>
      <c r="AJ111" s="341"/>
      <c r="AK111" s="342" t="s">
        <v>504</v>
      </c>
      <c r="AL111" s="344"/>
      <c r="AM111" s="343"/>
      <c r="AN111" s="179" t="str">
        <f t="shared" si="26"/>
        <v/>
      </c>
      <c r="AO111" s="163"/>
    </row>
    <row r="112" spans="24:41">
      <c r="X112" s="258">
        <f t="shared" si="25"/>
        <v>105</v>
      </c>
      <c r="Y112" s="340" t="s">
        <v>496</v>
      </c>
      <c r="Z112" s="341"/>
      <c r="AA112" s="342" t="s">
        <v>504</v>
      </c>
      <c r="AB112" s="343"/>
      <c r="AC112" s="343"/>
      <c r="AD112" s="295" t="str">
        <f t="shared" si="28"/>
        <v/>
      </c>
      <c r="AE112" s="295" t="str">
        <f t="shared" si="24"/>
        <v/>
      </c>
      <c r="AH112" s="258">
        <f t="shared" si="27"/>
        <v>102</v>
      </c>
      <c r="AI112" s="340" t="s">
        <v>496</v>
      </c>
      <c r="AJ112" s="341"/>
      <c r="AK112" s="342" t="s">
        <v>504</v>
      </c>
      <c r="AL112" s="344"/>
      <c r="AM112" s="343"/>
      <c r="AN112" s="179" t="str">
        <f t="shared" si="26"/>
        <v/>
      </c>
      <c r="AO112" s="163"/>
    </row>
    <row r="113" spans="24:41">
      <c r="X113" s="258">
        <f t="shared" si="25"/>
        <v>106</v>
      </c>
      <c r="Y113" s="340" t="s">
        <v>496</v>
      </c>
      <c r="Z113" s="341"/>
      <c r="AA113" s="342" t="s">
        <v>504</v>
      </c>
      <c r="AB113" s="343"/>
      <c r="AC113" s="343"/>
      <c r="AD113" s="295" t="str">
        <f t="shared" si="28"/>
        <v/>
      </c>
      <c r="AE113" s="295" t="str">
        <f t="shared" si="24"/>
        <v/>
      </c>
      <c r="AH113" s="258">
        <f t="shared" si="27"/>
        <v>103</v>
      </c>
      <c r="AI113" s="340" t="s">
        <v>496</v>
      </c>
      <c r="AJ113" s="341"/>
      <c r="AK113" s="342" t="s">
        <v>504</v>
      </c>
      <c r="AL113" s="344"/>
      <c r="AM113" s="343"/>
      <c r="AN113" s="179" t="str">
        <f t="shared" si="26"/>
        <v/>
      </c>
      <c r="AO113" s="163"/>
    </row>
    <row r="114" spans="24:41">
      <c r="X114" s="258">
        <f t="shared" si="25"/>
        <v>107</v>
      </c>
      <c r="Y114" s="340" t="s">
        <v>496</v>
      </c>
      <c r="Z114" s="341"/>
      <c r="AA114" s="342" t="s">
        <v>504</v>
      </c>
      <c r="AB114" s="343"/>
      <c r="AC114" s="343"/>
      <c r="AD114" s="295" t="str">
        <f t="shared" si="28"/>
        <v/>
      </c>
      <c r="AE114" s="295" t="str">
        <f t="shared" si="24"/>
        <v/>
      </c>
      <c r="AH114" s="258">
        <f t="shared" si="27"/>
        <v>104</v>
      </c>
      <c r="AI114" s="340" t="s">
        <v>496</v>
      </c>
      <c r="AJ114" s="341"/>
      <c r="AK114" s="342" t="s">
        <v>504</v>
      </c>
      <c r="AL114" s="344"/>
      <c r="AM114" s="343"/>
      <c r="AN114" s="179" t="str">
        <f t="shared" si="26"/>
        <v/>
      </c>
      <c r="AO114" s="163"/>
    </row>
    <row r="115" spans="24:41">
      <c r="X115" s="258">
        <f t="shared" si="25"/>
        <v>108</v>
      </c>
      <c r="Y115" s="340" t="s">
        <v>496</v>
      </c>
      <c r="Z115" s="341"/>
      <c r="AA115" s="342" t="s">
        <v>504</v>
      </c>
      <c r="AB115" s="343"/>
      <c r="AC115" s="343"/>
      <c r="AD115" s="295" t="str">
        <f t="shared" si="28"/>
        <v/>
      </c>
      <c r="AE115" s="295" t="str">
        <f t="shared" si="24"/>
        <v/>
      </c>
      <c r="AH115" s="258">
        <f t="shared" si="27"/>
        <v>105</v>
      </c>
      <c r="AI115" s="340" t="s">
        <v>496</v>
      </c>
      <c r="AJ115" s="341"/>
      <c r="AK115" s="342" t="s">
        <v>504</v>
      </c>
      <c r="AL115" s="344"/>
      <c r="AM115" s="343"/>
      <c r="AN115" s="179" t="str">
        <f t="shared" si="26"/>
        <v/>
      </c>
      <c r="AO115" s="163"/>
    </row>
    <row r="116" spans="24:41">
      <c r="X116" s="258">
        <f t="shared" si="25"/>
        <v>109</v>
      </c>
      <c r="Y116" s="340" t="s">
        <v>496</v>
      </c>
      <c r="Z116" s="341"/>
      <c r="AA116" s="342" t="s">
        <v>504</v>
      </c>
      <c r="AB116" s="343"/>
      <c r="AC116" s="343"/>
      <c r="AD116" s="295" t="str">
        <f t="shared" si="28"/>
        <v/>
      </c>
      <c r="AE116" s="295" t="str">
        <f t="shared" si="24"/>
        <v/>
      </c>
      <c r="AH116" s="258">
        <f t="shared" si="27"/>
        <v>106</v>
      </c>
      <c r="AI116" s="340" t="s">
        <v>496</v>
      </c>
      <c r="AJ116" s="341"/>
      <c r="AK116" s="342" t="s">
        <v>504</v>
      </c>
      <c r="AL116" s="344"/>
      <c r="AM116" s="343"/>
      <c r="AN116" s="179" t="str">
        <f t="shared" si="26"/>
        <v/>
      </c>
      <c r="AO116" s="163"/>
    </row>
    <row r="117" spans="24:41">
      <c r="X117" s="258">
        <f t="shared" si="25"/>
        <v>110</v>
      </c>
      <c r="Y117" s="340" t="s">
        <v>496</v>
      </c>
      <c r="Z117" s="341"/>
      <c r="AA117" s="342" t="s">
        <v>504</v>
      </c>
      <c r="AB117" s="343"/>
      <c r="AC117" s="343"/>
      <c r="AD117" s="295" t="str">
        <f t="shared" si="28"/>
        <v/>
      </c>
      <c r="AE117" s="295" t="str">
        <f t="shared" si="24"/>
        <v/>
      </c>
      <c r="AH117" s="258">
        <f t="shared" si="27"/>
        <v>107</v>
      </c>
      <c r="AI117" s="340" t="s">
        <v>496</v>
      </c>
      <c r="AJ117" s="341"/>
      <c r="AK117" s="342" t="s">
        <v>504</v>
      </c>
      <c r="AL117" s="344"/>
      <c r="AM117" s="343"/>
      <c r="AN117" s="179" t="str">
        <f t="shared" si="26"/>
        <v/>
      </c>
      <c r="AO117" s="163"/>
    </row>
    <row r="118" spans="24:41">
      <c r="X118" s="258">
        <f t="shared" si="25"/>
        <v>111</v>
      </c>
      <c r="Y118" s="340" t="s">
        <v>496</v>
      </c>
      <c r="Z118" s="341"/>
      <c r="AA118" s="342" t="s">
        <v>504</v>
      </c>
      <c r="AB118" s="343"/>
      <c r="AC118" s="343"/>
      <c r="AD118" s="295" t="str">
        <f t="shared" si="28"/>
        <v/>
      </c>
      <c r="AE118" s="295" t="str">
        <f t="shared" si="24"/>
        <v/>
      </c>
      <c r="AH118" s="258">
        <f t="shared" si="27"/>
        <v>108</v>
      </c>
      <c r="AI118" s="340" t="s">
        <v>496</v>
      </c>
      <c r="AJ118" s="341"/>
      <c r="AK118" s="342" t="s">
        <v>504</v>
      </c>
      <c r="AL118" s="344"/>
      <c r="AM118" s="343"/>
      <c r="AN118" s="179" t="str">
        <f t="shared" si="26"/>
        <v/>
      </c>
      <c r="AO118" s="163"/>
    </row>
    <row r="119" spans="24:41">
      <c r="X119" s="258">
        <f t="shared" si="25"/>
        <v>112</v>
      </c>
      <c r="Y119" s="340" t="s">
        <v>496</v>
      </c>
      <c r="Z119" s="341"/>
      <c r="AA119" s="342" t="s">
        <v>504</v>
      </c>
      <c r="AB119" s="343"/>
      <c r="AC119" s="343"/>
      <c r="AD119" s="295" t="str">
        <f t="shared" si="28"/>
        <v/>
      </c>
      <c r="AE119" s="295" t="str">
        <f t="shared" si="24"/>
        <v/>
      </c>
      <c r="AH119" s="258">
        <f t="shared" si="27"/>
        <v>109</v>
      </c>
      <c r="AI119" s="340" t="s">
        <v>496</v>
      </c>
      <c r="AJ119" s="341"/>
      <c r="AK119" s="342" t="s">
        <v>504</v>
      </c>
      <c r="AL119" s="344"/>
      <c r="AM119" s="343"/>
      <c r="AN119" s="179" t="str">
        <f t="shared" si="26"/>
        <v/>
      </c>
      <c r="AO119" s="163"/>
    </row>
    <row r="120" spans="24:41">
      <c r="X120" s="258">
        <f t="shared" si="25"/>
        <v>113</v>
      </c>
      <c r="Y120" s="340" t="s">
        <v>496</v>
      </c>
      <c r="Z120" s="341"/>
      <c r="AA120" s="342" t="s">
        <v>504</v>
      </c>
      <c r="AB120" s="343"/>
      <c r="AC120" s="343"/>
      <c r="AD120" s="295" t="str">
        <f t="shared" si="28"/>
        <v/>
      </c>
      <c r="AE120" s="295" t="str">
        <f t="shared" si="24"/>
        <v/>
      </c>
      <c r="AH120" s="258">
        <f t="shared" si="27"/>
        <v>110</v>
      </c>
      <c r="AI120" s="340" t="s">
        <v>496</v>
      </c>
      <c r="AJ120" s="341"/>
      <c r="AK120" s="342" t="s">
        <v>504</v>
      </c>
      <c r="AL120" s="344"/>
      <c r="AM120" s="343"/>
      <c r="AN120" s="179" t="str">
        <f t="shared" si="26"/>
        <v/>
      </c>
      <c r="AO120" s="163"/>
    </row>
    <row r="121" spans="24:41">
      <c r="X121" s="258">
        <f t="shared" si="25"/>
        <v>114</v>
      </c>
      <c r="Y121" s="340" t="s">
        <v>496</v>
      </c>
      <c r="Z121" s="341"/>
      <c r="AA121" s="342" t="s">
        <v>504</v>
      </c>
      <c r="AB121" s="343"/>
      <c r="AC121" s="343"/>
      <c r="AD121" s="295" t="str">
        <f t="shared" si="28"/>
        <v/>
      </c>
      <c r="AE121" s="295" t="str">
        <f t="shared" si="24"/>
        <v/>
      </c>
      <c r="AH121" s="258">
        <f t="shared" si="27"/>
        <v>111</v>
      </c>
      <c r="AI121" s="340" t="s">
        <v>496</v>
      </c>
      <c r="AJ121" s="341"/>
      <c r="AK121" s="342" t="s">
        <v>504</v>
      </c>
      <c r="AL121" s="344"/>
      <c r="AM121" s="343"/>
      <c r="AN121" s="179" t="str">
        <f t="shared" si="26"/>
        <v/>
      </c>
      <c r="AO121" s="163"/>
    </row>
    <row r="122" spans="24:41">
      <c r="X122" s="258">
        <f t="shared" si="25"/>
        <v>115</v>
      </c>
      <c r="Y122" s="340" t="s">
        <v>496</v>
      </c>
      <c r="Z122" s="341"/>
      <c r="AA122" s="342" t="s">
        <v>504</v>
      </c>
      <c r="AB122" s="343"/>
      <c r="AC122" s="343"/>
      <c r="AD122" s="295" t="str">
        <f t="shared" si="28"/>
        <v/>
      </c>
      <c r="AE122" s="295" t="str">
        <f t="shared" si="24"/>
        <v/>
      </c>
      <c r="AH122" s="258">
        <f t="shared" si="27"/>
        <v>112</v>
      </c>
      <c r="AI122" s="340" t="s">
        <v>496</v>
      </c>
      <c r="AJ122" s="341"/>
      <c r="AK122" s="342" t="s">
        <v>504</v>
      </c>
      <c r="AL122" s="344"/>
      <c r="AM122" s="343"/>
      <c r="AN122" s="179" t="str">
        <f t="shared" si="26"/>
        <v/>
      </c>
      <c r="AO122" s="163"/>
    </row>
    <row r="123" spans="24:41">
      <c r="X123" s="258">
        <f t="shared" si="25"/>
        <v>116</v>
      </c>
      <c r="Y123" s="340" t="s">
        <v>496</v>
      </c>
      <c r="Z123" s="341"/>
      <c r="AA123" s="342" t="s">
        <v>504</v>
      </c>
      <c r="AB123" s="343"/>
      <c r="AC123" s="343"/>
      <c r="AD123" s="295" t="str">
        <f t="shared" si="28"/>
        <v/>
      </c>
      <c r="AE123" s="295" t="str">
        <f t="shared" si="24"/>
        <v/>
      </c>
      <c r="AH123" s="258">
        <f t="shared" si="27"/>
        <v>113</v>
      </c>
      <c r="AI123" s="340" t="s">
        <v>496</v>
      </c>
      <c r="AJ123" s="341"/>
      <c r="AK123" s="342" t="s">
        <v>504</v>
      </c>
      <c r="AL123" s="344"/>
      <c r="AM123" s="343"/>
      <c r="AN123" s="179" t="str">
        <f t="shared" si="26"/>
        <v/>
      </c>
      <c r="AO123" s="163"/>
    </row>
    <row r="124" spans="24:41">
      <c r="X124" s="258">
        <f t="shared" si="25"/>
        <v>117</v>
      </c>
      <c r="Y124" s="340" t="s">
        <v>496</v>
      </c>
      <c r="Z124" s="341"/>
      <c r="AA124" s="342" t="s">
        <v>504</v>
      </c>
      <c r="AB124" s="343"/>
      <c r="AC124" s="343"/>
      <c r="AD124" s="295" t="str">
        <f t="shared" si="28"/>
        <v/>
      </c>
      <c r="AE124" s="295" t="str">
        <f t="shared" si="24"/>
        <v/>
      </c>
      <c r="AH124" s="258">
        <f t="shared" si="27"/>
        <v>114</v>
      </c>
      <c r="AI124" s="340" t="s">
        <v>496</v>
      </c>
      <c r="AJ124" s="341"/>
      <c r="AK124" s="342" t="s">
        <v>504</v>
      </c>
      <c r="AL124" s="344"/>
      <c r="AM124" s="343"/>
      <c r="AN124" s="179" t="str">
        <f t="shared" si="26"/>
        <v/>
      </c>
      <c r="AO124" s="163"/>
    </row>
    <row r="125" spans="24:41">
      <c r="X125" s="258">
        <f t="shared" si="25"/>
        <v>118</v>
      </c>
      <c r="Y125" s="340" t="s">
        <v>496</v>
      </c>
      <c r="Z125" s="341"/>
      <c r="AA125" s="342" t="s">
        <v>504</v>
      </c>
      <c r="AB125" s="343"/>
      <c r="AC125" s="343"/>
      <c r="AD125" s="295" t="str">
        <f t="shared" si="28"/>
        <v/>
      </c>
      <c r="AE125" s="295" t="str">
        <f t="shared" si="24"/>
        <v/>
      </c>
      <c r="AH125" s="258">
        <f t="shared" si="27"/>
        <v>115</v>
      </c>
      <c r="AI125" s="340" t="s">
        <v>496</v>
      </c>
      <c r="AJ125" s="341"/>
      <c r="AK125" s="342" t="s">
        <v>504</v>
      </c>
      <c r="AL125" s="344"/>
      <c r="AM125" s="343"/>
      <c r="AN125" s="179" t="str">
        <f t="shared" si="26"/>
        <v/>
      </c>
      <c r="AO125" s="163"/>
    </row>
    <row r="126" spans="24:41">
      <c r="X126" s="258">
        <f t="shared" si="25"/>
        <v>119</v>
      </c>
      <c r="Y126" s="340" t="s">
        <v>496</v>
      </c>
      <c r="Z126" s="341"/>
      <c r="AA126" s="342" t="s">
        <v>504</v>
      </c>
      <c r="AB126" s="343"/>
      <c r="AC126" s="343"/>
      <c r="AD126" s="295" t="str">
        <f t="shared" si="28"/>
        <v/>
      </c>
      <c r="AE126" s="295" t="str">
        <f t="shared" si="24"/>
        <v/>
      </c>
      <c r="AH126" s="258">
        <f t="shared" si="27"/>
        <v>116</v>
      </c>
      <c r="AI126" s="340" t="s">
        <v>496</v>
      </c>
      <c r="AJ126" s="341"/>
      <c r="AK126" s="342" t="s">
        <v>504</v>
      </c>
      <c r="AL126" s="344"/>
      <c r="AM126" s="343"/>
      <c r="AN126" s="179" t="str">
        <f t="shared" si="26"/>
        <v/>
      </c>
      <c r="AO126" s="163"/>
    </row>
    <row r="127" spans="24:41">
      <c r="X127" s="258">
        <f t="shared" si="25"/>
        <v>120</v>
      </c>
      <c r="Y127" s="340" t="s">
        <v>496</v>
      </c>
      <c r="Z127" s="341"/>
      <c r="AA127" s="342" t="s">
        <v>504</v>
      </c>
      <c r="AB127" s="343"/>
      <c r="AC127" s="343"/>
      <c r="AD127" s="295" t="str">
        <f t="shared" si="28"/>
        <v/>
      </c>
      <c r="AE127" s="295" t="str">
        <f t="shared" si="24"/>
        <v/>
      </c>
      <c r="AH127" s="258">
        <f t="shared" si="27"/>
        <v>117</v>
      </c>
      <c r="AI127" s="340" t="s">
        <v>496</v>
      </c>
      <c r="AJ127" s="341"/>
      <c r="AK127" s="342" t="s">
        <v>504</v>
      </c>
      <c r="AL127" s="344"/>
      <c r="AM127" s="343"/>
      <c r="AN127" s="179" t="str">
        <f t="shared" si="26"/>
        <v/>
      </c>
      <c r="AO127" s="163"/>
    </row>
    <row r="128" spans="24:41">
      <c r="X128" s="258">
        <f t="shared" si="25"/>
        <v>121</v>
      </c>
      <c r="Y128" s="340" t="s">
        <v>496</v>
      </c>
      <c r="Z128" s="341"/>
      <c r="AA128" s="342" t="s">
        <v>504</v>
      </c>
      <c r="AB128" s="343"/>
      <c r="AC128" s="343"/>
      <c r="AD128" s="295" t="str">
        <f t="shared" si="28"/>
        <v/>
      </c>
      <c r="AE128" s="295" t="str">
        <f t="shared" si="24"/>
        <v/>
      </c>
      <c r="AH128" s="258">
        <f t="shared" si="27"/>
        <v>118</v>
      </c>
      <c r="AI128" s="340" t="s">
        <v>496</v>
      </c>
      <c r="AJ128" s="341"/>
      <c r="AK128" s="342" t="s">
        <v>504</v>
      </c>
      <c r="AL128" s="344"/>
      <c r="AM128" s="343"/>
      <c r="AN128" s="179" t="str">
        <f t="shared" si="26"/>
        <v/>
      </c>
      <c r="AO128" s="163"/>
    </row>
    <row r="129" spans="24:41">
      <c r="X129" s="258">
        <f t="shared" si="25"/>
        <v>122</v>
      </c>
      <c r="Y129" s="340" t="s">
        <v>496</v>
      </c>
      <c r="Z129" s="341"/>
      <c r="AA129" s="342" t="s">
        <v>504</v>
      </c>
      <c r="AB129" s="343"/>
      <c r="AC129" s="343"/>
      <c r="AD129" s="295" t="str">
        <f t="shared" si="28"/>
        <v/>
      </c>
      <c r="AE129" s="295" t="str">
        <f t="shared" si="24"/>
        <v/>
      </c>
      <c r="AH129" s="258">
        <f t="shared" si="27"/>
        <v>119</v>
      </c>
      <c r="AI129" s="340" t="s">
        <v>496</v>
      </c>
      <c r="AJ129" s="341"/>
      <c r="AK129" s="342" t="s">
        <v>504</v>
      </c>
      <c r="AL129" s="344"/>
      <c r="AM129" s="343"/>
      <c r="AN129" s="179" t="str">
        <f t="shared" si="26"/>
        <v/>
      </c>
      <c r="AO129" s="163"/>
    </row>
    <row r="130" spans="24:41">
      <c r="X130" s="258">
        <f t="shared" si="25"/>
        <v>123</v>
      </c>
      <c r="Y130" s="340" t="s">
        <v>496</v>
      </c>
      <c r="Z130" s="341"/>
      <c r="AA130" s="342" t="s">
        <v>504</v>
      </c>
      <c r="AB130" s="343"/>
      <c r="AC130" s="343"/>
      <c r="AD130" s="295" t="str">
        <f t="shared" si="28"/>
        <v/>
      </c>
      <c r="AE130" s="295" t="str">
        <f t="shared" si="24"/>
        <v/>
      </c>
      <c r="AH130" s="258">
        <f t="shared" si="27"/>
        <v>120</v>
      </c>
      <c r="AI130" s="340" t="s">
        <v>496</v>
      </c>
      <c r="AJ130" s="341"/>
      <c r="AK130" s="342" t="s">
        <v>504</v>
      </c>
      <c r="AL130" s="344"/>
      <c r="AM130" s="343"/>
      <c r="AN130" s="179" t="str">
        <f t="shared" si="26"/>
        <v/>
      </c>
      <c r="AO130" s="163"/>
    </row>
    <row r="131" spans="24:41">
      <c r="X131" s="258">
        <f t="shared" si="25"/>
        <v>124</v>
      </c>
      <c r="Y131" s="340" t="s">
        <v>496</v>
      </c>
      <c r="Z131" s="341"/>
      <c r="AA131" s="342" t="s">
        <v>504</v>
      </c>
      <c r="AB131" s="343"/>
      <c r="AC131" s="343"/>
      <c r="AD131" s="295" t="str">
        <f t="shared" si="28"/>
        <v/>
      </c>
      <c r="AE131" s="295" t="str">
        <f t="shared" si="24"/>
        <v/>
      </c>
      <c r="AH131" s="258">
        <f t="shared" si="27"/>
        <v>121</v>
      </c>
      <c r="AI131" s="340" t="s">
        <v>496</v>
      </c>
      <c r="AJ131" s="341"/>
      <c r="AK131" s="342" t="s">
        <v>504</v>
      </c>
      <c r="AL131" s="344"/>
      <c r="AM131" s="343"/>
      <c r="AN131" s="179" t="str">
        <f t="shared" si="26"/>
        <v/>
      </c>
      <c r="AO131" s="163"/>
    </row>
    <row r="132" spans="24:41">
      <c r="X132" s="258">
        <f t="shared" si="25"/>
        <v>125</v>
      </c>
      <c r="Y132" s="340" t="s">
        <v>496</v>
      </c>
      <c r="Z132" s="341"/>
      <c r="AA132" s="342" t="s">
        <v>504</v>
      </c>
      <c r="AB132" s="343"/>
      <c r="AC132" s="343"/>
      <c r="AD132" s="295" t="str">
        <f t="shared" si="28"/>
        <v/>
      </c>
      <c r="AE132" s="295" t="str">
        <f t="shared" si="24"/>
        <v/>
      </c>
      <c r="AH132" s="258">
        <f t="shared" si="27"/>
        <v>122</v>
      </c>
      <c r="AI132" s="340" t="s">
        <v>496</v>
      </c>
      <c r="AJ132" s="341"/>
      <c r="AK132" s="342" t="s">
        <v>504</v>
      </c>
      <c r="AL132" s="344"/>
      <c r="AM132" s="343"/>
      <c r="AN132" s="179" t="str">
        <f t="shared" si="26"/>
        <v/>
      </c>
      <c r="AO132" s="163"/>
    </row>
    <row r="133" spans="24:41">
      <c r="X133" s="258">
        <f t="shared" si="25"/>
        <v>126</v>
      </c>
      <c r="Y133" s="340" t="s">
        <v>496</v>
      </c>
      <c r="Z133" s="341"/>
      <c r="AA133" s="342" t="s">
        <v>504</v>
      </c>
      <c r="AB133" s="343"/>
      <c r="AC133" s="343"/>
      <c r="AD133" s="295" t="str">
        <f t="shared" si="28"/>
        <v/>
      </c>
      <c r="AE133" s="295" t="str">
        <f t="shared" si="24"/>
        <v/>
      </c>
      <c r="AH133" s="258">
        <f t="shared" si="27"/>
        <v>123</v>
      </c>
      <c r="AI133" s="340" t="s">
        <v>496</v>
      </c>
      <c r="AJ133" s="341"/>
      <c r="AK133" s="342" t="s">
        <v>504</v>
      </c>
      <c r="AL133" s="344"/>
      <c r="AM133" s="343"/>
      <c r="AN133" s="179" t="str">
        <f t="shared" si="26"/>
        <v/>
      </c>
      <c r="AO133" s="163"/>
    </row>
    <row r="134" spans="24:41">
      <c r="X134" s="258">
        <f t="shared" si="25"/>
        <v>127</v>
      </c>
      <c r="Y134" s="340" t="s">
        <v>496</v>
      </c>
      <c r="Z134" s="341"/>
      <c r="AA134" s="342" t="s">
        <v>504</v>
      </c>
      <c r="AB134" s="343"/>
      <c r="AC134" s="343"/>
      <c r="AD134" s="295" t="str">
        <f t="shared" si="28"/>
        <v/>
      </c>
      <c r="AE134" s="295" t="str">
        <f t="shared" si="24"/>
        <v/>
      </c>
      <c r="AH134" s="258">
        <f t="shared" si="27"/>
        <v>124</v>
      </c>
      <c r="AI134" s="340" t="s">
        <v>496</v>
      </c>
      <c r="AJ134" s="341"/>
      <c r="AK134" s="342" t="s">
        <v>504</v>
      </c>
      <c r="AL134" s="344"/>
      <c r="AM134" s="343"/>
      <c r="AN134" s="179" t="str">
        <f t="shared" si="26"/>
        <v/>
      </c>
      <c r="AO134" s="163"/>
    </row>
    <row r="135" spans="24:41">
      <c r="X135" s="258">
        <f t="shared" si="25"/>
        <v>128</v>
      </c>
      <c r="Y135" s="340" t="s">
        <v>496</v>
      </c>
      <c r="Z135" s="341"/>
      <c r="AA135" s="342" t="s">
        <v>504</v>
      </c>
      <c r="AB135" s="343"/>
      <c r="AC135" s="343"/>
      <c r="AD135" s="295" t="str">
        <f t="shared" si="28"/>
        <v/>
      </c>
      <c r="AE135" s="295" t="str">
        <f t="shared" si="24"/>
        <v/>
      </c>
      <c r="AH135" s="258">
        <f t="shared" si="27"/>
        <v>125</v>
      </c>
      <c r="AI135" s="340" t="s">
        <v>496</v>
      </c>
      <c r="AJ135" s="341"/>
      <c r="AK135" s="342" t="s">
        <v>504</v>
      </c>
      <c r="AL135" s="344"/>
      <c r="AM135" s="343"/>
      <c r="AN135" s="179" t="str">
        <f t="shared" si="26"/>
        <v/>
      </c>
      <c r="AO135" s="163"/>
    </row>
    <row r="136" spans="24:41">
      <c r="X136" s="258">
        <f t="shared" si="25"/>
        <v>129</v>
      </c>
      <c r="Y136" s="340" t="s">
        <v>496</v>
      </c>
      <c r="Z136" s="341"/>
      <c r="AA136" s="342" t="s">
        <v>504</v>
      </c>
      <c r="AB136" s="343"/>
      <c r="AC136" s="343"/>
      <c r="AD136" s="295" t="str">
        <f t="shared" si="28"/>
        <v/>
      </c>
      <c r="AE136" s="295" t="str">
        <f t="shared" si="24"/>
        <v/>
      </c>
      <c r="AH136" s="258">
        <f t="shared" si="27"/>
        <v>126</v>
      </c>
      <c r="AI136" s="340" t="s">
        <v>496</v>
      </c>
      <c r="AJ136" s="341"/>
      <c r="AK136" s="342" t="s">
        <v>504</v>
      </c>
      <c r="AL136" s="344"/>
      <c r="AM136" s="343"/>
      <c r="AN136" s="179" t="str">
        <f t="shared" si="26"/>
        <v/>
      </c>
      <c r="AO136" s="163"/>
    </row>
    <row r="137" spans="24:41">
      <c r="X137" s="258">
        <f t="shared" si="25"/>
        <v>130</v>
      </c>
      <c r="Y137" s="340" t="s">
        <v>496</v>
      </c>
      <c r="Z137" s="341"/>
      <c r="AA137" s="342" t="s">
        <v>504</v>
      </c>
      <c r="AB137" s="343"/>
      <c r="AC137" s="343"/>
      <c r="AD137" s="295" t="str">
        <f t="shared" si="28"/>
        <v/>
      </c>
      <c r="AE137" s="295" t="str">
        <f t="shared" ref="AE137:AE157" si="29">IF(Z137="","",IF(AA137="Non effectué",IF(AE136="","",AE136),IF(AE136="",Z137,Z137+AE136)))</f>
        <v/>
      </c>
      <c r="AH137" s="258">
        <f t="shared" si="27"/>
        <v>127</v>
      </c>
      <c r="AI137" s="340" t="s">
        <v>496</v>
      </c>
      <c r="AJ137" s="341"/>
      <c r="AK137" s="342" t="s">
        <v>504</v>
      </c>
      <c r="AL137" s="344"/>
      <c r="AM137" s="343"/>
      <c r="AN137" s="179" t="str">
        <f t="shared" si="26"/>
        <v/>
      </c>
      <c r="AO137" s="163"/>
    </row>
    <row r="138" spans="24:41">
      <c r="X138" s="258">
        <f t="shared" ref="X138:X157" si="30">1+X137</f>
        <v>131</v>
      </c>
      <c r="Y138" s="340" t="s">
        <v>496</v>
      </c>
      <c r="Z138" s="341"/>
      <c r="AA138" s="342" t="s">
        <v>504</v>
      </c>
      <c r="AB138" s="343"/>
      <c r="AC138" s="343"/>
      <c r="AD138" s="295" t="str">
        <f t="shared" si="28"/>
        <v/>
      </c>
      <c r="AE138" s="295" t="str">
        <f t="shared" si="29"/>
        <v/>
      </c>
      <c r="AH138" s="258">
        <f t="shared" si="27"/>
        <v>128</v>
      </c>
      <c r="AI138" s="340" t="s">
        <v>496</v>
      </c>
      <c r="AJ138" s="341"/>
      <c r="AK138" s="342" t="s">
        <v>504</v>
      </c>
      <c r="AL138" s="344"/>
      <c r="AM138" s="343"/>
      <c r="AN138" s="179" t="str">
        <f t="shared" si="26"/>
        <v/>
      </c>
      <c r="AO138" s="163"/>
    </row>
    <row r="139" spans="24:41">
      <c r="X139" s="258">
        <f t="shared" si="30"/>
        <v>132</v>
      </c>
      <c r="Y139" s="340" t="s">
        <v>496</v>
      </c>
      <c r="Z139" s="341"/>
      <c r="AA139" s="342" t="s">
        <v>504</v>
      </c>
      <c r="AB139" s="343"/>
      <c r="AC139" s="343"/>
      <c r="AD139" s="295" t="str">
        <f t="shared" si="28"/>
        <v/>
      </c>
      <c r="AE139" s="295" t="str">
        <f t="shared" si="29"/>
        <v/>
      </c>
      <c r="AH139" s="258">
        <f t="shared" si="27"/>
        <v>129</v>
      </c>
      <c r="AI139" s="340" t="s">
        <v>496</v>
      </c>
      <c r="AJ139" s="341"/>
      <c r="AK139" s="342" t="s">
        <v>504</v>
      </c>
      <c r="AL139" s="344"/>
      <c r="AM139" s="343"/>
      <c r="AN139" s="179" t="str">
        <f t="shared" si="26"/>
        <v/>
      </c>
      <c r="AO139" s="163"/>
    </row>
    <row r="140" spans="24:41">
      <c r="X140" s="258">
        <f t="shared" si="30"/>
        <v>133</v>
      </c>
      <c r="Y140" s="340" t="s">
        <v>496</v>
      </c>
      <c r="Z140" s="341"/>
      <c r="AA140" s="342" t="s">
        <v>504</v>
      </c>
      <c r="AB140" s="343"/>
      <c r="AC140" s="343"/>
      <c r="AD140" s="295" t="str">
        <f t="shared" si="28"/>
        <v/>
      </c>
      <c r="AE140" s="295" t="str">
        <f t="shared" si="29"/>
        <v/>
      </c>
      <c r="AH140" s="258">
        <f t="shared" si="27"/>
        <v>130</v>
      </c>
      <c r="AI140" s="340" t="s">
        <v>496</v>
      </c>
      <c r="AJ140" s="341"/>
      <c r="AK140" s="342" t="s">
        <v>504</v>
      </c>
      <c r="AL140" s="344"/>
      <c r="AM140" s="343"/>
      <c r="AN140" s="179" t="str">
        <f t="shared" ref="AN140:AN160" si="31">IF(AK140="Non effectué","",AJ140)</f>
        <v/>
      </c>
      <c r="AO140" s="163"/>
    </row>
    <row r="141" spans="24:41">
      <c r="X141" s="258">
        <f t="shared" si="30"/>
        <v>134</v>
      </c>
      <c r="Y141" s="340" t="s">
        <v>496</v>
      </c>
      <c r="Z141" s="341"/>
      <c r="AA141" s="342" t="s">
        <v>504</v>
      </c>
      <c r="AB141" s="343"/>
      <c r="AC141" s="343"/>
      <c r="AD141" s="295" t="str">
        <f t="shared" si="28"/>
        <v/>
      </c>
      <c r="AE141" s="295" t="str">
        <f t="shared" si="29"/>
        <v/>
      </c>
      <c r="AH141" s="258">
        <f t="shared" ref="AH141:AH160" si="32">1+AH140</f>
        <v>131</v>
      </c>
      <c r="AI141" s="340" t="s">
        <v>496</v>
      </c>
      <c r="AJ141" s="341"/>
      <c r="AK141" s="342" t="s">
        <v>504</v>
      </c>
      <c r="AL141" s="344"/>
      <c r="AM141" s="343"/>
      <c r="AN141" s="179" t="str">
        <f t="shared" si="31"/>
        <v/>
      </c>
      <c r="AO141" s="163"/>
    </row>
    <row r="142" spans="24:41">
      <c r="X142" s="258">
        <f t="shared" si="30"/>
        <v>135</v>
      </c>
      <c r="Y142" s="340" t="s">
        <v>496</v>
      </c>
      <c r="Z142" s="341"/>
      <c r="AA142" s="342" t="s">
        <v>504</v>
      </c>
      <c r="AB142" s="343"/>
      <c r="AC142" s="343"/>
      <c r="AD142" s="295" t="str">
        <f t="shared" si="28"/>
        <v/>
      </c>
      <c r="AE142" s="295" t="str">
        <f t="shared" si="29"/>
        <v/>
      </c>
      <c r="AH142" s="258">
        <f t="shared" si="32"/>
        <v>132</v>
      </c>
      <c r="AI142" s="340" t="s">
        <v>496</v>
      </c>
      <c r="AJ142" s="341"/>
      <c r="AK142" s="342" t="s">
        <v>504</v>
      </c>
      <c r="AL142" s="344"/>
      <c r="AM142" s="343"/>
      <c r="AN142" s="179" t="str">
        <f t="shared" si="31"/>
        <v/>
      </c>
      <c r="AO142" s="163"/>
    </row>
    <row r="143" spans="24:41">
      <c r="X143" s="258">
        <f t="shared" si="30"/>
        <v>136</v>
      </c>
      <c r="Y143" s="340" t="s">
        <v>496</v>
      </c>
      <c r="Z143" s="341"/>
      <c r="AA143" s="342" t="s">
        <v>504</v>
      </c>
      <c r="AB143" s="343"/>
      <c r="AC143" s="343"/>
      <c r="AD143" s="295" t="str">
        <f t="shared" si="28"/>
        <v/>
      </c>
      <c r="AE143" s="295" t="str">
        <f t="shared" si="29"/>
        <v/>
      </c>
      <c r="AH143" s="258">
        <f t="shared" si="32"/>
        <v>133</v>
      </c>
      <c r="AI143" s="340" t="s">
        <v>496</v>
      </c>
      <c r="AJ143" s="341"/>
      <c r="AK143" s="342" t="s">
        <v>504</v>
      </c>
      <c r="AL143" s="344"/>
      <c r="AM143" s="343"/>
      <c r="AN143" s="179" t="str">
        <f t="shared" si="31"/>
        <v/>
      </c>
      <c r="AO143" s="163"/>
    </row>
    <row r="144" spans="24:41">
      <c r="X144" s="258">
        <f t="shared" si="30"/>
        <v>137</v>
      </c>
      <c r="Y144" s="340" t="s">
        <v>496</v>
      </c>
      <c r="Z144" s="341"/>
      <c r="AA144" s="342" t="s">
        <v>504</v>
      </c>
      <c r="AB144" s="343"/>
      <c r="AC144" s="343"/>
      <c r="AD144" s="295" t="str">
        <f t="shared" si="28"/>
        <v/>
      </c>
      <c r="AE144" s="295" t="str">
        <f t="shared" si="29"/>
        <v/>
      </c>
      <c r="AH144" s="258">
        <f t="shared" si="32"/>
        <v>134</v>
      </c>
      <c r="AI144" s="340" t="s">
        <v>496</v>
      </c>
      <c r="AJ144" s="341"/>
      <c r="AK144" s="342" t="s">
        <v>504</v>
      </c>
      <c r="AL144" s="344"/>
      <c r="AM144" s="343"/>
      <c r="AN144" s="179" t="str">
        <f t="shared" si="31"/>
        <v/>
      </c>
      <c r="AO144" s="163"/>
    </row>
    <row r="145" spans="24:41">
      <c r="X145" s="258">
        <f t="shared" si="30"/>
        <v>138</v>
      </c>
      <c r="Y145" s="340" t="s">
        <v>496</v>
      </c>
      <c r="Z145" s="341"/>
      <c r="AA145" s="342" t="s">
        <v>504</v>
      </c>
      <c r="AB145" s="343"/>
      <c r="AC145" s="343"/>
      <c r="AD145" s="295" t="str">
        <f t="shared" si="28"/>
        <v/>
      </c>
      <c r="AE145" s="295" t="str">
        <f t="shared" si="29"/>
        <v/>
      </c>
      <c r="AH145" s="258">
        <f t="shared" si="32"/>
        <v>135</v>
      </c>
      <c r="AI145" s="340" t="s">
        <v>496</v>
      </c>
      <c r="AJ145" s="341"/>
      <c r="AK145" s="342" t="s">
        <v>504</v>
      </c>
      <c r="AL145" s="344"/>
      <c r="AM145" s="343"/>
      <c r="AN145" s="179" t="str">
        <f t="shared" si="31"/>
        <v/>
      </c>
      <c r="AO145" s="163"/>
    </row>
    <row r="146" spans="24:41">
      <c r="X146" s="258">
        <f t="shared" si="30"/>
        <v>139</v>
      </c>
      <c r="Y146" s="340" t="s">
        <v>496</v>
      </c>
      <c r="Z146" s="341"/>
      <c r="AA146" s="342" t="s">
        <v>504</v>
      </c>
      <c r="AB146" s="343"/>
      <c r="AC146" s="343"/>
      <c r="AD146" s="295" t="str">
        <f t="shared" si="28"/>
        <v/>
      </c>
      <c r="AE146" s="295" t="str">
        <f t="shared" si="29"/>
        <v/>
      </c>
      <c r="AH146" s="258">
        <f t="shared" si="32"/>
        <v>136</v>
      </c>
      <c r="AI146" s="340" t="s">
        <v>496</v>
      </c>
      <c r="AJ146" s="341"/>
      <c r="AK146" s="342" t="s">
        <v>504</v>
      </c>
      <c r="AL146" s="344"/>
      <c r="AM146" s="343"/>
      <c r="AN146" s="179" t="str">
        <f t="shared" si="31"/>
        <v/>
      </c>
      <c r="AO146" s="163"/>
    </row>
    <row r="147" spans="24:41">
      <c r="X147" s="258">
        <f t="shared" si="30"/>
        <v>140</v>
      </c>
      <c r="Y147" s="340" t="s">
        <v>496</v>
      </c>
      <c r="Z147" s="341"/>
      <c r="AA147" s="342" t="s">
        <v>504</v>
      </c>
      <c r="AB147" s="343"/>
      <c r="AC147" s="343"/>
      <c r="AD147" s="295" t="str">
        <f t="shared" si="28"/>
        <v/>
      </c>
      <c r="AE147" s="295" t="str">
        <f t="shared" si="29"/>
        <v/>
      </c>
      <c r="AH147" s="258">
        <f t="shared" si="32"/>
        <v>137</v>
      </c>
      <c r="AI147" s="340" t="s">
        <v>496</v>
      </c>
      <c r="AJ147" s="341"/>
      <c r="AK147" s="342" t="s">
        <v>504</v>
      </c>
      <c r="AL147" s="344"/>
      <c r="AM147" s="343"/>
      <c r="AN147" s="179" t="str">
        <f t="shared" si="31"/>
        <v/>
      </c>
      <c r="AO147" s="163"/>
    </row>
    <row r="148" spans="24:41">
      <c r="X148" s="258">
        <f t="shared" si="30"/>
        <v>141</v>
      </c>
      <c r="Y148" s="340" t="s">
        <v>496</v>
      </c>
      <c r="Z148" s="341"/>
      <c r="AA148" s="342" t="s">
        <v>504</v>
      </c>
      <c r="AB148" s="343"/>
      <c r="AC148" s="343"/>
      <c r="AD148" s="295" t="str">
        <f t="shared" si="28"/>
        <v/>
      </c>
      <c r="AE148" s="295" t="str">
        <f t="shared" si="29"/>
        <v/>
      </c>
      <c r="AH148" s="258">
        <f t="shared" si="32"/>
        <v>138</v>
      </c>
      <c r="AI148" s="340" t="s">
        <v>496</v>
      </c>
      <c r="AJ148" s="341"/>
      <c r="AK148" s="342" t="s">
        <v>504</v>
      </c>
      <c r="AL148" s="344"/>
      <c r="AM148" s="343"/>
      <c r="AN148" s="179" t="str">
        <f t="shared" si="31"/>
        <v/>
      </c>
      <c r="AO148" s="163"/>
    </row>
    <row r="149" spans="24:41">
      <c r="X149" s="258">
        <f t="shared" si="30"/>
        <v>142</v>
      </c>
      <c r="Y149" s="340" t="s">
        <v>496</v>
      </c>
      <c r="Z149" s="341"/>
      <c r="AA149" s="342" t="s">
        <v>504</v>
      </c>
      <c r="AB149" s="343"/>
      <c r="AC149" s="343"/>
      <c r="AD149" s="295" t="str">
        <f t="shared" si="28"/>
        <v/>
      </c>
      <c r="AE149" s="295" t="str">
        <f t="shared" si="29"/>
        <v/>
      </c>
      <c r="AH149" s="258">
        <f t="shared" si="32"/>
        <v>139</v>
      </c>
      <c r="AI149" s="340" t="s">
        <v>496</v>
      </c>
      <c r="AJ149" s="341"/>
      <c r="AK149" s="342" t="s">
        <v>504</v>
      </c>
      <c r="AL149" s="344"/>
      <c r="AM149" s="343"/>
      <c r="AN149" s="179" t="str">
        <f t="shared" si="31"/>
        <v/>
      </c>
      <c r="AO149" s="163"/>
    </row>
    <row r="150" spans="24:41">
      <c r="X150" s="258">
        <f t="shared" si="30"/>
        <v>143</v>
      </c>
      <c r="Y150" s="340" t="s">
        <v>496</v>
      </c>
      <c r="Z150" s="341"/>
      <c r="AA150" s="342" t="s">
        <v>504</v>
      </c>
      <c r="AB150" s="343"/>
      <c r="AC150" s="343"/>
      <c r="AD150" s="295" t="str">
        <f t="shared" si="28"/>
        <v/>
      </c>
      <c r="AE150" s="295" t="str">
        <f t="shared" si="29"/>
        <v/>
      </c>
      <c r="AH150" s="258">
        <f t="shared" si="32"/>
        <v>140</v>
      </c>
      <c r="AI150" s="340" t="s">
        <v>496</v>
      </c>
      <c r="AJ150" s="341"/>
      <c r="AK150" s="342" t="s">
        <v>504</v>
      </c>
      <c r="AL150" s="344"/>
      <c r="AM150" s="343"/>
      <c r="AN150" s="179" t="str">
        <f t="shared" si="31"/>
        <v/>
      </c>
      <c r="AO150" s="163"/>
    </row>
    <row r="151" spans="24:41">
      <c r="X151" s="258">
        <f t="shared" si="30"/>
        <v>144</v>
      </c>
      <c r="Y151" s="340" t="s">
        <v>496</v>
      </c>
      <c r="Z151" s="341"/>
      <c r="AA151" s="342" t="s">
        <v>504</v>
      </c>
      <c r="AB151" s="343"/>
      <c r="AC151" s="343"/>
      <c r="AD151" s="295" t="str">
        <f t="shared" si="28"/>
        <v/>
      </c>
      <c r="AE151" s="295" t="str">
        <f t="shared" si="29"/>
        <v/>
      </c>
      <c r="AH151" s="258">
        <f t="shared" si="32"/>
        <v>141</v>
      </c>
      <c r="AI151" s="340" t="s">
        <v>496</v>
      </c>
      <c r="AJ151" s="341"/>
      <c r="AK151" s="342" t="s">
        <v>504</v>
      </c>
      <c r="AL151" s="344"/>
      <c r="AM151" s="343"/>
      <c r="AN151" s="179" t="str">
        <f t="shared" si="31"/>
        <v/>
      </c>
      <c r="AO151" s="163"/>
    </row>
    <row r="152" spans="24:41">
      <c r="X152" s="258">
        <f t="shared" si="30"/>
        <v>145</v>
      </c>
      <c r="Y152" s="340" t="s">
        <v>496</v>
      </c>
      <c r="Z152" s="341"/>
      <c r="AA152" s="342" t="s">
        <v>504</v>
      </c>
      <c r="AB152" s="343"/>
      <c r="AC152" s="343"/>
      <c r="AD152" s="295" t="str">
        <f t="shared" si="28"/>
        <v/>
      </c>
      <c r="AE152" s="295" t="str">
        <f t="shared" si="29"/>
        <v/>
      </c>
      <c r="AH152" s="258">
        <f t="shared" si="32"/>
        <v>142</v>
      </c>
      <c r="AI152" s="340" t="s">
        <v>496</v>
      </c>
      <c r="AJ152" s="341"/>
      <c r="AK152" s="342" t="s">
        <v>504</v>
      </c>
      <c r="AL152" s="344"/>
      <c r="AM152" s="343"/>
      <c r="AN152" s="179" t="str">
        <f t="shared" si="31"/>
        <v/>
      </c>
      <c r="AO152" s="163"/>
    </row>
    <row r="153" spans="24:41">
      <c r="X153" s="258">
        <f t="shared" si="30"/>
        <v>146</v>
      </c>
      <c r="Y153" s="340" t="s">
        <v>496</v>
      </c>
      <c r="Z153" s="341"/>
      <c r="AA153" s="342" t="s">
        <v>504</v>
      </c>
      <c r="AB153" s="343"/>
      <c r="AC153" s="343"/>
      <c r="AD153" s="295" t="str">
        <f t="shared" si="28"/>
        <v/>
      </c>
      <c r="AE153" s="295" t="str">
        <f t="shared" si="29"/>
        <v/>
      </c>
      <c r="AH153" s="258">
        <f t="shared" si="32"/>
        <v>143</v>
      </c>
      <c r="AI153" s="340" t="s">
        <v>496</v>
      </c>
      <c r="AJ153" s="341"/>
      <c r="AK153" s="342" t="s">
        <v>504</v>
      </c>
      <c r="AL153" s="344"/>
      <c r="AM153" s="343"/>
      <c r="AN153" s="179" t="str">
        <f t="shared" si="31"/>
        <v/>
      </c>
      <c r="AO153" s="163"/>
    </row>
    <row r="154" spans="24:41">
      <c r="X154" s="258">
        <f t="shared" si="30"/>
        <v>147</v>
      </c>
      <c r="Y154" s="340" t="s">
        <v>496</v>
      </c>
      <c r="Z154" s="341"/>
      <c r="AA154" s="342" t="s">
        <v>504</v>
      </c>
      <c r="AB154" s="343"/>
      <c r="AC154" s="343"/>
      <c r="AD154" s="295" t="str">
        <f t="shared" si="28"/>
        <v/>
      </c>
      <c r="AE154" s="295" t="str">
        <f t="shared" si="29"/>
        <v/>
      </c>
      <c r="AH154" s="258">
        <f t="shared" si="32"/>
        <v>144</v>
      </c>
      <c r="AI154" s="340" t="s">
        <v>496</v>
      </c>
      <c r="AJ154" s="341"/>
      <c r="AK154" s="342" t="s">
        <v>504</v>
      </c>
      <c r="AL154" s="344"/>
      <c r="AM154" s="343"/>
      <c r="AN154" s="179" t="str">
        <f t="shared" si="31"/>
        <v/>
      </c>
      <c r="AO154" s="163"/>
    </row>
    <row r="155" spans="24:41">
      <c r="X155" s="258">
        <f t="shared" si="30"/>
        <v>148</v>
      </c>
      <c r="Y155" s="340" t="s">
        <v>496</v>
      </c>
      <c r="Z155" s="341"/>
      <c r="AA155" s="342" t="s">
        <v>504</v>
      </c>
      <c r="AB155" s="343"/>
      <c r="AC155" s="343"/>
      <c r="AD155" s="295" t="str">
        <f t="shared" si="28"/>
        <v/>
      </c>
      <c r="AE155" s="295" t="str">
        <f t="shared" si="29"/>
        <v/>
      </c>
      <c r="AH155" s="258">
        <f t="shared" si="32"/>
        <v>145</v>
      </c>
      <c r="AI155" s="340" t="s">
        <v>496</v>
      </c>
      <c r="AJ155" s="341"/>
      <c r="AK155" s="342" t="s">
        <v>504</v>
      </c>
      <c r="AL155" s="344"/>
      <c r="AM155" s="343"/>
      <c r="AN155" s="179" t="str">
        <f t="shared" si="31"/>
        <v/>
      </c>
      <c r="AO155" s="163"/>
    </row>
    <row r="156" spans="24:41">
      <c r="X156" s="258">
        <f t="shared" si="30"/>
        <v>149</v>
      </c>
      <c r="Y156" s="340" t="s">
        <v>496</v>
      </c>
      <c r="Z156" s="341"/>
      <c r="AA156" s="342" t="s">
        <v>504</v>
      </c>
      <c r="AB156" s="343"/>
      <c r="AC156" s="343"/>
      <c r="AD156" s="295" t="str">
        <f t="shared" si="28"/>
        <v/>
      </c>
      <c r="AE156" s="295" t="str">
        <f t="shared" si="29"/>
        <v/>
      </c>
      <c r="AH156" s="258">
        <f t="shared" si="32"/>
        <v>146</v>
      </c>
      <c r="AI156" s="340" t="s">
        <v>496</v>
      </c>
      <c r="AJ156" s="341"/>
      <c r="AK156" s="342" t="s">
        <v>504</v>
      </c>
      <c r="AL156" s="344"/>
      <c r="AM156" s="343"/>
      <c r="AN156" s="179" t="str">
        <f t="shared" si="31"/>
        <v/>
      </c>
      <c r="AO156" s="163"/>
    </row>
    <row r="157" spans="24:41">
      <c r="X157" s="258">
        <f t="shared" si="30"/>
        <v>150</v>
      </c>
      <c r="Y157" s="340" t="s">
        <v>496</v>
      </c>
      <c r="Z157" s="341"/>
      <c r="AA157" s="342" t="s">
        <v>504</v>
      </c>
      <c r="AB157" s="343"/>
      <c r="AC157" s="343"/>
      <c r="AD157" s="295" t="str">
        <f t="shared" si="28"/>
        <v/>
      </c>
      <c r="AE157" s="295" t="str">
        <f t="shared" si="29"/>
        <v/>
      </c>
      <c r="AH157" s="258">
        <f t="shared" si="32"/>
        <v>147</v>
      </c>
      <c r="AI157" s="340" t="s">
        <v>496</v>
      </c>
      <c r="AJ157" s="341"/>
      <c r="AK157" s="342" t="s">
        <v>504</v>
      </c>
      <c r="AL157" s="344"/>
      <c r="AM157" s="343"/>
      <c r="AN157" s="179" t="str">
        <f t="shared" si="31"/>
        <v/>
      </c>
      <c r="AO157" s="163"/>
    </row>
    <row r="158" spans="24:41">
      <c r="AH158" s="258">
        <f t="shared" si="32"/>
        <v>148</v>
      </c>
      <c r="AI158" s="340" t="s">
        <v>496</v>
      </c>
      <c r="AJ158" s="341"/>
      <c r="AK158" s="342" t="s">
        <v>504</v>
      </c>
      <c r="AL158" s="344"/>
      <c r="AM158" s="343"/>
      <c r="AN158" s="179" t="str">
        <f t="shared" si="31"/>
        <v/>
      </c>
      <c r="AO158" s="163"/>
    </row>
    <row r="159" spans="24:41">
      <c r="AH159" s="258">
        <f t="shared" si="32"/>
        <v>149</v>
      </c>
      <c r="AI159" s="340" t="s">
        <v>496</v>
      </c>
      <c r="AJ159" s="341"/>
      <c r="AK159" s="342" t="s">
        <v>504</v>
      </c>
      <c r="AL159" s="344"/>
      <c r="AM159" s="343"/>
      <c r="AN159" s="179" t="str">
        <f t="shared" si="31"/>
        <v/>
      </c>
      <c r="AO159" s="163"/>
    </row>
    <row r="160" spans="24:41">
      <c r="AH160" s="258">
        <f t="shared" si="32"/>
        <v>150</v>
      </c>
      <c r="AI160" s="340" t="s">
        <v>496</v>
      </c>
      <c r="AJ160" s="341"/>
      <c r="AK160" s="342" t="s">
        <v>504</v>
      </c>
      <c r="AL160" s="344"/>
      <c r="AM160" s="343"/>
      <c r="AN160" s="179" t="str">
        <f t="shared" si="31"/>
        <v/>
      </c>
      <c r="AO160" s="163"/>
    </row>
  </sheetData>
  <sheetProtection algorithmName="SHA-512" hashValue="0DzF9C2pnGj2ST5hzdTVtguGTE919Djyha6XSWHly0t/VwqG7aScIR6SHJMxjk6asHtB/mhPc9dW9ySEY907+g==" saltValue="0fpaoNIFNdUsmkC5Kx549w==" spinCount="100000" sheet="1" scenarios="1" insertHyperlinks="0"/>
  <mergeCells count="69">
    <mergeCell ref="AI2:AN3"/>
    <mergeCell ref="AE6:AE7"/>
    <mergeCell ref="Y2:AE3"/>
    <mergeCell ref="AM5:AM6"/>
    <mergeCell ref="Y6:Y7"/>
    <mergeCell ref="Z6:Z7"/>
    <mergeCell ref="AA6:AA7"/>
    <mergeCell ref="AB6:AB7"/>
    <mergeCell ref="AC6:AC7"/>
    <mergeCell ref="AD6:AD7"/>
    <mergeCell ref="AJ5:AJ6"/>
    <mergeCell ref="A8:A9"/>
    <mergeCell ref="N7:O7"/>
    <mergeCell ref="N29:O29"/>
    <mergeCell ref="N41:O41"/>
    <mergeCell ref="AN9:AN10"/>
    <mergeCell ref="AI9:AI10"/>
    <mergeCell ref="AJ9:AJ10"/>
    <mergeCell ref="AK9:AK10"/>
    <mergeCell ref="AL9:AL10"/>
    <mergeCell ref="AM9:AM10"/>
    <mergeCell ref="N27:O27"/>
    <mergeCell ref="E6:E7"/>
    <mergeCell ref="AN5:AN6"/>
    <mergeCell ref="AL5:AL6"/>
    <mergeCell ref="T6:T7"/>
    <mergeCell ref="Q5:R5"/>
    <mergeCell ref="G27:H27"/>
    <mergeCell ref="G41:H41"/>
    <mergeCell ref="G29:H29"/>
    <mergeCell ref="G5:H5"/>
    <mergeCell ref="G6:H7"/>
    <mergeCell ref="J7:K7"/>
    <mergeCell ref="J29:K29"/>
    <mergeCell ref="J27:K27"/>
    <mergeCell ref="L27:M27"/>
    <mergeCell ref="L41:M41"/>
    <mergeCell ref="L71:M71"/>
    <mergeCell ref="G43:H43"/>
    <mergeCell ref="G57:H57"/>
    <mergeCell ref="G67:H67"/>
    <mergeCell ref="G55:H55"/>
    <mergeCell ref="G65:H65"/>
    <mergeCell ref="J43:K43"/>
    <mergeCell ref="J57:K57"/>
    <mergeCell ref="E74:E75"/>
    <mergeCell ref="G74:H75"/>
    <mergeCell ref="J41:K41"/>
    <mergeCell ref="J55:K55"/>
    <mergeCell ref="J65:K65"/>
    <mergeCell ref="G71:H71"/>
    <mergeCell ref="J67:K67"/>
    <mergeCell ref="G73:H73"/>
    <mergeCell ref="N71:O71"/>
    <mergeCell ref="N67:O67"/>
    <mergeCell ref="E2:H2"/>
    <mergeCell ref="E3:H3"/>
    <mergeCell ref="N43:O43"/>
    <mergeCell ref="N57:O57"/>
    <mergeCell ref="L55:M55"/>
    <mergeCell ref="N55:O55"/>
    <mergeCell ref="L65:M65"/>
    <mergeCell ref="N65:O65"/>
    <mergeCell ref="J71:K71"/>
    <mergeCell ref="L7:M7"/>
    <mergeCell ref="L29:M29"/>
    <mergeCell ref="L43:M43"/>
    <mergeCell ref="L57:M57"/>
    <mergeCell ref="L67:M67"/>
  </mergeCells>
  <conditionalFormatting sqref="Q20:Q22">
    <cfRule type="containsText" dxfId="249" priority="11" operator="containsText" text="3 (souhaitable)">
      <formula>NOT(ISERROR(SEARCH("3 (souhaitable)",Q20)))</formula>
    </cfRule>
    <cfRule type="containsText" dxfId="248" priority="12" operator="containsText" text="2">
      <formula>NOT(ISERROR(SEARCH("2",Q20)))</formula>
    </cfRule>
    <cfRule type="containsText" dxfId="247" priority="13" operator="containsText" text="1">
      <formula>NOT(ISERROR(SEARCH("1",Q20)))</formula>
    </cfRule>
  </conditionalFormatting>
  <conditionalFormatting sqref="Q9:R9">
    <cfRule type="containsText" dxfId="246" priority="210" operator="containsText" text="3 (souhaitable)">
      <formula>NOT(ISERROR(SEARCH("3 (souhaitable)",Q9)))</formula>
    </cfRule>
    <cfRule type="containsText" dxfId="245" priority="211" operator="containsText" text="2">
      <formula>NOT(ISERROR(SEARCH("2",Q9)))</formula>
    </cfRule>
    <cfRule type="containsText" dxfId="244" priority="212" operator="containsText" text="1">
      <formula>NOT(ISERROR(SEARCH("1",Q9)))</formula>
    </cfRule>
  </conditionalFormatting>
  <conditionalFormatting sqref="Q9:R18">
    <cfRule type="containsText" dxfId="243" priority="207" operator="containsText" text="3 (souhaitable)">
      <formula>NOT(ISERROR(SEARCH("3 (souhaitable)",Q9)))</formula>
    </cfRule>
    <cfRule type="containsText" dxfId="242" priority="208" operator="containsText" text="2">
      <formula>NOT(ISERROR(SEARCH("2",Q9)))</formula>
    </cfRule>
    <cfRule type="containsText" dxfId="241" priority="209" operator="containsText" text="1">
      <formula>NOT(ISERROR(SEARCH("1",Q9)))</formula>
    </cfRule>
  </conditionalFormatting>
  <conditionalFormatting sqref="Q10:R15">
    <cfRule type="containsText" dxfId="240" priority="14" operator="containsText" text="3 (souhaitable)">
      <formula>NOT(ISERROR(SEARCH("3 (souhaitable)",Q10)))</formula>
    </cfRule>
    <cfRule type="containsText" dxfId="239" priority="15" operator="containsText" text="2">
      <formula>NOT(ISERROR(SEARCH("2",Q10)))</formula>
    </cfRule>
    <cfRule type="containsText" dxfId="238" priority="16" operator="containsText" text="1">
      <formula>NOT(ISERROR(SEARCH("1",Q10)))</formula>
    </cfRule>
  </conditionalFormatting>
  <conditionalFormatting sqref="Q20:R22">
    <cfRule type="containsText" dxfId="237" priority="5" operator="containsText" text="3 (souhaitable)">
      <formula>NOT(ISERROR(SEARCH("3 (souhaitable)",Q20)))</formula>
    </cfRule>
    <cfRule type="containsText" dxfId="236" priority="6" operator="containsText" text="2">
      <formula>NOT(ISERROR(SEARCH("2",Q20)))</formula>
    </cfRule>
    <cfRule type="containsText" dxfId="235" priority="7" operator="containsText" text="1">
      <formula>NOT(ISERROR(SEARCH("1",Q20)))</formula>
    </cfRule>
  </conditionalFormatting>
  <conditionalFormatting sqref="Q23:R26">
    <cfRule type="containsText" dxfId="234" priority="114" operator="containsText" text="3 (souhaitable)">
      <formula>NOT(ISERROR(SEARCH("3 (souhaitable)",Q23)))</formula>
    </cfRule>
    <cfRule type="containsText" dxfId="233" priority="115" operator="containsText" text="2">
      <formula>NOT(ISERROR(SEARCH("2",Q23)))</formula>
    </cfRule>
    <cfRule type="containsText" dxfId="232" priority="116" operator="containsText" text="1">
      <formula>NOT(ISERROR(SEARCH("1",Q23)))</formula>
    </cfRule>
  </conditionalFormatting>
  <conditionalFormatting sqref="Q30:R38">
    <cfRule type="containsText" dxfId="231" priority="108" operator="containsText" text="3 (souhaitable)">
      <formula>NOT(ISERROR(SEARCH("3 (souhaitable)",Q30)))</formula>
    </cfRule>
    <cfRule type="containsText" dxfId="230" priority="109" operator="containsText" text="2">
      <formula>NOT(ISERROR(SEARCH("2",Q30)))</formula>
    </cfRule>
    <cfRule type="containsText" dxfId="229" priority="110" operator="containsText" text="1">
      <formula>NOT(ISERROR(SEARCH("1",Q30)))</formula>
    </cfRule>
  </conditionalFormatting>
  <conditionalFormatting sqref="Q39:R40">
    <cfRule type="containsText" dxfId="228" priority="102" operator="containsText" text="3 (souhaitable)">
      <formula>NOT(ISERROR(SEARCH("3 (souhaitable)",Q39)))</formula>
    </cfRule>
    <cfRule type="containsText" dxfId="227" priority="103" operator="containsText" text="2">
      <formula>NOT(ISERROR(SEARCH("2",Q39)))</formula>
    </cfRule>
    <cfRule type="containsText" dxfId="226" priority="104" operator="containsText" text="1">
      <formula>NOT(ISERROR(SEARCH("1",Q39)))</formula>
    </cfRule>
  </conditionalFormatting>
  <conditionalFormatting sqref="Q44:R54">
    <cfRule type="containsText" dxfId="225" priority="96" operator="containsText" text="3 (souhaitable)">
      <formula>NOT(ISERROR(SEARCH("3 (souhaitable)",Q44)))</formula>
    </cfRule>
    <cfRule type="containsText" dxfId="224" priority="97" operator="containsText" text="2">
      <formula>NOT(ISERROR(SEARCH("2",Q44)))</formula>
    </cfRule>
    <cfRule type="containsText" dxfId="223" priority="98" operator="containsText" text="1">
      <formula>NOT(ISERROR(SEARCH("1",Q44)))</formula>
    </cfRule>
  </conditionalFormatting>
  <conditionalFormatting sqref="Q58:R64">
    <cfRule type="containsText" dxfId="222" priority="180" operator="containsText" text="3 (souhaitable)">
      <formula>NOT(ISERROR(SEARCH("3 (souhaitable)",Q58)))</formula>
    </cfRule>
    <cfRule type="containsText" dxfId="221" priority="181" operator="containsText" text="2">
      <formula>NOT(ISERROR(SEARCH("2",Q58)))</formula>
    </cfRule>
    <cfRule type="containsText" dxfId="220" priority="182" operator="containsText" text="1">
      <formula>NOT(ISERROR(SEARCH("1",Q58)))</formula>
    </cfRule>
  </conditionalFormatting>
  <conditionalFormatting sqref="Q68:R70">
    <cfRule type="containsText" dxfId="219" priority="174" operator="containsText" text="3 (souhaitable)">
      <formula>NOT(ISERROR(SEARCH("3 (souhaitable)",Q68)))</formula>
    </cfRule>
    <cfRule type="containsText" dxfId="218" priority="175" operator="containsText" text="2">
      <formula>NOT(ISERROR(SEARCH("2",Q68)))</formula>
    </cfRule>
    <cfRule type="containsText" dxfId="217" priority="176" operator="containsText" text="1">
      <formula>NOT(ISERROR(SEARCH("1",Q68)))</formula>
    </cfRule>
  </conditionalFormatting>
  <conditionalFormatting sqref="R9:R18">
    <cfRule type="containsText" dxfId="216" priority="204" operator="containsText" text="3 (souhaitable)">
      <formula>NOT(ISERROR(SEARCH("3 (souhaitable)",R9)))</formula>
    </cfRule>
    <cfRule type="containsText" dxfId="215" priority="205" operator="containsText" text="2">
      <formula>NOT(ISERROR(SEARCH("2",R9)))</formula>
    </cfRule>
    <cfRule type="containsText" dxfId="214" priority="206" operator="containsText" text="1">
      <formula>NOT(ISERROR(SEARCH("1",R9)))</formula>
    </cfRule>
  </conditionalFormatting>
  <conditionalFormatting sqref="R20:R22">
    <cfRule type="containsText" dxfId="213" priority="2" operator="containsText" text="3 (souhaitable)">
      <formula>NOT(ISERROR(SEARCH("3 (souhaitable)",R20)))</formula>
    </cfRule>
    <cfRule type="containsText" dxfId="212" priority="3" operator="containsText" text="2">
      <formula>NOT(ISERROR(SEARCH("2",R20)))</formula>
    </cfRule>
    <cfRule type="containsText" dxfId="211" priority="4" operator="containsText" text="1">
      <formula>NOT(ISERROR(SEARCH("1",R20)))</formula>
    </cfRule>
  </conditionalFormatting>
  <conditionalFormatting sqref="R20:R26">
    <cfRule type="containsText" dxfId="210" priority="8" operator="containsText" text="3 (souhaitable)">
      <formula>NOT(ISERROR(SEARCH("3 (souhaitable)",R20)))</formula>
    </cfRule>
    <cfRule type="containsText" dxfId="209" priority="9" operator="containsText" text="2">
      <formula>NOT(ISERROR(SEARCH("2",R20)))</formula>
    </cfRule>
    <cfRule type="containsText" dxfId="208" priority="10" operator="containsText" text="1">
      <formula>NOT(ISERROR(SEARCH("1",R20)))</formula>
    </cfRule>
  </conditionalFormatting>
  <conditionalFormatting sqref="R32:R36">
    <cfRule type="containsText" dxfId="207" priority="105" operator="containsText" text="3 (souhaitable)">
      <formula>NOT(ISERROR(SEARCH("3 (souhaitable)",R32)))</formula>
    </cfRule>
    <cfRule type="containsText" dxfId="206" priority="106" operator="containsText" text="2">
      <formula>NOT(ISERROR(SEARCH("2",R32)))</formula>
    </cfRule>
    <cfRule type="containsText" dxfId="205" priority="107" operator="containsText" text="1">
      <formula>NOT(ISERROR(SEARCH("1",R32)))</formula>
    </cfRule>
  </conditionalFormatting>
  <conditionalFormatting sqref="R39">
    <cfRule type="containsText" dxfId="204" priority="99" operator="containsText" text="3 (souhaitable)">
      <formula>NOT(ISERROR(SEARCH("3 (souhaitable)",R39)))</formula>
    </cfRule>
    <cfRule type="containsText" dxfId="203" priority="100" operator="containsText" text="2">
      <formula>NOT(ISERROR(SEARCH("2",R39)))</formula>
    </cfRule>
    <cfRule type="containsText" dxfId="202" priority="101" operator="containsText" text="1">
      <formula>NOT(ISERROR(SEARCH("1",R39)))</formula>
    </cfRule>
  </conditionalFormatting>
  <conditionalFormatting sqref="R46:R50">
    <cfRule type="containsText" dxfId="201" priority="93" operator="containsText" text="3 (souhaitable)">
      <formula>NOT(ISERROR(SEARCH("3 (souhaitable)",R46)))</formula>
    </cfRule>
    <cfRule type="containsText" dxfId="200" priority="94" operator="containsText" text="2">
      <formula>NOT(ISERROR(SEARCH("2",R46)))</formula>
    </cfRule>
    <cfRule type="containsText" dxfId="199" priority="95" operator="containsText" text="1">
      <formula>NOT(ISERROR(SEARCH("1",R46)))</formula>
    </cfRule>
  </conditionalFormatting>
  <conditionalFormatting sqref="T9:T18">
    <cfRule type="containsText" dxfId="198" priority="150" operator="containsText" text="3 (souhaitable)">
      <formula>NOT(ISERROR(SEARCH("3 (souhaitable)",T9)))</formula>
    </cfRule>
    <cfRule type="containsText" dxfId="197" priority="151" operator="containsText" text="2">
      <formula>NOT(ISERROR(SEARCH("2",T9)))</formula>
    </cfRule>
    <cfRule type="containsText" dxfId="196" priority="152" operator="containsText" text="1">
      <formula>NOT(ISERROR(SEARCH("1",T9)))</formula>
    </cfRule>
  </conditionalFormatting>
  <conditionalFormatting sqref="T20:T26">
    <cfRule type="containsText" dxfId="195" priority="129" operator="containsText" text="3 (souhaitable)">
      <formula>NOT(ISERROR(SEARCH("3 (souhaitable)",T20)))</formula>
    </cfRule>
    <cfRule type="containsText" dxfId="194" priority="130" operator="containsText" text="2">
      <formula>NOT(ISERROR(SEARCH("2",T20)))</formula>
    </cfRule>
    <cfRule type="containsText" dxfId="193" priority="131" operator="containsText" text="1">
      <formula>NOT(ISERROR(SEARCH("1",T20)))</formula>
    </cfRule>
  </conditionalFormatting>
  <conditionalFormatting sqref="T30:T40">
    <cfRule type="containsText" dxfId="192" priority="126" operator="containsText" text="3 (souhaitable)">
      <formula>NOT(ISERROR(SEARCH("3 (souhaitable)",T30)))</formula>
    </cfRule>
    <cfRule type="containsText" dxfId="191" priority="127" operator="containsText" text="2">
      <formula>NOT(ISERROR(SEARCH("2",T30)))</formula>
    </cfRule>
    <cfRule type="containsText" dxfId="190" priority="128" operator="containsText" text="1">
      <formula>NOT(ISERROR(SEARCH("1",T30)))</formula>
    </cfRule>
  </conditionalFormatting>
  <conditionalFormatting sqref="T44:T54">
    <cfRule type="containsText" dxfId="189" priority="123" operator="containsText" text="3 (souhaitable)">
      <formula>NOT(ISERROR(SEARCH("3 (souhaitable)",T44)))</formula>
    </cfRule>
    <cfRule type="containsText" dxfId="188" priority="124" operator="containsText" text="2">
      <formula>NOT(ISERROR(SEARCH("2",T44)))</formula>
    </cfRule>
    <cfRule type="containsText" dxfId="187" priority="125" operator="containsText" text="1">
      <formula>NOT(ISERROR(SEARCH("1",T44)))</formula>
    </cfRule>
  </conditionalFormatting>
  <conditionalFormatting sqref="T58:T64">
    <cfRule type="containsText" dxfId="186" priority="120" operator="containsText" text="3 (souhaitable)">
      <formula>NOT(ISERROR(SEARCH("3 (souhaitable)",T58)))</formula>
    </cfRule>
    <cfRule type="containsText" dxfId="185" priority="121" operator="containsText" text="2">
      <formula>NOT(ISERROR(SEARCH("2",T58)))</formula>
    </cfRule>
    <cfRule type="containsText" dxfId="184" priority="122" operator="containsText" text="1">
      <formula>NOT(ISERROR(SEARCH("1",T58)))</formula>
    </cfRule>
  </conditionalFormatting>
  <conditionalFormatting sqref="T68:T70">
    <cfRule type="containsText" dxfId="183" priority="117" operator="containsText" text="3 (souhaitable)">
      <formula>NOT(ISERROR(SEARCH("3 (souhaitable)",T68)))</formula>
    </cfRule>
    <cfRule type="containsText" dxfId="182" priority="118" operator="containsText" text="2">
      <formula>NOT(ISERROR(SEARCH("2",T68)))</formula>
    </cfRule>
    <cfRule type="containsText" dxfId="181" priority="119" operator="containsText" text="1">
      <formula>NOT(ISERROR(SEARCH("1",T68)))</formula>
    </cfRule>
  </conditionalFormatting>
  <conditionalFormatting sqref="Y8:Y157">
    <cfRule type="cellIs" dxfId="180" priority="74" operator="equal">
      <formula>"jj-mm-aaaa"</formula>
    </cfRule>
  </conditionalFormatting>
  <conditionalFormatting sqref="Z8:Z157">
    <cfRule type="expression" dxfId="179" priority="72">
      <formula>AA8="Effectué"</formula>
    </cfRule>
  </conditionalFormatting>
  <conditionalFormatting sqref="AA8:AA157">
    <cfRule type="cellIs" dxfId="178" priority="1" operator="equal">
      <formula>"Effectué"</formula>
    </cfRule>
  </conditionalFormatting>
  <conditionalFormatting sqref="AI11:AI160">
    <cfRule type="cellIs" dxfId="177" priority="53" operator="equal">
      <formula>"jj-mm-aaaa"</formula>
    </cfRule>
  </conditionalFormatting>
  <conditionalFormatting sqref="AJ11:AJ160">
    <cfRule type="expression" dxfId="176" priority="25">
      <formula>AND(AK11="Non effectué",AJ11&gt;0)</formula>
    </cfRule>
    <cfRule type="expression" dxfId="175" priority="26">
      <formula>AK11="Effectué"</formula>
    </cfRule>
  </conditionalFormatting>
  <conditionalFormatting sqref="AK11:AK160">
    <cfRule type="cellIs" dxfId="174" priority="23" operator="equal">
      <formula>"Non Effectué"</formula>
    </cfRule>
    <cfRule type="cellIs" dxfId="173" priority="24" operator="equal">
      <formula>"Effectué"</formula>
    </cfRule>
  </conditionalFormatting>
  <conditionalFormatting sqref="AL11:AL160">
    <cfRule type="cellIs" dxfId="172" priority="21" operator="equal">
      <formula>"Ex: Acompte salle de réception"</formula>
    </cfRule>
  </conditionalFormatting>
  <conditionalFormatting sqref="AM11:AM160">
    <cfRule type="cellIs" dxfId="171" priority="20" operator="equal">
      <formula>"EVENT-LOCATION"</formula>
    </cfRule>
  </conditionalFormatting>
  <dataValidations count="1">
    <dataValidation allowBlank="1" showInputMessage="1" sqref="AM11:AM160" xr:uid="{00000000-0002-0000-0500-000000000000}"/>
  </dataValidations>
  <hyperlinks>
    <hyperlink ref="A5" location="'Budget Gold'!A1" tooltip="Accès au Budget Gold" display="Accès au Budget" xr:uid="{00000000-0004-0000-0500-000000000000}"/>
    <hyperlink ref="A6" location="Simulateur!A1" tooltip="Simulateur d'épargne" display="Simulateur d'épargne" xr:uid="{00000000-0004-0000-0500-000001000000}"/>
    <hyperlink ref="A3" location="Menu!A1" tooltip="Accès au Menu Général" display="Accès au MENU" xr:uid="{00000000-0004-0000-0500-000002000000}"/>
    <hyperlink ref="A8:A9" location="'Menu Mariage'!A1" tooltip="Accès au Menu de Mariage Gold" display="Configurer          Mariage Gold" xr:uid="{00000000-0004-0000-0500-000003000000}"/>
    <hyperlink ref="A11" location="Mariage!AC1" tooltip="Accès au plan de financement" display="Plan de financement" xr:uid="{00000000-0004-0000-0500-000004000000}"/>
    <hyperlink ref="AH2" location="Mariage!A1" display="Retour" xr:uid="{00000000-0004-0000-0500-000005000000}"/>
    <hyperlink ref="X2" location="Mariage!A1" display="Retour" xr:uid="{00000000-0004-0000-0500-000006000000}"/>
    <hyperlink ref="A13" location="Mariage!AK2" tooltip="Accès au plan des décaissements" display="Plan de décaissement" xr:uid="{00000000-0004-0000-0500-000007000000}"/>
    <hyperlink ref="K9" r:id="rId1" tooltip="Voir le lien web (si configuré)" xr:uid="{00000000-0004-0000-0500-000008000000}"/>
    <hyperlink ref="K10:K18" r:id="rId2" tooltip="Voir le lien web (si configuré)" display="Voir" xr:uid="{00000000-0004-0000-0500-000009000000}"/>
    <hyperlink ref="K10" r:id="rId3" tooltip="Voir le lien web (si configuré)" xr:uid="{00000000-0004-0000-0500-00000A000000}"/>
    <hyperlink ref="K11" r:id="rId4" tooltip="Voir le lien web (si configuré)" xr:uid="{00000000-0004-0000-0500-00000B000000}"/>
    <hyperlink ref="K12" r:id="rId5" tooltip="Voir le lien web (si configuré)" xr:uid="{00000000-0004-0000-0500-00000C000000}"/>
    <hyperlink ref="K13" r:id="rId6" tooltip="Voir le lien web (si configuré)" xr:uid="{00000000-0004-0000-0500-00000D000000}"/>
    <hyperlink ref="K14" r:id="rId7" tooltip="Voir le lien web (si configuré)" xr:uid="{00000000-0004-0000-0500-00000E000000}"/>
    <hyperlink ref="K15" r:id="rId8" tooltip="Voir le lien web (si configuré)" xr:uid="{00000000-0004-0000-0500-00000F000000}"/>
    <hyperlink ref="K16" r:id="rId9" tooltip="Voir le lien web (si configuré)" xr:uid="{00000000-0004-0000-0500-000010000000}"/>
    <hyperlink ref="K17" r:id="rId10" tooltip="Voir le lien web (si configuré)" xr:uid="{00000000-0004-0000-0500-000011000000}"/>
    <hyperlink ref="K18" r:id="rId11" tooltip="Voir le lien web (si configuré)" xr:uid="{00000000-0004-0000-0500-000012000000}"/>
    <hyperlink ref="M10" r:id="rId12" tooltip="Voir le lien web (si configuré)" xr:uid="{00000000-0004-0000-0500-000013000000}"/>
    <hyperlink ref="O10" r:id="rId13" tooltip="Voir le lien web (si configuré)" xr:uid="{00000000-0004-0000-0500-000014000000}"/>
    <hyperlink ref="M11" r:id="rId14" tooltip="Voir le lien web (si configuré)" xr:uid="{00000000-0004-0000-0500-000015000000}"/>
    <hyperlink ref="O11" r:id="rId15" tooltip="Voir le lien web (si configuré)" xr:uid="{00000000-0004-0000-0500-000016000000}"/>
    <hyperlink ref="M12" r:id="rId16" tooltip="Voir le lien web (si configuré)" xr:uid="{00000000-0004-0000-0500-000017000000}"/>
    <hyperlink ref="O12" r:id="rId17" tooltip="Voir le lien web (si configuré)" xr:uid="{00000000-0004-0000-0500-000018000000}"/>
    <hyperlink ref="M13" r:id="rId18" tooltip="Voir le lien web (si configuré)" xr:uid="{00000000-0004-0000-0500-000019000000}"/>
    <hyperlink ref="O13" r:id="rId19" tooltip="Voir le lien web (si configuré)" xr:uid="{00000000-0004-0000-0500-00001A000000}"/>
    <hyperlink ref="M14" r:id="rId20" tooltip="Voir le lien web (si configuré)" xr:uid="{00000000-0004-0000-0500-00001B000000}"/>
    <hyperlink ref="O14" r:id="rId21" tooltip="Voir le lien web (si configuré)" xr:uid="{00000000-0004-0000-0500-00001C000000}"/>
    <hyperlink ref="M15" r:id="rId22" tooltip="Voir le lien web (si configuré)" xr:uid="{00000000-0004-0000-0500-00001D000000}"/>
    <hyperlink ref="O15" r:id="rId23" tooltip="Voir le lien web (si configuré)" xr:uid="{00000000-0004-0000-0500-00001E000000}"/>
    <hyperlink ref="M16" r:id="rId24" tooltip="Voir le lien web (si configuré)" xr:uid="{00000000-0004-0000-0500-00001F000000}"/>
    <hyperlink ref="O16" r:id="rId25" tooltip="Voir le lien web (si configuré)" xr:uid="{00000000-0004-0000-0500-000020000000}"/>
    <hyperlink ref="M17" r:id="rId26" tooltip="Voir le lien web (si configuré)" xr:uid="{00000000-0004-0000-0500-000021000000}"/>
    <hyperlink ref="O17" r:id="rId27" tooltip="Voir le lien web (si configuré)" xr:uid="{00000000-0004-0000-0500-000022000000}"/>
    <hyperlink ref="M18" r:id="rId28" tooltip="Voir le lien web (si configuré)" xr:uid="{00000000-0004-0000-0500-000023000000}"/>
    <hyperlink ref="O18" r:id="rId29" tooltip="Voir le lien web (si configuré)" xr:uid="{00000000-0004-0000-0500-000024000000}"/>
    <hyperlink ref="M9" r:id="rId30" tooltip="Voir le lien web (si configuré)" xr:uid="{00000000-0004-0000-0500-000025000000}"/>
    <hyperlink ref="O9" r:id="rId31" tooltip="Voir le lien web (si configuré)" xr:uid="{00000000-0004-0000-0500-000026000000}"/>
    <hyperlink ref="K20" r:id="rId32" tooltip="Voir le lien web (si configuré)" xr:uid="{00000000-0004-0000-0500-000027000000}"/>
    <hyperlink ref="K21" r:id="rId33" tooltip="Voir le lien web (si configuré)" xr:uid="{00000000-0004-0000-0500-000028000000}"/>
    <hyperlink ref="K22" r:id="rId34" tooltip="Voir le lien web (si configuré)" xr:uid="{00000000-0004-0000-0500-000029000000}"/>
    <hyperlink ref="K23" r:id="rId35" tooltip="Voir le lien web (si configuré)" xr:uid="{00000000-0004-0000-0500-00002A000000}"/>
    <hyperlink ref="K24" r:id="rId36" tooltip="Voir le lien web (si configuré)" xr:uid="{00000000-0004-0000-0500-00002B000000}"/>
    <hyperlink ref="K25" r:id="rId37" tooltip="Voir le lien web (si configuré)" xr:uid="{00000000-0004-0000-0500-00002C000000}"/>
    <hyperlink ref="K26" r:id="rId38" tooltip="Voir le lien web (si configuré)" xr:uid="{00000000-0004-0000-0500-00002D000000}"/>
    <hyperlink ref="M20" r:id="rId39" tooltip="Voir le lien web (si configuré)" xr:uid="{00000000-0004-0000-0500-00002E000000}"/>
    <hyperlink ref="M21" r:id="rId40" tooltip="Voir le lien web (si configuré)" xr:uid="{00000000-0004-0000-0500-00002F000000}"/>
    <hyperlink ref="M22" r:id="rId41" tooltip="Voir le lien web (si configuré)" xr:uid="{00000000-0004-0000-0500-000030000000}"/>
    <hyperlink ref="M23" r:id="rId42" tooltip="Voir le lien web (si configuré)" xr:uid="{00000000-0004-0000-0500-000031000000}"/>
    <hyperlink ref="M24" r:id="rId43" tooltip="Voir le lien web (si configuré)" xr:uid="{00000000-0004-0000-0500-000032000000}"/>
    <hyperlink ref="M25" r:id="rId44" tooltip="Voir le lien web (si configuré)" xr:uid="{00000000-0004-0000-0500-000033000000}"/>
    <hyperlink ref="M26" r:id="rId45" tooltip="Voir le lien web (si configuré)" xr:uid="{00000000-0004-0000-0500-000034000000}"/>
    <hyperlink ref="O20" r:id="rId46" tooltip="Voir le lien web (si configuré)" xr:uid="{00000000-0004-0000-0500-000035000000}"/>
    <hyperlink ref="O21" r:id="rId47" tooltip="Voir le lien web (si configuré)" xr:uid="{00000000-0004-0000-0500-000036000000}"/>
    <hyperlink ref="O22" r:id="rId48" tooltip="Voir le lien web (si configuré)" xr:uid="{00000000-0004-0000-0500-000037000000}"/>
    <hyperlink ref="O23" r:id="rId49" tooltip="Voir le lien web (si configuré)" xr:uid="{00000000-0004-0000-0500-000038000000}"/>
    <hyperlink ref="O24" r:id="rId50" tooltip="Voir le lien web (si configuré)" xr:uid="{00000000-0004-0000-0500-000039000000}"/>
    <hyperlink ref="O25" r:id="rId51" tooltip="Voir le lien web (si configuré)" xr:uid="{00000000-0004-0000-0500-00003A000000}"/>
    <hyperlink ref="O26" r:id="rId52" tooltip="Voir le lien web (si configuré)" xr:uid="{00000000-0004-0000-0500-00003B000000}"/>
    <hyperlink ref="K30" r:id="rId53" tooltip="Voir le lien web (si configuré)" xr:uid="{00000000-0004-0000-0500-00003C000000}"/>
    <hyperlink ref="K31" r:id="rId54" tooltip="Voir le lien web (si configuré)" xr:uid="{00000000-0004-0000-0500-00003D000000}"/>
    <hyperlink ref="K32" r:id="rId55" tooltip="Voir le lien web (si configuré)" xr:uid="{00000000-0004-0000-0500-00003E000000}"/>
    <hyperlink ref="K33" r:id="rId56" tooltip="Voir le lien web (si configuré)" xr:uid="{00000000-0004-0000-0500-00003F000000}"/>
    <hyperlink ref="K34" r:id="rId57" tooltip="Voir le lien web (si configuré)" xr:uid="{00000000-0004-0000-0500-000040000000}"/>
    <hyperlink ref="K35" r:id="rId58" tooltip="Voir le lien web (si configuré)" xr:uid="{00000000-0004-0000-0500-000041000000}"/>
    <hyperlink ref="K36" r:id="rId59" tooltip="Voir le lien web (si configuré)" xr:uid="{00000000-0004-0000-0500-000042000000}"/>
    <hyperlink ref="K37" r:id="rId60" tooltip="Voir le lien web (si configuré)" xr:uid="{00000000-0004-0000-0500-000043000000}"/>
    <hyperlink ref="K38" r:id="rId61" tooltip="Voir le lien web (si configuré)" xr:uid="{00000000-0004-0000-0500-000044000000}"/>
    <hyperlink ref="K39" r:id="rId62" tooltip="Voir le lien web (si configuré)" xr:uid="{00000000-0004-0000-0500-000045000000}"/>
    <hyperlink ref="K40" r:id="rId63" tooltip="Voir le lien web (si configuré)" xr:uid="{00000000-0004-0000-0500-000046000000}"/>
    <hyperlink ref="M30" r:id="rId64" tooltip="Voir le lien web (si configuré)" xr:uid="{00000000-0004-0000-0500-000047000000}"/>
    <hyperlink ref="M31" r:id="rId65" tooltip="Voir le lien web (si configuré)" xr:uid="{00000000-0004-0000-0500-000048000000}"/>
    <hyperlink ref="M32" r:id="rId66" tooltip="Voir le lien web (si configuré)" xr:uid="{00000000-0004-0000-0500-000049000000}"/>
    <hyperlink ref="M33" r:id="rId67" tooltip="Voir le lien web (si configuré)" xr:uid="{00000000-0004-0000-0500-00004A000000}"/>
    <hyperlink ref="M34" r:id="rId68" tooltip="Voir le lien web (si configuré)" xr:uid="{00000000-0004-0000-0500-00004B000000}"/>
    <hyperlink ref="M35" r:id="rId69" tooltip="Voir le lien web (si configuré)" xr:uid="{00000000-0004-0000-0500-00004C000000}"/>
    <hyperlink ref="M36" r:id="rId70" tooltip="Voir le lien web (si configuré)" xr:uid="{00000000-0004-0000-0500-00004D000000}"/>
    <hyperlink ref="M37" r:id="rId71" tooltip="Voir le lien web (si configuré)" xr:uid="{00000000-0004-0000-0500-00004E000000}"/>
    <hyperlink ref="M38" r:id="rId72" tooltip="Voir le lien web (si configuré)" xr:uid="{00000000-0004-0000-0500-00004F000000}"/>
    <hyperlink ref="M39" r:id="rId73" tooltip="Voir le lien web (si configuré)" xr:uid="{00000000-0004-0000-0500-000050000000}"/>
    <hyperlink ref="M40" r:id="rId74" tooltip="Voir le lien web (si configuré)" xr:uid="{00000000-0004-0000-0500-000051000000}"/>
    <hyperlink ref="O30" r:id="rId75" tooltip="Voir le lien web (si configuré)" xr:uid="{00000000-0004-0000-0500-000052000000}"/>
    <hyperlink ref="O31" r:id="rId76" tooltip="Voir le lien web (si configuré)" xr:uid="{00000000-0004-0000-0500-000053000000}"/>
    <hyperlink ref="O32" r:id="rId77" tooltip="Voir le lien web (si configuré)" xr:uid="{00000000-0004-0000-0500-000054000000}"/>
    <hyperlink ref="O33" r:id="rId78" tooltip="Voir le lien web (si configuré)" xr:uid="{00000000-0004-0000-0500-000055000000}"/>
    <hyperlink ref="O34" r:id="rId79" tooltip="Voir le lien web (si configuré)" xr:uid="{00000000-0004-0000-0500-000056000000}"/>
    <hyperlink ref="O35" r:id="rId80" tooltip="Voir le lien web (si configuré)" xr:uid="{00000000-0004-0000-0500-000057000000}"/>
    <hyperlink ref="O36" r:id="rId81" tooltip="Voir le lien web (si configuré)" xr:uid="{00000000-0004-0000-0500-000058000000}"/>
    <hyperlink ref="O37" r:id="rId82" tooltip="Voir le lien web (si configuré)" xr:uid="{00000000-0004-0000-0500-000059000000}"/>
    <hyperlink ref="O38" r:id="rId83" tooltip="Voir le lien web (si configuré)" xr:uid="{00000000-0004-0000-0500-00005A000000}"/>
    <hyperlink ref="O39" r:id="rId84" tooltip="Voir le lien web (si configuré)" xr:uid="{00000000-0004-0000-0500-00005B000000}"/>
    <hyperlink ref="O40" r:id="rId85" tooltip="Voir le lien web (si configuré)" xr:uid="{00000000-0004-0000-0500-00005C000000}"/>
    <hyperlink ref="K44" r:id="rId86" tooltip="Voir le lien web (si configuré)" xr:uid="{00000000-0004-0000-0500-00005D000000}"/>
    <hyperlink ref="K45" r:id="rId87" tooltip="Voir le lien web (si configuré)" xr:uid="{00000000-0004-0000-0500-00005E000000}"/>
    <hyperlink ref="K46" r:id="rId88" tooltip="Voir le lien web (si configuré)" xr:uid="{00000000-0004-0000-0500-00005F000000}"/>
    <hyperlink ref="K47" r:id="rId89" tooltip="Voir le lien web (si configuré)" xr:uid="{00000000-0004-0000-0500-000060000000}"/>
    <hyperlink ref="K48" r:id="rId90" tooltip="Voir le lien web (si configuré)" xr:uid="{00000000-0004-0000-0500-000061000000}"/>
    <hyperlink ref="K49" r:id="rId91" tooltip="Voir le lien web (si configuré)" xr:uid="{00000000-0004-0000-0500-000062000000}"/>
    <hyperlink ref="K50" r:id="rId92" tooltip="Voir le lien web (si configuré)" xr:uid="{00000000-0004-0000-0500-000063000000}"/>
    <hyperlink ref="K51" r:id="rId93" tooltip="Voir le lien web (si configuré)" xr:uid="{00000000-0004-0000-0500-000064000000}"/>
    <hyperlink ref="K52" r:id="rId94" tooltip="Voir le lien web (si configuré)" xr:uid="{00000000-0004-0000-0500-000065000000}"/>
    <hyperlink ref="K53" r:id="rId95" tooltip="Voir le lien web (si configuré)" xr:uid="{00000000-0004-0000-0500-000066000000}"/>
    <hyperlink ref="K54" r:id="rId96" tooltip="Voir le lien web (si configuré)" xr:uid="{00000000-0004-0000-0500-000067000000}"/>
    <hyperlink ref="M44" r:id="rId97" tooltip="Voir le lien web (si configuré)" xr:uid="{00000000-0004-0000-0500-000068000000}"/>
    <hyperlink ref="M45" r:id="rId98" tooltip="Voir le lien web (si configuré)" xr:uid="{00000000-0004-0000-0500-000069000000}"/>
    <hyperlink ref="M46" r:id="rId99" tooltip="Voir le lien web (si configuré)" xr:uid="{00000000-0004-0000-0500-00006A000000}"/>
    <hyperlink ref="M47" r:id="rId100" tooltip="Voir le lien web (si configuré)" xr:uid="{00000000-0004-0000-0500-00006B000000}"/>
    <hyperlink ref="M48" r:id="rId101" tooltip="Voir le lien web (si configuré)" xr:uid="{00000000-0004-0000-0500-00006C000000}"/>
    <hyperlink ref="M49" r:id="rId102" tooltip="Voir le lien web (si configuré)" xr:uid="{00000000-0004-0000-0500-00006D000000}"/>
    <hyperlink ref="M50" r:id="rId103" tooltip="Voir le lien web (si configuré)" xr:uid="{00000000-0004-0000-0500-00006E000000}"/>
    <hyperlink ref="M51" r:id="rId104" tooltip="Voir le lien web (si configuré)" xr:uid="{00000000-0004-0000-0500-00006F000000}"/>
    <hyperlink ref="M52" r:id="rId105" tooltip="Voir le lien web (si configuré)" xr:uid="{00000000-0004-0000-0500-000070000000}"/>
    <hyperlink ref="M53" r:id="rId106" tooltip="Voir le lien web (si configuré)" xr:uid="{00000000-0004-0000-0500-000071000000}"/>
    <hyperlink ref="M54" r:id="rId107" tooltip="Voir le lien web (si configuré)" xr:uid="{00000000-0004-0000-0500-000072000000}"/>
    <hyperlink ref="O44" r:id="rId108" tooltip="Voir le lien web (si configuré)" xr:uid="{00000000-0004-0000-0500-000073000000}"/>
    <hyperlink ref="O45" r:id="rId109" tooltip="Voir le lien web (si configuré)" xr:uid="{00000000-0004-0000-0500-000074000000}"/>
    <hyperlink ref="O46" r:id="rId110" tooltip="Voir le lien web (si configuré)" xr:uid="{00000000-0004-0000-0500-000075000000}"/>
    <hyperlink ref="O47" r:id="rId111" tooltip="Voir le lien web (si configuré)" xr:uid="{00000000-0004-0000-0500-000076000000}"/>
    <hyperlink ref="O48" r:id="rId112" tooltip="Voir le lien web (si configuré)" xr:uid="{00000000-0004-0000-0500-000077000000}"/>
    <hyperlink ref="O49" r:id="rId113" tooltip="Voir le lien web (si configuré)" xr:uid="{00000000-0004-0000-0500-000078000000}"/>
    <hyperlink ref="O50" r:id="rId114" tooltip="Voir le lien web (si configuré)" xr:uid="{00000000-0004-0000-0500-000079000000}"/>
    <hyperlink ref="O51" r:id="rId115" tooltip="Voir le lien web (si configuré)" xr:uid="{00000000-0004-0000-0500-00007A000000}"/>
    <hyperlink ref="O52" r:id="rId116" tooltip="Voir le lien web (si configuré)" xr:uid="{00000000-0004-0000-0500-00007B000000}"/>
    <hyperlink ref="O53" r:id="rId117" tooltip="Voir le lien web (si configuré)" xr:uid="{00000000-0004-0000-0500-00007C000000}"/>
    <hyperlink ref="O54" r:id="rId118" tooltip="Voir le lien web (si configuré)" xr:uid="{00000000-0004-0000-0500-00007D000000}"/>
    <hyperlink ref="K58" r:id="rId119" tooltip="Voir le lien web (si configuré)" xr:uid="{00000000-0004-0000-0500-00007E000000}"/>
    <hyperlink ref="K59" r:id="rId120" tooltip="Voir le lien web (si configuré)" xr:uid="{00000000-0004-0000-0500-00007F000000}"/>
    <hyperlink ref="K60" r:id="rId121" tooltip="Voir le lien web (si configuré)" xr:uid="{00000000-0004-0000-0500-000080000000}"/>
    <hyperlink ref="K61" r:id="rId122" tooltip="Voir le lien web (si configuré)" xr:uid="{00000000-0004-0000-0500-000081000000}"/>
    <hyperlink ref="K62" r:id="rId123" tooltip="Voir le lien web (si configuré)" xr:uid="{00000000-0004-0000-0500-000082000000}"/>
    <hyperlink ref="K63" r:id="rId124" tooltip="Voir le lien web (si configuré)" xr:uid="{00000000-0004-0000-0500-000083000000}"/>
    <hyperlink ref="K64" r:id="rId125" tooltip="Voir le lien web (si configuré)" xr:uid="{00000000-0004-0000-0500-000084000000}"/>
    <hyperlink ref="M58" r:id="rId126" tooltip="Voir le lien web (si configuré)" xr:uid="{00000000-0004-0000-0500-000085000000}"/>
    <hyperlink ref="M59" r:id="rId127" tooltip="Voir le lien web (si configuré)" xr:uid="{00000000-0004-0000-0500-000086000000}"/>
    <hyperlink ref="M60" r:id="rId128" tooltip="Voir le lien web (si configuré)" xr:uid="{00000000-0004-0000-0500-000087000000}"/>
    <hyperlink ref="M61" r:id="rId129" tooltip="Voir le lien web (si configuré)" xr:uid="{00000000-0004-0000-0500-000088000000}"/>
    <hyperlink ref="M62" r:id="rId130" tooltip="Voir le lien web (si configuré)" xr:uid="{00000000-0004-0000-0500-000089000000}"/>
    <hyperlink ref="M63" r:id="rId131" tooltip="Voir le lien web (si configuré)" xr:uid="{00000000-0004-0000-0500-00008A000000}"/>
    <hyperlink ref="M64" r:id="rId132" tooltip="Voir le lien web (si configuré)" xr:uid="{00000000-0004-0000-0500-00008B000000}"/>
    <hyperlink ref="O58" r:id="rId133" tooltip="Voir le lien web (si configuré)" xr:uid="{00000000-0004-0000-0500-00008C000000}"/>
    <hyperlink ref="O59" r:id="rId134" tooltip="Voir le lien web (si configuré)" xr:uid="{00000000-0004-0000-0500-00008D000000}"/>
    <hyperlink ref="O60" r:id="rId135" tooltip="Voir le lien web (si configuré)" xr:uid="{00000000-0004-0000-0500-00008E000000}"/>
    <hyperlink ref="O61" r:id="rId136" tooltip="Voir le lien web (si configuré)" xr:uid="{00000000-0004-0000-0500-00008F000000}"/>
    <hyperlink ref="O62" r:id="rId137" tooltip="Voir le lien web (si configuré)" xr:uid="{00000000-0004-0000-0500-000090000000}"/>
    <hyperlink ref="O63" r:id="rId138" tooltip="Voir le lien web (si configuré)" xr:uid="{00000000-0004-0000-0500-000091000000}"/>
    <hyperlink ref="O64" r:id="rId139" tooltip="Voir le lien web (si configuré)" xr:uid="{00000000-0004-0000-0500-000092000000}"/>
    <hyperlink ref="K68" r:id="rId140" tooltip="Voir le lien web (si configuré)" xr:uid="{00000000-0004-0000-0500-000093000000}"/>
    <hyperlink ref="K69" r:id="rId141" tooltip="Voir le lien web (si configuré)" xr:uid="{00000000-0004-0000-0500-000094000000}"/>
    <hyperlink ref="K70" r:id="rId142" tooltip="Voir le lien web (si configuré)" xr:uid="{00000000-0004-0000-0500-000095000000}"/>
    <hyperlink ref="M68" r:id="rId143" tooltip="Voir le lien web (si configuré)" xr:uid="{00000000-0004-0000-0500-000096000000}"/>
    <hyperlink ref="M69" r:id="rId144" tooltip="Voir le lien web (si configuré)" xr:uid="{00000000-0004-0000-0500-000097000000}"/>
    <hyperlink ref="M70" r:id="rId145" tooltip="Voir le lien web (si configuré)" xr:uid="{00000000-0004-0000-0500-000098000000}"/>
    <hyperlink ref="O68" r:id="rId146" tooltip="Voir le lien web (si configuré)" xr:uid="{00000000-0004-0000-0500-000099000000}"/>
    <hyperlink ref="O69" r:id="rId147" tooltip="Voir le lien web (si configuré)" xr:uid="{00000000-0004-0000-0500-00009A000000}"/>
    <hyperlink ref="O70" r:id="rId148" tooltip="Voir le lien web (si configuré)" xr:uid="{00000000-0004-0000-0500-00009B000000}"/>
  </hyperlinks>
  <pageMargins left="0.7" right="0.7" top="0.75" bottom="0.75" header="0.3" footer="0.3"/>
  <pageSetup paperSize="9" orientation="portrait" r:id="rId149"/>
  <drawing r:id="rId150"/>
  <legacyDrawing r:id="rId15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1000000}">
          <x14:formula1>
            <xm:f>Données!$P$3:$P$6</xm:f>
          </x14:formula1>
          <xm:sqref>Q20:R26 Q9:R18 Q30:R40 Q58:R64 Q68:R70 T68:T70 Q44:R54 T58:T64 T20:T26 T30:T40 T44:T54 T9:T18</xm:sqref>
        </x14:dataValidation>
        <x14:dataValidation type="list" allowBlank="1" showInputMessage="1" showErrorMessage="1" xr:uid="{00000000-0002-0000-0500-000002000000}">
          <x14:formula1>
            <xm:f>Données!$R$3:$R$6</xm:f>
          </x14:formula1>
          <xm:sqref>H58:H64 H44:H54 H30:H40 H9:H18 H20:H26 H68:H70</xm:sqref>
        </x14:dataValidation>
        <x14:dataValidation type="list" allowBlank="1" showInputMessage="1" xr:uid="{00000000-0002-0000-0500-000003000000}">
          <x14:formula1>
            <xm:f>Données!$H$69:$H$72</xm:f>
          </x14:formula1>
          <xm:sqref>AC8:AC157</xm:sqref>
        </x14:dataValidation>
        <x14:dataValidation type="list" allowBlank="1" showInputMessage="1" showErrorMessage="1" xr:uid="{00000000-0002-0000-0500-000004000000}">
          <x14:formula1>
            <xm:f>Données!$H$78:$H$79</xm:f>
          </x14:formula1>
          <xm:sqref>AA8:AA157 AK11:AK160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42"/>
  <sheetViews>
    <sheetView workbookViewId="0">
      <selection activeCell="E13" sqref="E13"/>
    </sheetView>
  </sheetViews>
  <sheetFormatPr baseColWidth="10" defaultColWidth="10.6640625" defaultRowHeight="13"/>
  <cols>
    <col min="1" max="1" width="16.33203125" style="1" customWidth="1"/>
    <col min="2" max="2" width="20.33203125" style="1" bestFit="1" customWidth="1"/>
    <col min="3" max="3" width="10.6640625" style="1"/>
    <col min="4" max="4" width="27.33203125" style="1" bestFit="1" customWidth="1"/>
    <col min="5" max="5" width="22.33203125" style="1" customWidth="1"/>
    <col min="6" max="6" width="20.33203125" style="1" customWidth="1"/>
    <col min="7" max="16384" width="10.6640625" style="1"/>
  </cols>
  <sheetData>
    <row r="2" spans="1:7">
      <c r="A2" s="452" t="s">
        <v>330</v>
      </c>
      <c r="C2" s="780" t="s">
        <v>351</v>
      </c>
      <c r="D2" s="780"/>
      <c r="E2" s="780"/>
    </row>
    <row r="3" spans="1:7">
      <c r="A3" s="452"/>
      <c r="C3" s="780"/>
      <c r="D3" s="780"/>
      <c r="E3" s="780"/>
    </row>
    <row r="4" spans="1:7">
      <c r="A4" s="452"/>
      <c r="C4" s="780"/>
      <c r="D4" s="780"/>
      <c r="E4" s="780"/>
    </row>
    <row r="5" spans="1:7">
      <c r="G5" s="176" t="str">
        <f>Menu!I6</f>
        <v>Version 2026 Révision VMAX EUR</v>
      </c>
    </row>
    <row r="6" spans="1:7">
      <c r="B6" s="38" t="s">
        <v>348</v>
      </c>
      <c r="C6" s="39"/>
      <c r="D6" s="38" t="s">
        <v>347</v>
      </c>
      <c r="E6" s="38" t="s">
        <v>346</v>
      </c>
      <c r="G6" s="177"/>
    </row>
    <row r="7" spans="1:7" ht="14">
      <c r="B7" s="61">
        <v>100</v>
      </c>
      <c r="C7" s="62"/>
      <c r="D7" s="63">
        <v>3</v>
      </c>
      <c r="E7" s="61">
        <v>0</v>
      </c>
      <c r="F7" s="40" t="s">
        <v>473</v>
      </c>
    </row>
    <row r="8" spans="1:7" ht="15" thickBot="1">
      <c r="B8" s="41"/>
      <c r="C8" s="42"/>
      <c r="D8" s="41"/>
      <c r="E8" s="41"/>
      <c r="F8" s="43"/>
    </row>
    <row r="9" spans="1:7" ht="14" thickBot="1">
      <c r="C9" s="39"/>
      <c r="D9" s="777" t="s">
        <v>343</v>
      </c>
      <c r="E9" s="778"/>
      <c r="F9" s="779"/>
    </row>
    <row r="10" spans="1:7" ht="16">
      <c r="B10" s="44"/>
      <c r="C10" s="45" t="s">
        <v>345</v>
      </c>
      <c r="D10" s="46" t="s">
        <v>344</v>
      </c>
      <c r="E10" s="47" t="s">
        <v>349</v>
      </c>
      <c r="F10" s="48" t="s">
        <v>350</v>
      </c>
    </row>
    <row r="11" spans="1:7" ht="14">
      <c r="C11" s="49">
        <v>1</v>
      </c>
      <c r="D11" s="50">
        <f>(12*$B$7+E7)*(1+$D$7/100)</f>
        <v>1236</v>
      </c>
      <c r="E11" s="51">
        <f>12*$B$7+E7</f>
        <v>1200</v>
      </c>
      <c r="F11" s="52">
        <f t="shared" ref="F11:F40" si="0">D11-E11</f>
        <v>36</v>
      </c>
    </row>
    <row r="12" spans="1:7" ht="14">
      <c r="C12" s="53">
        <v>2</v>
      </c>
      <c r="D12" s="50">
        <f t="shared" ref="D12:D40" si="1">(((12*$B$7)+D11)*(1+$D$7/100))</f>
        <v>2509.08</v>
      </c>
      <c r="E12" s="51">
        <f t="shared" ref="E12:E40" si="2">E11+(12*$B$7)</f>
        <v>2400</v>
      </c>
      <c r="F12" s="52">
        <f t="shared" si="0"/>
        <v>109.07999999999993</v>
      </c>
    </row>
    <row r="13" spans="1:7" ht="14">
      <c r="C13" s="49">
        <v>3</v>
      </c>
      <c r="D13" s="50">
        <f t="shared" si="1"/>
        <v>3820.3524000000002</v>
      </c>
      <c r="E13" s="51">
        <f t="shared" si="2"/>
        <v>3600</v>
      </c>
      <c r="F13" s="52">
        <f t="shared" si="0"/>
        <v>220.35240000000022</v>
      </c>
    </row>
    <row r="14" spans="1:7" ht="14">
      <c r="C14" s="49">
        <v>4</v>
      </c>
      <c r="D14" s="50">
        <f t="shared" si="1"/>
        <v>5170.9629720000003</v>
      </c>
      <c r="E14" s="51">
        <f t="shared" si="2"/>
        <v>4800</v>
      </c>
      <c r="F14" s="52">
        <f t="shared" si="0"/>
        <v>370.96297200000026</v>
      </c>
    </row>
    <row r="15" spans="1:7" ht="14">
      <c r="C15" s="49">
        <v>5</v>
      </c>
      <c r="D15" s="54">
        <f t="shared" si="1"/>
        <v>6562.09186116</v>
      </c>
      <c r="E15" s="55">
        <f t="shared" si="2"/>
        <v>6000</v>
      </c>
      <c r="F15" s="56">
        <f t="shared" si="0"/>
        <v>562.09186116000001</v>
      </c>
    </row>
    <row r="16" spans="1:7" ht="14">
      <c r="C16" s="49">
        <v>6</v>
      </c>
      <c r="D16" s="50">
        <f t="shared" si="1"/>
        <v>7994.9546169947998</v>
      </c>
      <c r="E16" s="51">
        <f t="shared" si="2"/>
        <v>7200</v>
      </c>
      <c r="F16" s="52">
        <f t="shared" si="0"/>
        <v>794.95461699479984</v>
      </c>
    </row>
    <row r="17" spans="2:6" ht="14">
      <c r="C17" s="49">
        <v>7</v>
      </c>
      <c r="D17" s="50">
        <f t="shared" si="1"/>
        <v>9470.8032555046448</v>
      </c>
      <c r="E17" s="51">
        <f t="shared" si="2"/>
        <v>8400</v>
      </c>
      <c r="F17" s="52">
        <f t="shared" si="0"/>
        <v>1070.8032555046448</v>
      </c>
    </row>
    <row r="18" spans="2:6" ht="14">
      <c r="C18" s="49">
        <v>8</v>
      </c>
      <c r="D18" s="50">
        <f t="shared" si="1"/>
        <v>10990.927353169784</v>
      </c>
      <c r="E18" s="51">
        <f t="shared" si="2"/>
        <v>9600</v>
      </c>
      <c r="F18" s="52">
        <f t="shared" si="0"/>
        <v>1390.9273531697836</v>
      </c>
    </row>
    <row r="19" spans="2:6" ht="14">
      <c r="B19" s="57"/>
      <c r="C19" s="49">
        <v>9</v>
      </c>
      <c r="D19" s="50">
        <f t="shared" si="1"/>
        <v>12556.655173764877</v>
      </c>
      <c r="E19" s="51">
        <f t="shared" si="2"/>
        <v>10800</v>
      </c>
      <c r="F19" s="52">
        <f t="shared" si="0"/>
        <v>1756.655173764877</v>
      </c>
    </row>
    <row r="20" spans="2:6" ht="14">
      <c r="C20" s="49">
        <v>10</v>
      </c>
      <c r="D20" s="54">
        <f t="shared" si="1"/>
        <v>14169.354828977823</v>
      </c>
      <c r="E20" s="55">
        <f t="shared" si="2"/>
        <v>12000</v>
      </c>
      <c r="F20" s="56">
        <f t="shared" si="0"/>
        <v>2169.3548289778228</v>
      </c>
    </row>
    <row r="21" spans="2:6" ht="14">
      <c r="C21" s="49">
        <v>11</v>
      </c>
      <c r="D21" s="50">
        <f t="shared" si="1"/>
        <v>15830.435473847157</v>
      </c>
      <c r="E21" s="51">
        <f t="shared" si="2"/>
        <v>13200</v>
      </c>
      <c r="F21" s="52">
        <f t="shared" si="0"/>
        <v>2630.4354738471575</v>
      </c>
    </row>
    <row r="22" spans="2:6" ht="14">
      <c r="C22" s="49">
        <v>12</v>
      </c>
      <c r="D22" s="50">
        <f t="shared" si="1"/>
        <v>17541.348538062575</v>
      </c>
      <c r="E22" s="51">
        <f t="shared" si="2"/>
        <v>14400</v>
      </c>
      <c r="F22" s="52">
        <f t="shared" si="0"/>
        <v>3141.3485380625752</v>
      </c>
    </row>
    <row r="23" spans="2:6" ht="14">
      <c r="C23" s="49">
        <v>13</v>
      </c>
      <c r="D23" s="50">
        <f t="shared" si="1"/>
        <v>19303.588994204452</v>
      </c>
      <c r="E23" s="51">
        <f t="shared" si="2"/>
        <v>15600</v>
      </c>
      <c r="F23" s="52">
        <f t="shared" si="0"/>
        <v>3703.5889942044523</v>
      </c>
    </row>
    <row r="24" spans="2:6" ht="14">
      <c r="C24" s="49">
        <v>14</v>
      </c>
      <c r="D24" s="50">
        <f t="shared" si="1"/>
        <v>21118.696664030587</v>
      </c>
      <c r="E24" s="51">
        <f t="shared" si="2"/>
        <v>16800</v>
      </c>
      <c r="F24" s="52">
        <f t="shared" si="0"/>
        <v>4318.6966640305873</v>
      </c>
    </row>
    <row r="25" spans="2:6" ht="14">
      <c r="C25" s="49">
        <v>15</v>
      </c>
      <c r="D25" s="54">
        <f t="shared" si="1"/>
        <v>22988.257563951505</v>
      </c>
      <c r="E25" s="55">
        <f t="shared" si="2"/>
        <v>18000</v>
      </c>
      <c r="F25" s="56">
        <f t="shared" si="0"/>
        <v>4988.2575639515053</v>
      </c>
    </row>
    <row r="26" spans="2:6" ht="14">
      <c r="C26" s="49">
        <v>16</v>
      </c>
      <c r="D26" s="50">
        <f t="shared" si="1"/>
        <v>24913.905290870051</v>
      </c>
      <c r="E26" s="51">
        <f t="shared" si="2"/>
        <v>19200</v>
      </c>
      <c r="F26" s="52">
        <f t="shared" si="0"/>
        <v>5713.9052908700505</v>
      </c>
    </row>
    <row r="27" spans="2:6" ht="14">
      <c r="C27" s="49">
        <v>17</v>
      </c>
      <c r="D27" s="50">
        <f t="shared" si="1"/>
        <v>26897.322449596151</v>
      </c>
      <c r="E27" s="51">
        <f t="shared" si="2"/>
        <v>20400</v>
      </c>
      <c r="F27" s="52">
        <f t="shared" si="0"/>
        <v>6497.3224495961513</v>
      </c>
    </row>
    <row r="28" spans="2:6" ht="14">
      <c r="C28" s="53">
        <v>18</v>
      </c>
      <c r="D28" s="50">
        <f t="shared" si="1"/>
        <v>28940.242123084037</v>
      </c>
      <c r="E28" s="51">
        <f t="shared" si="2"/>
        <v>21600</v>
      </c>
      <c r="F28" s="52">
        <f t="shared" si="0"/>
        <v>7340.2421230840373</v>
      </c>
    </row>
    <row r="29" spans="2:6" ht="14">
      <c r="C29" s="49">
        <v>19</v>
      </c>
      <c r="D29" s="50">
        <f t="shared" si="1"/>
        <v>31044.44938677656</v>
      </c>
      <c r="E29" s="51">
        <f t="shared" si="2"/>
        <v>22800</v>
      </c>
      <c r="F29" s="52">
        <f t="shared" si="0"/>
        <v>8244.4493867765595</v>
      </c>
    </row>
    <row r="30" spans="2:6" ht="14">
      <c r="C30" s="49">
        <v>20</v>
      </c>
      <c r="D30" s="54">
        <f t="shared" si="1"/>
        <v>33211.782868379858</v>
      </c>
      <c r="E30" s="55">
        <f t="shared" si="2"/>
        <v>24000</v>
      </c>
      <c r="F30" s="56">
        <f t="shared" si="0"/>
        <v>9211.782868379858</v>
      </c>
    </row>
    <row r="31" spans="2:6" ht="14">
      <c r="C31" s="49">
        <f t="shared" ref="C31:C40" si="3">1+C30</f>
        <v>21</v>
      </c>
      <c r="D31" s="50">
        <f t="shared" si="1"/>
        <v>35444.136354431255</v>
      </c>
      <c r="E31" s="51">
        <f t="shared" si="2"/>
        <v>25200</v>
      </c>
      <c r="F31" s="52">
        <f t="shared" si="0"/>
        <v>10244.136354431255</v>
      </c>
    </row>
    <row r="32" spans="2:6" ht="14">
      <c r="C32" s="49">
        <f t="shared" si="3"/>
        <v>22</v>
      </c>
      <c r="D32" s="50">
        <f t="shared" si="1"/>
        <v>37743.460445064193</v>
      </c>
      <c r="E32" s="51">
        <f t="shared" si="2"/>
        <v>26400</v>
      </c>
      <c r="F32" s="52">
        <f t="shared" si="0"/>
        <v>11343.460445064193</v>
      </c>
    </row>
    <row r="33" spans="3:6" ht="14">
      <c r="C33" s="49">
        <f t="shared" si="3"/>
        <v>23</v>
      </c>
      <c r="D33" s="50">
        <f t="shared" si="1"/>
        <v>40111.764258416122</v>
      </c>
      <c r="E33" s="51">
        <f t="shared" si="2"/>
        <v>27600</v>
      </c>
      <c r="F33" s="52">
        <f t="shared" si="0"/>
        <v>12511.764258416122</v>
      </c>
    </row>
    <row r="34" spans="3:6" ht="14">
      <c r="C34" s="49">
        <f t="shared" si="3"/>
        <v>24</v>
      </c>
      <c r="D34" s="50">
        <f t="shared" si="1"/>
        <v>42551.117186168609</v>
      </c>
      <c r="E34" s="51">
        <f t="shared" si="2"/>
        <v>28800</v>
      </c>
      <c r="F34" s="52">
        <f t="shared" si="0"/>
        <v>13751.117186168609</v>
      </c>
    </row>
    <row r="35" spans="3:6" ht="14">
      <c r="C35" s="49">
        <f t="shared" si="3"/>
        <v>25</v>
      </c>
      <c r="D35" s="54">
        <f t="shared" si="1"/>
        <v>45063.650701753671</v>
      </c>
      <c r="E35" s="55">
        <f t="shared" si="2"/>
        <v>30000</v>
      </c>
      <c r="F35" s="56">
        <f t="shared" si="0"/>
        <v>15063.650701753671</v>
      </c>
    </row>
    <row r="36" spans="3:6" ht="14">
      <c r="C36" s="49">
        <f t="shared" si="3"/>
        <v>26</v>
      </c>
      <c r="D36" s="50">
        <f t="shared" si="1"/>
        <v>47651.560222806285</v>
      </c>
      <c r="E36" s="51">
        <f t="shared" si="2"/>
        <v>31200</v>
      </c>
      <c r="F36" s="52">
        <f t="shared" si="0"/>
        <v>16451.560222806285</v>
      </c>
    </row>
    <row r="37" spans="3:6" ht="14">
      <c r="C37" s="49">
        <f t="shared" si="3"/>
        <v>27</v>
      </c>
      <c r="D37" s="50">
        <f t="shared" si="1"/>
        <v>50317.107029490478</v>
      </c>
      <c r="E37" s="51">
        <f t="shared" si="2"/>
        <v>32400</v>
      </c>
      <c r="F37" s="52">
        <f t="shared" si="0"/>
        <v>17917.107029490478</v>
      </c>
    </row>
    <row r="38" spans="3:6" ht="14">
      <c r="C38" s="49">
        <f t="shared" si="3"/>
        <v>28</v>
      </c>
      <c r="D38" s="50">
        <f t="shared" si="1"/>
        <v>53062.620240375196</v>
      </c>
      <c r="E38" s="51">
        <f t="shared" si="2"/>
        <v>33600</v>
      </c>
      <c r="F38" s="52">
        <f t="shared" si="0"/>
        <v>19462.620240375196</v>
      </c>
    </row>
    <row r="39" spans="3:6" ht="14">
      <c r="C39" s="49">
        <f t="shared" si="3"/>
        <v>29</v>
      </c>
      <c r="D39" s="50">
        <f t="shared" si="1"/>
        <v>55890.498847586452</v>
      </c>
      <c r="E39" s="51">
        <f t="shared" si="2"/>
        <v>34800</v>
      </c>
      <c r="F39" s="52">
        <f t="shared" si="0"/>
        <v>21090.498847586452</v>
      </c>
    </row>
    <row r="40" spans="3:6" ht="14">
      <c r="C40" s="49">
        <f t="shared" si="3"/>
        <v>30</v>
      </c>
      <c r="D40" s="58">
        <f t="shared" si="1"/>
        <v>58803.213813014045</v>
      </c>
      <c r="E40" s="59">
        <f t="shared" si="2"/>
        <v>36000</v>
      </c>
      <c r="F40" s="60">
        <f t="shared" si="0"/>
        <v>22803.213813014045</v>
      </c>
    </row>
    <row r="41" spans="3:6" ht="17" thickBot="1">
      <c r="C41" s="45" t="s">
        <v>345</v>
      </c>
      <c r="D41" s="46" t="s">
        <v>344</v>
      </c>
      <c r="E41" s="47" t="s">
        <v>349</v>
      </c>
      <c r="F41" s="48" t="s">
        <v>350</v>
      </c>
    </row>
    <row r="42" spans="3:6" ht="14" thickBot="1">
      <c r="C42" s="39"/>
      <c r="D42" s="777" t="s">
        <v>343</v>
      </c>
      <c r="E42" s="778"/>
      <c r="F42" s="779"/>
    </row>
  </sheetData>
  <sheetProtection algorithmName="SHA-512" hashValue="xQCXRwTgBzcQ7ZTX7I/2hOiyqw0kuKOnx9ZgeTF18VLXNjFbaeVuTV2jR5ivt+dc71OoHOxflcG1DbuxP4WOrg==" saltValue="dSEWKjHgoVwEFQNUeyAg6Q==" spinCount="100000" sheet="1" objects="1" scenarios="1"/>
  <mergeCells count="4">
    <mergeCell ref="D9:F9"/>
    <mergeCell ref="D42:F42"/>
    <mergeCell ref="A2:A4"/>
    <mergeCell ref="C2:E4"/>
  </mergeCells>
  <hyperlinks>
    <hyperlink ref="A2" location="'Budget Gold'!A1" display="Retour au budget" xr:uid="{00000000-0004-0000-0600-000000000000}"/>
    <hyperlink ref="A2:A4" location="'Budget Gold'!A1" tooltip="Retour au tableau Budget Gold" display="Retour au Budget" xr:uid="{00000000-0004-0000-0600-000001000000}"/>
  </hyperlink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274"/>
  <sheetViews>
    <sheetView workbookViewId="0">
      <pane xSplit="3" ySplit="8" topLeftCell="D9" activePane="bottomRight" state="frozen"/>
      <selection pane="topRight" activeCell="D1" sqref="D1"/>
      <selection pane="bottomLeft" activeCell="A9" sqref="A9"/>
      <selection pane="bottomRight"/>
    </sheetView>
  </sheetViews>
  <sheetFormatPr baseColWidth="10" defaultColWidth="10.6640625" defaultRowHeight="13"/>
  <cols>
    <col min="1" max="1" width="16.1640625" style="96" bestFit="1" customWidth="1"/>
    <col min="2" max="2" width="1" style="96" customWidth="1"/>
    <col min="3" max="3" width="30.6640625" style="148" bestFit="1" customWidth="1"/>
    <col min="4" max="4" width="11.1640625" style="148" bestFit="1" customWidth="1"/>
    <col min="5" max="5" width="14.6640625" style="148" bestFit="1" customWidth="1"/>
    <col min="6" max="6" width="2.6640625" style="149" bestFit="1" customWidth="1"/>
    <col min="7" max="7" width="9.1640625" style="148"/>
    <col min="8" max="8" width="14.6640625" style="148" bestFit="1" customWidth="1"/>
    <col min="9" max="9" width="2.6640625" style="148" bestFit="1" customWidth="1"/>
    <col min="10" max="10" width="9.1640625" style="148"/>
    <col min="11" max="11" width="13.33203125" style="148" bestFit="1" customWidth="1"/>
    <col min="12" max="12" width="2.6640625" style="148" bestFit="1" customWidth="1"/>
    <col min="13" max="13" width="11.1640625" style="148" bestFit="1" customWidth="1"/>
    <col min="14" max="14" width="14.6640625" style="148" bestFit="1" customWidth="1"/>
    <col min="15" max="15" width="2.6640625" style="149" bestFit="1" customWidth="1"/>
    <col min="16" max="16" width="9.1640625" style="148"/>
    <col min="17" max="17" width="14.6640625" style="148" bestFit="1" customWidth="1"/>
    <col min="18" max="18" width="2.6640625" style="148" bestFit="1" customWidth="1"/>
    <col min="19" max="19" width="9.1640625" style="148"/>
    <col min="20" max="20" width="14.6640625" style="148" bestFit="1" customWidth="1"/>
    <col min="21" max="21" width="2.6640625" style="148" bestFit="1" customWidth="1"/>
    <col min="22" max="22" width="11.1640625" style="148" bestFit="1" customWidth="1"/>
    <col min="23" max="23" width="14.6640625" style="148" bestFit="1" customWidth="1"/>
    <col min="24" max="24" width="2.6640625" style="149" bestFit="1" customWidth="1"/>
    <col min="25" max="25" width="9.1640625" style="148"/>
    <col min="26" max="26" width="14.6640625" style="148" bestFit="1" customWidth="1"/>
    <col min="27" max="27" width="2.6640625" style="148" bestFit="1" customWidth="1"/>
    <col min="28" max="28" width="9.1640625" style="148"/>
    <col min="29" max="29" width="14.6640625" style="148" bestFit="1" customWidth="1"/>
    <col min="30" max="30" width="2.6640625" style="148" bestFit="1" customWidth="1"/>
    <col min="31" max="31" width="11.1640625" style="148" bestFit="1" customWidth="1"/>
    <col min="32" max="32" width="14.6640625" style="148" bestFit="1" customWidth="1"/>
    <col min="33" max="33" width="2.6640625" style="149" bestFit="1" customWidth="1"/>
    <col min="34" max="34" width="9.1640625" style="148"/>
    <col min="35" max="35" width="14.6640625" style="148" bestFit="1" customWidth="1"/>
    <col min="36" max="36" width="2.6640625" style="148" bestFit="1" customWidth="1"/>
    <col min="37" max="37" width="9.1640625" style="148"/>
    <col min="38" max="38" width="14.6640625" style="148" bestFit="1" customWidth="1"/>
    <col min="39" max="39" width="2.6640625" style="148" bestFit="1" customWidth="1"/>
    <col min="40" max="40" width="4.6640625" style="96" customWidth="1"/>
    <col min="41" max="41" width="1.33203125" style="96" customWidth="1"/>
    <col min="42" max="42" width="34.33203125" style="148" bestFit="1" customWidth="1"/>
    <col min="43" max="45" width="9.1640625" style="148"/>
    <col min="46" max="46" width="1.33203125" style="96" customWidth="1"/>
    <col min="47" max="47" width="9.1640625" style="96"/>
    <col min="48" max="16384" width="10.6640625" style="96"/>
  </cols>
  <sheetData>
    <row r="1" spans="1:47">
      <c r="C1" s="96"/>
      <c r="D1" s="96"/>
      <c r="E1" s="96"/>
      <c r="F1" s="97"/>
      <c r="G1" s="96"/>
      <c r="H1" s="96"/>
      <c r="I1" s="96"/>
      <c r="J1" s="96"/>
      <c r="K1" s="96"/>
      <c r="L1" s="96"/>
      <c r="M1" s="96"/>
      <c r="N1" s="96"/>
      <c r="O1" s="97"/>
      <c r="P1" s="96"/>
      <c r="Q1" s="96"/>
      <c r="R1" s="96"/>
      <c r="S1" s="96"/>
      <c r="T1" s="96"/>
      <c r="U1" s="96"/>
      <c r="V1" s="96"/>
      <c r="W1" s="96"/>
      <c r="X1" s="97"/>
      <c r="Y1" s="96"/>
      <c r="Z1" s="96"/>
      <c r="AA1" s="96"/>
      <c r="AB1" s="96"/>
      <c r="AC1" s="96"/>
      <c r="AD1" s="96"/>
      <c r="AE1" s="96"/>
      <c r="AF1" s="96"/>
      <c r="AG1" s="97"/>
      <c r="AH1" s="96"/>
      <c r="AI1" s="96"/>
      <c r="AJ1" s="96"/>
      <c r="AK1" s="96"/>
      <c r="AL1" s="96"/>
      <c r="AM1" s="96"/>
      <c r="AP1" s="96"/>
      <c r="AQ1" s="96"/>
      <c r="AR1" s="96"/>
      <c r="AS1" s="96"/>
    </row>
    <row r="2" spans="1:47" ht="31">
      <c r="A2" s="98" t="s">
        <v>290</v>
      </c>
      <c r="C2" s="100" t="s">
        <v>403</v>
      </c>
      <c r="D2" s="99" t="s">
        <v>411</v>
      </c>
      <c r="E2" s="96"/>
      <c r="F2" s="97"/>
      <c r="G2" s="96"/>
      <c r="H2" s="96"/>
      <c r="I2" s="96"/>
      <c r="J2" s="96"/>
      <c r="K2" s="96"/>
      <c r="L2" s="96"/>
      <c r="M2" s="96"/>
      <c r="N2" s="96"/>
      <c r="O2" s="97"/>
      <c r="P2" s="96"/>
      <c r="Q2" s="96"/>
      <c r="R2" s="96"/>
      <c r="S2" s="96"/>
      <c r="T2" s="96"/>
      <c r="U2" s="96"/>
      <c r="V2" s="96"/>
      <c r="W2" s="96"/>
      <c r="X2" s="97"/>
      <c r="Y2" s="96"/>
      <c r="Z2" s="96"/>
      <c r="AA2" s="96"/>
      <c r="AB2" s="96"/>
      <c r="AC2" s="96"/>
      <c r="AD2" s="96"/>
      <c r="AE2" s="96"/>
      <c r="AF2" s="96"/>
      <c r="AG2" s="97"/>
      <c r="AH2" s="96"/>
      <c r="AI2" s="96"/>
      <c r="AJ2" s="96"/>
      <c r="AK2" s="96"/>
      <c r="AL2" s="96"/>
      <c r="AM2" s="96"/>
      <c r="AP2" s="783" t="s">
        <v>403</v>
      </c>
      <c r="AQ2" s="783"/>
      <c r="AR2" s="783"/>
      <c r="AS2" s="783"/>
    </row>
    <row r="3" spans="1:47">
      <c r="A3" s="101" t="s">
        <v>402</v>
      </c>
      <c r="C3" s="96"/>
      <c r="D3" s="96"/>
      <c r="E3" s="96"/>
      <c r="F3" s="97"/>
      <c r="G3" s="96"/>
      <c r="H3" s="96"/>
      <c r="I3" s="96"/>
      <c r="J3" s="96"/>
      <c r="K3" s="96"/>
      <c r="L3" s="96"/>
      <c r="M3" s="96"/>
      <c r="N3" s="96"/>
      <c r="O3" s="97"/>
      <c r="P3" s="96"/>
      <c r="Q3" s="96"/>
      <c r="R3" s="96"/>
      <c r="S3" s="96"/>
      <c r="T3" s="96"/>
      <c r="U3" s="96"/>
      <c r="V3" s="96"/>
      <c r="W3" s="96"/>
      <c r="X3" s="97"/>
      <c r="Y3" s="96"/>
      <c r="Z3" s="96"/>
      <c r="AA3" s="96"/>
      <c r="AB3" s="96"/>
      <c r="AC3" s="96"/>
      <c r="AD3" s="96"/>
      <c r="AE3" s="96"/>
      <c r="AF3" s="96"/>
      <c r="AG3" s="97"/>
      <c r="AH3" s="96"/>
      <c r="AI3" s="96"/>
      <c r="AJ3" s="96"/>
      <c r="AK3" s="96"/>
      <c r="AL3" s="96"/>
      <c r="AM3" s="96"/>
      <c r="AP3" s="96"/>
      <c r="AQ3" s="96"/>
      <c r="AR3" s="96"/>
      <c r="AS3" s="96"/>
    </row>
    <row r="4" spans="1:47" ht="16">
      <c r="A4" s="102" t="s">
        <v>351</v>
      </c>
      <c r="C4" s="150" t="s">
        <v>405</v>
      </c>
      <c r="D4" s="96"/>
      <c r="E4" s="96"/>
      <c r="F4" s="97"/>
      <c r="G4" s="96"/>
      <c r="H4" s="96"/>
      <c r="I4" s="96"/>
      <c r="J4" s="178" t="str">
        <f>Menu!I6</f>
        <v>Version 2026 Révision VMAX EUR</v>
      </c>
      <c r="K4" s="96"/>
      <c r="L4" s="96"/>
      <c r="M4" s="96"/>
      <c r="N4" s="96"/>
      <c r="O4" s="97"/>
      <c r="P4" s="96"/>
      <c r="Q4" s="96"/>
      <c r="R4" s="96"/>
      <c r="S4" s="96"/>
      <c r="T4" s="96"/>
      <c r="U4" s="96"/>
      <c r="V4" s="96"/>
      <c r="W4" s="96"/>
      <c r="X4" s="97"/>
      <c r="Y4" s="96"/>
      <c r="Z4" s="96"/>
      <c r="AA4" s="96"/>
      <c r="AB4" s="96"/>
      <c r="AC4" s="96"/>
      <c r="AD4" s="96"/>
      <c r="AE4" s="96"/>
      <c r="AF4" s="96"/>
      <c r="AG4" s="97"/>
      <c r="AH4" s="96"/>
      <c r="AI4" s="96"/>
      <c r="AJ4" s="96"/>
      <c r="AK4" s="96"/>
      <c r="AL4" s="96"/>
      <c r="AM4" s="96"/>
      <c r="AP4" s="103"/>
      <c r="AQ4" s="96"/>
      <c r="AR4" s="96"/>
      <c r="AS4" s="96"/>
    </row>
    <row r="5" spans="1:47">
      <c r="C5" s="151" t="s">
        <v>380</v>
      </c>
      <c r="D5" s="96"/>
      <c r="E5" s="96"/>
      <c r="F5" s="97"/>
      <c r="G5" s="96"/>
      <c r="H5" s="96"/>
      <c r="I5" s="96"/>
      <c r="J5" s="96"/>
      <c r="K5" s="96"/>
      <c r="L5" s="96"/>
      <c r="M5" s="96"/>
      <c r="N5" s="96"/>
      <c r="O5" s="97"/>
      <c r="P5" s="96"/>
      <c r="Q5" s="96"/>
      <c r="R5" s="96"/>
      <c r="S5" s="96"/>
      <c r="T5" s="96"/>
      <c r="U5" s="96"/>
      <c r="V5" s="96"/>
      <c r="W5" s="96"/>
      <c r="X5" s="97"/>
      <c r="Y5" s="96"/>
      <c r="Z5" s="96"/>
      <c r="AA5" s="96"/>
      <c r="AB5" s="96"/>
      <c r="AC5" s="96"/>
      <c r="AD5" s="96"/>
      <c r="AE5" s="96"/>
      <c r="AF5" s="96"/>
      <c r="AG5" s="97"/>
      <c r="AH5" s="96"/>
      <c r="AI5" s="96"/>
      <c r="AJ5" s="96"/>
      <c r="AK5" s="96"/>
      <c r="AL5" s="96"/>
      <c r="AM5" s="96"/>
      <c r="AP5" s="104"/>
      <c r="AQ5" s="96"/>
      <c r="AR5" s="96"/>
      <c r="AS5" s="96"/>
    </row>
    <row r="6" spans="1:47" ht="14" thickBot="1">
      <c r="C6" s="151" t="s">
        <v>388</v>
      </c>
      <c r="D6" s="96"/>
      <c r="E6" s="96"/>
      <c r="F6" s="97"/>
      <c r="G6" s="96"/>
      <c r="H6" s="96"/>
      <c r="I6" s="96"/>
      <c r="J6" s="96"/>
      <c r="K6" s="96"/>
      <c r="L6" s="96"/>
      <c r="M6" s="96"/>
      <c r="N6" s="96"/>
      <c r="O6" s="97"/>
      <c r="P6" s="96"/>
      <c r="Q6" s="96"/>
      <c r="R6" s="96"/>
      <c r="S6" s="96"/>
      <c r="T6" s="96"/>
      <c r="U6" s="96"/>
      <c r="V6" s="96"/>
      <c r="W6" s="96"/>
      <c r="X6" s="97"/>
      <c r="Y6" s="96"/>
      <c r="Z6" s="96"/>
      <c r="AA6" s="96"/>
      <c r="AB6" s="96"/>
      <c r="AC6" s="96"/>
      <c r="AD6" s="96"/>
      <c r="AE6" s="96"/>
      <c r="AF6" s="96"/>
      <c r="AG6" s="97"/>
      <c r="AH6" s="96"/>
      <c r="AI6" s="96"/>
      <c r="AJ6" s="96"/>
      <c r="AK6" s="96"/>
      <c r="AL6" s="96"/>
      <c r="AM6" s="96"/>
      <c r="AP6" s="104"/>
      <c r="AQ6" s="96"/>
      <c r="AR6" s="96"/>
      <c r="AS6" s="96"/>
    </row>
    <row r="7" spans="1:47" ht="14" thickBot="1">
      <c r="C7" s="96"/>
      <c r="D7" s="96"/>
      <c r="E7" s="96"/>
      <c r="F7" s="97"/>
      <c r="G7" s="96"/>
      <c r="H7" s="96"/>
      <c r="I7" s="96"/>
      <c r="J7" s="96"/>
      <c r="K7" s="96"/>
      <c r="L7" s="96"/>
      <c r="M7" s="96"/>
      <c r="N7" s="96"/>
      <c r="O7" s="97"/>
      <c r="P7" s="96"/>
      <c r="Q7" s="96"/>
      <c r="R7" s="96"/>
      <c r="S7" s="96"/>
      <c r="T7" s="96"/>
      <c r="U7" s="96"/>
      <c r="V7" s="96"/>
      <c r="W7" s="96"/>
      <c r="X7" s="97"/>
      <c r="Y7" s="96"/>
      <c r="Z7" s="96"/>
      <c r="AA7" s="96"/>
      <c r="AB7" s="96"/>
      <c r="AC7" s="96"/>
      <c r="AD7" s="96"/>
      <c r="AE7" s="96"/>
      <c r="AF7" s="96"/>
      <c r="AG7" s="97"/>
      <c r="AH7" s="96"/>
      <c r="AI7" s="96"/>
      <c r="AJ7" s="96"/>
      <c r="AK7" s="96"/>
      <c r="AL7" s="96"/>
      <c r="AM7" s="96"/>
      <c r="AO7" s="105"/>
      <c r="AP7" s="106"/>
      <c r="AQ7" s="106"/>
      <c r="AR7" s="106"/>
      <c r="AS7" s="106"/>
      <c r="AT7" s="107"/>
    </row>
    <row r="8" spans="1:47" ht="18" thickBot="1">
      <c r="C8" s="108" t="s">
        <v>353</v>
      </c>
      <c r="D8" s="793">
        <f>Menu!F22</f>
        <v>46174</v>
      </c>
      <c r="E8" s="793"/>
      <c r="F8" s="794"/>
      <c r="G8" s="793">
        <f t="shared" ref="G8" si="0">D8+32</f>
        <v>46206</v>
      </c>
      <c r="H8" s="793"/>
      <c r="I8" s="794"/>
      <c r="J8" s="793">
        <f t="shared" ref="J8" si="1">G8+32</f>
        <v>46238</v>
      </c>
      <c r="K8" s="793"/>
      <c r="L8" s="794"/>
      <c r="M8" s="793">
        <f t="shared" ref="M8" si="2">J8+32</f>
        <v>46270</v>
      </c>
      <c r="N8" s="793"/>
      <c r="O8" s="794"/>
      <c r="P8" s="793">
        <f t="shared" ref="P8" si="3">M8+32</f>
        <v>46302</v>
      </c>
      <c r="Q8" s="793"/>
      <c r="R8" s="794"/>
      <c r="S8" s="793">
        <f t="shared" ref="S8" si="4">P8+32</f>
        <v>46334</v>
      </c>
      <c r="T8" s="793"/>
      <c r="U8" s="794"/>
      <c r="V8" s="793">
        <f t="shared" ref="V8" si="5">S8+32</f>
        <v>46366</v>
      </c>
      <c r="W8" s="793"/>
      <c r="X8" s="794"/>
      <c r="Y8" s="793">
        <f t="shared" ref="Y8" si="6">V8+32</f>
        <v>46398</v>
      </c>
      <c r="Z8" s="793"/>
      <c r="AA8" s="794"/>
      <c r="AB8" s="793">
        <f t="shared" ref="AB8" si="7">Y8+32</f>
        <v>46430</v>
      </c>
      <c r="AC8" s="793"/>
      <c r="AD8" s="794"/>
      <c r="AE8" s="793">
        <f t="shared" ref="AE8" si="8">AB8+32</f>
        <v>46462</v>
      </c>
      <c r="AF8" s="793"/>
      <c r="AG8" s="794"/>
      <c r="AH8" s="793">
        <f t="shared" ref="AH8" si="9">AE8+32</f>
        <v>46494</v>
      </c>
      <c r="AI8" s="793"/>
      <c r="AJ8" s="794"/>
      <c r="AK8" s="793">
        <f t="shared" ref="AK8" si="10">AH8+32</f>
        <v>46526</v>
      </c>
      <c r="AL8" s="793"/>
      <c r="AM8" s="794"/>
      <c r="AO8" s="109"/>
      <c r="AP8" s="110" t="s">
        <v>353</v>
      </c>
      <c r="AQ8" s="810" t="s">
        <v>243</v>
      </c>
      <c r="AR8" s="811"/>
      <c r="AS8" s="812"/>
      <c r="AT8" s="111"/>
    </row>
    <row r="9" spans="1:47">
      <c r="B9" s="112"/>
      <c r="C9" s="112"/>
      <c r="D9" s="113" t="s">
        <v>58</v>
      </c>
      <c r="E9" s="113" t="s">
        <v>59</v>
      </c>
      <c r="F9" s="114"/>
      <c r="G9" s="113" t="s">
        <v>58</v>
      </c>
      <c r="H9" s="113" t="s">
        <v>59</v>
      </c>
      <c r="I9" s="114"/>
      <c r="J9" s="113" t="s">
        <v>58</v>
      </c>
      <c r="K9" s="113" t="s">
        <v>59</v>
      </c>
      <c r="L9" s="114"/>
      <c r="M9" s="113" t="s">
        <v>58</v>
      </c>
      <c r="N9" s="113" t="s">
        <v>59</v>
      </c>
      <c r="O9" s="114"/>
      <c r="P9" s="113" t="s">
        <v>58</v>
      </c>
      <c r="Q9" s="113" t="s">
        <v>59</v>
      </c>
      <c r="R9" s="114"/>
      <c r="S9" s="113" t="s">
        <v>58</v>
      </c>
      <c r="T9" s="113" t="s">
        <v>59</v>
      </c>
      <c r="U9" s="114"/>
      <c r="V9" s="113" t="s">
        <v>58</v>
      </c>
      <c r="W9" s="113" t="s">
        <v>59</v>
      </c>
      <c r="X9" s="114"/>
      <c r="Y9" s="113" t="s">
        <v>58</v>
      </c>
      <c r="Z9" s="113" t="s">
        <v>59</v>
      </c>
      <c r="AA9" s="114"/>
      <c r="AB9" s="113" t="s">
        <v>58</v>
      </c>
      <c r="AC9" s="113" t="s">
        <v>59</v>
      </c>
      <c r="AD9" s="114"/>
      <c r="AE9" s="113" t="s">
        <v>58</v>
      </c>
      <c r="AF9" s="113" t="s">
        <v>59</v>
      </c>
      <c r="AG9" s="114"/>
      <c r="AH9" s="113" t="s">
        <v>58</v>
      </c>
      <c r="AI9" s="113" t="s">
        <v>59</v>
      </c>
      <c r="AJ9" s="114"/>
      <c r="AK9" s="113" t="s">
        <v>58</v>
      </c>
      <c r="AL9" s="113" t="s">
        <v>59</v>
      </c>
      <c r="AM9" s="114"/>
      <c r="AN9" s="112"/>
      <c r="AO9" s="115"/>
      <c r="AP9" s="116"/>
      <c r="AQ9" s="116"/>
      <c r="AR9" s="116"/>
      <c r="AS9" s="116"/>
      <c r="AT9" s="117"/>
      <c r="AU9" s="112"/>
    </row>
    <row r="10" spans="1:47" ht="14">
      <c r="C10" s="333" t="s">
        <v>477</v>
      </c>
      <c r="D10" s="330"/>
      <c r="E10" s="331"/>
      <c r="F10" s="323"/>
      <c r="G10" s="330"/>
      <c r="H10" s="331"/>
      <c r="I10" s="323"/>
      <c r="J10" s="330"/>
      <c r="K10" s="331"/>
      <c r="L10" s="323"/>
      <c r="M10" s="330"/>
      <c r="N10" s="331"/>
      <c r="O10" s="323"/>
      <c r="P10" s="330"/>
      <c r="Q10" s="331"/>
      <c r="R10" s="323"/>
      <c r="S10" s="330"/>
      <c r="T10" s="331"/>
      <c r="U10" s="323"/>
      <c r="V10" s="330"/>
      <c r="W10" s="331"/>
      <c r="X10" s="323"/>
      <c r="Y10" s="330"/>
      <c r="Z10" s="331"/>
      <c r="AA10" s="323"/>
      <c r="AB10" s="330"/>
      <c r="AC10" s="331"/>
      <c r="AD10" s="323"/>
      <c r="AE10" s="330"/>
      <c r="AF10" s="331"/>
      <c r="AG10" s="323"/>
      <c r="AH10" s="330"/>
      <c r="AI10" s="331"/>
      <c r="AJ10" s="323"/>
      <c r="AK10" s="330"/>
      <c r="AL10" s="331"/>
      <c r="AM10" s="323"/>
      <c r="AO10" s="109"/>
      <c r="AP10" s="118" t="str">
        <f>C10</f>
        <v>Loyers</v>
      </c>
      <c r="AQ10" s="795">
        <f>SUM(MAX(D10:E10),MAX(G10:H10),MAX(J10:K10),MAX(M10,N10),MAX(P10:Q10),MAX(S10:T10),MAX(V10:W10),MAX(Y10:Z10),MAX(AB10:AC10),MAX(AE10,AF10),MAX(AH10:AI10),MAX(AK10:AL10))</f>
        <v>0</v>
      </c>
      <c r="AR10" s="796"/>
      <c r="AS10" s="797"/>
      <c r="AT10" s="111"/>
    </row>
    <row r="11" spans="1:47" ht="14">
      <c r="C11" s="333" t="s">
        <v>355</v>
      </c>
      <c r="D11" s="332"/>
      <c r="E11" s="331"/>
      <c r="F11" s="323"/>
      <c r="G11" s="330"/>
      <c r="H11" s="331"/>
      <c r="I11" s="323"/>
      <c r="J11" s="330"/>
      <c r="K11" s="331"/>
      <c r="L11" s="323"/>
      <c r="M11" s="330"/>
      <c r="N11" s="331"/>
      <c r="O11" s="323"/>
      <c r="P11" s="330"/>
      <c r="Q11" s="331"/>
      <c r="R11" s="323"/>
      <c r="S11" s="330"/>
      <c r="T11" s="331"/>
      <c r="U11" s="323"/>
      <c r="V11" s="330"/>
      <c r="W11" s="331"/>
      <c r="X11" s="323"/>
      <c r="Y11" s="330"/>
      <c r="Z11" s="331"/>
      <c r="AA11" s="323"/>
      <c r="AB11" s="330"/>
      <c r="AC11" s="331"/>
      <c r="AD11" s="323"/>
      <c r="AE11" s="330"/>
      <c r="AF11" s="331"/>
      <c r="AG11" s="323"/>
      <c r="AH11" s="330"/>
      <c r="AI11" s="331"/>
      <c r="AJ11" s="323"/>
      <c r="AK11" s="330"/>
      <c r="AL11" s="331"/>
      <c r="AM11" s="323"/>
      <c r="AO11" s="109"/>
      <c r="AP11" s="118" t="str">
        <f>C11</f>
        <v>Provisions pour charges</v>
      </c>
      <c r="AQ11" s="795">
        <f>SUM(MAX(D11:E11),MAX(G11:H11),MAX(J11:K11),MAX(M11,N11),MAX(P11:Q11),MAX(S11:T11),MAX(V11:W11),MAX(Y11:Z11),MAX(AB11:AC11),MAX(AE11,AF11),MAX(AH11:AI11),MAX(AK11:AL11))</f>
        <v>0</v>
      </c>
      <c r="AR11" s="796"/>
      <c r="AS11" s="797"/>
      <c r="AT11" s="111"/>
    </row>
    <row r="12" spans="1:47" ht="14">
      <c r="C12" s="333" t="s">
        <v>356</v>
      </c>
      <c r="D12" s="330"/>
      <c r="E12" s="331"/>
      <c r="F12" s="323"/>
      <c r="G12" s="330"/>
      <c r="H12" s="331"/>
      <c r="I12" s="323"/>
      <c r="J12" s="330"/>
      <c r="K12" s="331"/>
      <c r="L12" s="323"/>
      <c r="M12" s="330"/>
      <c r="N12" s="331"/>
      <c r="O12" s="323"/>
      <c r="P12" s="330"/>
      <c r="Q12" s="331"/>
      <c r="R12" s="323"/>
      <c r="S12" s="330"/>
      <c r="T12" s="331"/>
      <c r="U12" s="323"/>
      <c r="V12" s="330"/>
      <c r="W12" s="331"/>
      <c r="X12" s="323"/>
      <c r="Y12" s="330"/>
      <c r="Z12" s="331"/>
      <c r="AA12" s="323"/>
      <c r="AB12" s="330"/>
      <c r="AC12" s="331"/>
      <c r="AD12" s="323"/>
      <c r="AE12" s="330"/>
      <c r="AF12" s="331"/>
      <c r="AG12" s="323"/>
      <c r="AH12" s="330"/>
      <c r="AI12" s="331"/>
      <c r="AJ12" s="323"/>
      <c r="AK12" s="330"/>
      <c r="AL12" s="331"/>
      <c r="AM12" s="323"/>
      <c r="AO12" s="109"/>
      <c r="AP12" s="118" t="str">
        <f t="shared" ref="AP12:AP13" si="11">C12</f>
        <v>Dépots de garantie</v>
      </c>
      <c r="AQ12" s="795">
        <f t="shared" ref="AQ12:AQ13" si="12">SUM(MAX(D12:E12),MAX(G12:H12),MAX(J12:K12),MAX(M12,N12),MAX(P12:Q12),MAX(S12:T12),MAX(V12:W12),MAX(Y12:Z12),MAX(AB12:AC12),MAX(AE12,AF12),MAX(AH12:AI12),MAX(AK12:AL12))</f>
        <v>0</v>
      </c>
      <c r="AR12" s="796"/>
      <c r="AS12" s="797"/>
      <c r="AT12" s="111"/>
    </row>
    <row r="13" spans="1:47" ht="14">
      <c r="C13" s="333" t="s">
        <v>357</v>
      </c>
      <c r="D13" s="330"/>
      <c r="E13" s="331"/>
      <c r="F13" s="323"/>
      <c r="G13" s="330"/>
      <c r="H13" s="331"/>
      <c r="I13" s="323"/>
      <c r="J13" s="330"/>
      <c r="K13" s="331"/>
      <c r="L13" s="323"/>
      <c r="M13" s="330"/>
      <c r="N13" s="331"/>
      <c r="O13" s="323"/>
      <c r="P13" s="330"/>
      <c r="Q13" s="331"/>
      <c r="R13" s="323"/>
      <c r="S13" s="330"/>
      <c r="T13" s="331"/>
      <c r="U13" s="323"/>
      <c r="V13" s="330"/>
      <c r="W13" s="331"/>
      <c r="X13" s="323"/>
      <c r="Y13" s="330"/>
      <c r="Z13" s="331"/>
      <c r="AA13" s="323"/>
      <c r="AB13" s="330"/>
      <c r="AC13" s="331"/>
      <c r="AD13" s="323"/>
      <c r="AE13" s="330"/>
      <c r="AF13" s="331"/>
      <c r="AG13" s="323"/>
      <c r="AH13" s="330"/>
      <c r="AI13" s="331"/>
      <c r="AJ13" s="323"/>
      <c r="AK13" s="330"/>
      <c r="AL13" s="331"/>
      <c r="AM13" s="323"/>
      <c r="AO13" s="109"/>
      <c r="AP13" s="118" t="str">
        <f t="shared" si="11"/>
        <v>Apports personnels</v>
      </c>
      <c r="AQ13" s="795">
        <f t="shared" si="12"/>
        <v>0</v>
      </c>
      <c r="AR13" s="796"/>
      <c r="AS13" s="797"/>
      <c r="AT13" s="111"/>
    </row>
    <row r="14" spans="1:47" ht="14">
      <c r="C14" s="333" t="s">
        <v>394</v>
      </c>
      <c r="D14" s="330"/>
      <c r="E14" s="331"/>
      <c r="F14" s="323"/>
      <c r="G14" s="330"/>
      <c r="H14" s="331"/>
      <c r="I14" s="323"/>
      <c r="J14" s="330"/>
      <c r="K14" s="331"/>
      <c r="L14" s="323"/>
      <c r="M14" s="330"/>
      <c r="N14" s="331"/>
      <c r="O14" s="323"/>
      <c r="P14" s="330"/>
      <c r="Q14" s="331"/>
      <c r="R14" s="323"/>
      <c r="S14" s="330"/>
      <c r="T14" s="331"/>
      <c r="U14" s="323"/>
      <c r="V14" s="330"/>
      <c r="W14" s="331"/>
      <c r="X14" s="323"/>
      <c r="Y14" s="330"/>
      <c r="Z14" s="331"/>
      <c r="AA14" s="323"/>
      <c r="AB14" s="330"/>
      <c r="AC14" s="331"/>
      <c r="AD14" s="323"/>
      <c r="AE14" s="330"/>
      <c r="AF14" s="331"/>
      <c r="AG14" s="323"/>
      <c r="AH14" s="330"/>
      <c r="AI14" s="331"/>
      <c r="AJ14" s="323"/>
      <c r="AK14" s="330"/>
      <c r="AL14" s="331"/>
      <c r="AM14" s="323"/>
      <c r="AO14" s="109"/>
      <c r="AP14" s="118" t="str">
        <f>C14</f>
        <v>Financement</v>
      </c>
      <c r="AQ14" s="795">
        <f>SUM(MAX(D14:E14),MAX(G14:H14),MAX(J14:K14),MAX(M14,N14),MAX(P14:Q14),MAX(S14:T14),MAX(V14:W14),MAX(Y14:Z14),MAX(AB14:AC14),MAX(AE14,AF14),MAX(AH14:AI14),MAX(AK14:AL14))</f>
        <v>0</v>
      </c>
      <c r="AR14" s="796"/>
      <c r="AS14" s="797"/>
      <c r="AT14" s="111"/>
    </row>
    <row r="15" spans="1:47" ht="14">
      <c r="C15" s="333" t="s">
        <v>395</v>
      </c>
      <c r="D15" s="330"/>
      <c r="E15" s="331"/>
      <c r="F15" s="323"/>
      <c r="G15" s="330"/>
      <c r="H15" s="331"/>
      <c r="I15" s="323"/>
      <c r="J15" s="330"/>
      <c r="K15" s="331"/>
      <c r="L15" s="323"/>
      <c r="M15" s="330"/>
      <c r="N15" s="331"/>
      <c r="O15" s="323"/>
      <c r="P15" s="330"/>
      <c r="Q15" s="331"/>
      <c r="R15" s="323"/>
      <c r="S15" s="330"/>
      <c r="T15" s="331"/>
      <c r="U15" s="323"/>
      <c r="V15" s="330"/>
      <c r="W15" s="331"/>
      <c r="X15" s="323"/>
      <c r="Y15" s="330"/>
      <c r="Z15" s="331"/>
      <c r="AA15" s="323"/>
      <c r="AB15" s="330"/>
      <c r="AC15" s="331"/>
      <c r="AD15" s="323"/>
      <c r="AE15" s="330"/>
      <c r="AF15" s="331"/>
      <c r="AG15" s="323"/>
      <c r="AH15" s="330"/>
      <c r="AI15" s="331"/>
      <c r="AJ15" s="323"/>
      <c r="AK15" s="330"/>
      <c r="AL15" s="331"/>
      <c r="AM15" s="323"/>
      <c r="AO15" s="109"/>
      <c r="AP15" s="118" t="str">
        <f>C15</f>
        <v>Subventions</v>
      </c>
      <c r="AQ15" s="795">
        <f>SUM(MAX(D15:E15),MAX(G15:H15),MAX(J15:K15),MAX(M15,N15),MAX(P15:Q15),MAX(S15:T15),MAX(V15:W15),MAX(Y15:Z15),MAX(AB15:AC15),MAX(AE15,AF15),MAX(AH15:AI15),MAX(AK15:AL15))</f>
        <v>0</v>
      </c>
      <c r="AR15" s="796"/>
      <c r="AS15" s="797"/>
      <c r="AT15" s="111"/>
    </row>
    <row r="16" spans="1:47" ht="14">
      <c r="C16" s="333" t="s">
        <v>38</v>
      </c>
      <c r="D16" s="330"/>
      <c r="E16" s="331"/>
      <c r="F16" s="323"/>
      <c r="G16" s="330"/>
      <c r="H16" s="331"/>
      <c r="I16" s="323"/>
      <c r="J16" s="330"/>
      <c r="K16" s="331"/>
      <c r="L16" s="323"/>
      <c r="M16" s="330"/>
      <c r="N16" s="331"/>
      <c r="O16" s="323"/>
      <c r="P16" s="330"/>
      <c r="Q16" s="331"/>
      <c r="R16" s="323"/>
      <c r="S16" s="330"/>
      <c r="T16" s="331"/>
      <c r="U16" s="323"/>
      <c r="V16" s="330"/>
      <c r="W16" s="331"/>
      <c r="X16" s="323"/>
      <c r="Y16" s="330"/>
      <c r="Z16" s="331"/>
      <c r="AA16" s="323"/>
      <c r="AB16" s="330"/>
      <c r="AC16" s="331"/>
      <c r="AD16" s="323"/>
      <c r="AE16" s="330"/>
      <c r="AF16" s="331"/>
      <c r="AG16" s="323"/>
      <c r="AH16" s="330"/>
      <c r="AI16" s="331"/>
      <c r="AJ16" s="323"/>
      <c r="AK16" s="330"/>
      <c r="AL16" s="331"/>
      <c r="AM16" s="323"/>
      <c r="AO16" s="109"/>
      <c r="AP16" s="118" t="str">
        <f>C16</f>
        <v>Autres</v>
      </c>
      <c r="AQ16" s="795">
        <f>SUM(MAX(D16:E16),MAX(G16:H16),MAX(J16:K16),MAX(M16,N16),MAX(P16:Q16),MAX(S16:T16),MAX(V16:W16),MAX(Y16:Z16),MAX(AB16:AC16),MAX(AE16,AF16),MAX(AH16:AI16),MAX(AK16:AL16))</f>
        <v>0</v>
      </c>
      <c r="AR16" s="796"/>
      <c r="AS16" s="797"/>
      <c r="AT16" s="111"/>
    </row>
    <row r="17" spans="3:46" ht="17">
      <c r="C17" s="119" t="s">
        <v>358</v>
      </c>
      <c r="D17" s="120" t="str">
        <f>IF(SUM(D10:D16)=0,"",SUM(D10:D16))</f>
        <v/>
      </c>
      <c r="E17" s="121">
        <f>SUM(E10:E16)</f>
        <v>0</v>
      </c>
      <c r="F17" s="122"/>
      <c r="G17" s="120" t="str">
        <f>IF(SUM(G10:G16)=0,"",SUM(G10:G16))</f>
        <v/>
      </c>
      <c r="H17" s="121">
        <f>SUM(H10:H16)</f>
        <v>0</v>
      </c>
      <c r="I17" s="122"/>
      <c r="J17" s="120" t="str">
        <f>IF(SUM(J10:J16)=0,"",SUM(J10:J16))</f>
        <v/>
      </c>
      <c r="K17" s="121">
        <f>SUM(K10:K16)</f>
        <v>0</v>
      </c>
      <c r="L17" s="122"/>
      <c r="M17" s="120" t="str">
        <f>IF(SUM(M10:M16)=0,"",SUM(M10:M16))</f>
        <v/>
      </c>
      <c r="N17" s="121">
        <f>SUM(N10:N16)</f>
        <v>0</v>
      </c>
      <c r="O17" s="122"/>
      <c r="P17" s="120" t="str">
        <f>IF(SUM(P10:P16)=0,"",SUM(P10:P16))</f>
        <v/>
      </c>
      <c r="Q17" s="121">
        <f>SUM(Q10:Q16)</f>
        <v>0</v>
      </c>
      <c r="R17" s="122"/>
      <c r="S17" s="120" t="str">
        <f>IF(SUM(S10:S16)=0,"",SUM(S10:S16))</f>
        <v/>
      </c>
      <c r="T17" s="121">
        <f>SUM(T10:T16)</f>
        <v>0</v>
      </c>
      <c r="U17" s="122"/>
      <c r="V17" s="120" t="str">
        <f>IF(SUM(V10:V16)=0,"",SUM(V10:V16))</f>
        <v/>
      </c>
      <c r="W17" s="121">
        <f>SUM(W10:W16)</f>
        <v>0</v>
      </c>
      <c r="X17" s="122"/>
      <c r="Y17" s="120" t="str">
        <f>IF(SUM(Y10:Y16)=0,"",SUM(Y10:Y16))</f>
        <v/>
      </c>
      <c r="Z17" s="121">
        <f>SUM(Z10:Z16)</f>
        <v>0</v>
      </c>
      <c r="AA17" s="122"/>
      <c r="AB17" s="120" t="str">
        <f>IF(SUM(AB10:AB16)=0,"",SUM(AB10:AB16))</f>
        <v/>
      </c>
      <c r="AC17" s="121">
        <f>SUM(AC10:AC16)</f>
        <v>0</v>
      </c>
      <c r="AD17" s="122"/>
      <c r="AE17" s="120" t="str">
        <f>IF(SUM(AE10:AE16)=0,"",SUM(AE10:AE16))</f>
        <v/>
      </c>
      <c r="AF17" s="121">
        <f>SUM(AF10:AF16)</f>
        <v>0</v>
      </c>
      <c r="AG17" s="122"/>
      <c r="AH17" s="120" t="str">
        <f>IF(SUM(AH10:AH16)=0,"",SUM(AH10:AH16))</f>
        <v/>
      </c>
      <c r="AI17" s="121">
        <f>SUM(AI10:AI16)</f>
        <v>0</v>
      </c>
      <c r="AJ17" s="122"/>
      <c r="AK17" s="120" t="str">
        <f>IF(SUM(AK10:AK16)=0,"",SUM(AK10:AK16))</f>
        <v/>
      </c>
      <c r="AL17" s="121">
        <f>SUM(AL10:AL16)</f>
        <v>0</v>
      </c>
      <c r="AM17" s="122"/>
      <c r="AO17" s="109"/>
      <c r="AP17" s="123" t="s">
        <v>359</v>
      </c>
      <c r="AQ17" s="807">
        <f>SUM(AQ10:AS16)</f>
        <v>0</v>
      </c>
      <c r="AR17" s="808"/>
      <c r="AS17" s="809"/>
      <c r="AT17" s="111"/>
    </row>
    <row r="18" spans="3:46">
      <c r="C18" s="119" t="s">
        <v>360</v>
      </c>
      <c r="D18" s="801" t="str">
        <f>IF(D17="","",D17-E17)</f>
        <v/>
      </c>
      <c r="E18" s="802"/>
      <c r="F18" s="803"/>
      <c r="G18" s="801" t="str">
        <f>IF(G17="","",G17-H17)</f>
        <v/>
      </c>
      <c r="H18" s="802"/>
      <c r="I18" s="803"/>
      <c r="J18" s="801" t="str">
        <f>IF(J17="","",J17-K17)</f>
        <v/>
      </c>
      <c r="K18" s="802"/>
      <c r="L18" s="803"/>
      <c r="M18" s="801" t="str">
        <f>IF(M17="","",M17-N17)</f>
        <v/>
      </c>
      <c r="N18" s="802"/>
      <c r="O18" s="803"/>
      <c r="P18" s="801" t="str">
        <f>IF(P17="","",P17-Q17)</f>
        <v/>
      </c>
      <c r="Q18" s="802"/>
      <c r="R18" s="803"/>
      <c r="S18" s="801" t="str">
        <f>IF(S17="","",S17-T17)</f>
        <v/>
      </c>
      <c r="T18" s="802"/>
      <c r="U18" s="803"/>
      <c r="V18" s="801" t="str">
        <f>IF(V17="","",V17-W17)</f>
        <v/>
      </c>
      <c r="W18" s="802"/>
      <c r="X18" s="803"/>
      <c r="Y18" s="801" t="str">
        <f>IF(Y17="","",Y17-Z17)</f>
        <v/>
      </c>
      <c r="Z18" s="802"/>
      <c r="AA18" s="803"/>
      <c r="AB18" s="801" t="str">
        <f>IF(AB17="","",AB17-AC17)</f>
        <v/>
      </c>
      <c r="AC18" s="802"/>
      <c r="AD18" s="803"/>
      <c r="AE18" s="801" t="str">
        <f>IF(AE17="","",AE17-AF17)</f>
        <v/>
      </c>
      <c r="AF18" s="802"/>
      <c r="AG18" s="803"/>
      <c r="AH18" s="801" t="str">
        <f>IF(AH17="","",AH17-AI17)</f>
        <v/>
      </c>
      <c r="AI18" s="802"/>
      <c r="AJ18" s="803"/>
      <c r="AK18" s="801" t="str">
        <f>IF(AK17="","",AK17-AL17)</f>
        <v/>
      </c>
      <c r="AL18" s="802"/>
      <c r="AM18" s="803"/>
      <c r="AO18" s="109"/>
      <c r="AP18" s="123"/>
      <c r="AQ18" s="124"/>
      <c r="AR18" s="124"/>
      <c r="AS18" s="124"/>
      <c r="AT18" s="111"/>
    </row>
    <row r="19" spans="3:46">
      <c r="C19" s="108"/>
      <c r="D19" s="96"/>
      <c r="E19" s="96"/>
      <c r="F19" s="97"/>
      <c r="G19" s="96"/>
      <c r="H19" s="96"/>
      <c r="I19" s="96"/>
      <c r="J19" s="96"/>
      <c r="K19" s="96"/>
      <c r="L19" s="96"/>
      <c r="M19" s="96"/>
      <c r="N19" s="96"/>
      <c r="O19" s="97"/>
      <c r="P19" s="96"/>
      <c r="Q19" s="96"/>
      <c r="R19" s="96"/>
      <c r="S19" s="96"/>
      <c r="T19" s="96"/>
      <c r="U19" s="96"/>
      <c r="V19" s="96"/>
      <c r="W19" s="96"/>
      <c r="X19" s="97"/>
      <c r="Y19" s="96"/>
      <c r="Z19" s="96"/>
      <c r="AA19" s="96"/>
      <c r="AB19" s="96"/>
      <c r="AC19" s="96"/>
      <c r="AD19" s="96"/>
      <c r="AE19" s="96"/>
      <c r="AF19" s="96"/>
      <c r="AG19" s="97"/>
      <c r="AH19" s="96"/>
      <c r="AI19" s="96"/>
      <c r="AJ19" s="96"/>
      <c r="AK19" s="96"/>
      <c r="AL19" s="96"/>
      <c r="AM19" s="96"/>
      <c r="AO19" s="109"/>
      <c r="AP19" s="110"/>
      <c r="AQ19" s="124"/>
      <c r="AR19" s="124"/>
      <c r="AS19" s="124"/>
      <c r="AT19" s="111"/>
    </row>
    <row r="20" spans="3:46">
      <c r="C20" s="108" t="s">
        <v>361</v>
      </c>
      <c r="D20" s="793">
        <f>Menu!F22</f>
        <v>46174</v>
      </c>
      <c r="E20" s="793"/>
      <c r="F20" s="794"/>
      <c r="G20" s="793">
        <f>32+D20</f>
        <v>46206</v>
      </c>
      <c r="H20" s="793"/>
      <c r="I20" s="794"/>
      <c r="J20" s="793">
        <f t="shared" ref="J20" si="13">32+G20</f>
        <v>46238</v>
      </c>
      <c r="K20" s="793"/>
      <c r="L20" s="794"/>
      <c r="M20" s="793">
        <f t="shared" ref="M20" si="14">32+J20</f>
        <v>46270</v>
      </c>
      <c r="N20" s="793"/>
      <c r="O20" s="794"/>
      <c r="P20" s="793">
        <f t="shared" ref="P20" si="15">32+M20</f>
        <v>46302</v>
      </c>
      <c r="Q20" s="793"/>
      <c r="R20" s="794"/>
      <c r="S20" s="793">
        <f t="shared" ref="S20" si="16">32+P20</f>
        <v>46334</v>
      </c>
      <c r="T20" s="793"/>
      <c r="U20" s="794"/>
      <c r="V20" s="793">
        <f t="shared" ref="V20" si="17">32+S20</f>
        <v>46366</v>
      </c>
      <c r="W20" s="793"/>
      <c r="X20" s="794"/>
      <c r="Y20" s="793">
        <f t="shared" ref="Y20" si="18">32+V20</f>
        <v>46398</v>
      </c>
      <c r="Z20" s="793"/>
      <c r="AA20" s="794"/>
      <c r="AB20" s="793">
        <f t="shared" ref="AB20" si="19">32+Y20</f>
        <v>46430</v>
      </c>
      <c r="AC20" s="793"/>
      <c r="AD20" s="794"/>
      <c r="AE20" s="793">
        <f t="shared" ref="AE20" si="20">32+AB20</f>
        <v>46462</v>
      </c>
      <c r="AF20" s="793"/>
      <c r="AG20" s="794"/>
      <c r="AH20" s="793">
        <f t="shared" ref="AH20" si="21">32+AE20</f>
        <v>46494</v>
      </c>
      <c r="AI20" s="793"/>
      <c r="AJ20" s="794"/>
      <c r="AK20" s="793">
        <f t="shared" ref="AK20" si="22">32+AH20</f>
        <v>46526</v>
      </c>
      <c r="AL20" s="793"/>
      <c r="AM20" s="794"/>
      <c r="AO20" s="109"/>
      <c r="AP20" s="110" t="s">
        <v>361</v>
      </c>
      <c r="AQ20" s="124"/>
      <c r="AR20" s="124"/>
      <c r="AS20" s="124"/>
      <c r="AT20" s="111"/>
    </row>
    <row r="21" spans="3:46">
      <c r="C21" s="108"/>
      <c r="D21" s="113" t="s">
        <v>58</v>
      </c>
      <c r="E21" s="113" t="s">
        <v>59</v>
      </c>
      <c r="F21" s="114"/>
      <c r="G21" s="113" t="s">
        <v>58</v>
      </c>
      <c r="H21" s="113" t="s">
        <v>59</v>
      </c>
      <c r="I21" s="114"/>
      <c r="J21" s="113" t="s">
        <v>58</v>
      </c>
      <c r="K21" s="113" t="s">
        <v>59</v>
      </c>
      <c r="L21" s="114"/>
      <c r="M21" s="113" t="s">
        <v>58</v>
      </c>
      <c r="N21" s="113" t="s">
        <v>59</v>
      </c>
      <c r="O21" s="114"/>
      <c r="P21" s="113" t="s">
        <v>58</v>
      </c>
      <c r="Q21" s="113" t="s">
        <v>59</v>
      </c>
      <c r="R21" s="114"/>
      <c r="S21" s="113" t="s">
        <v>58</v>
      </c>
      <c r="T21" s="113" t="s">
        <v>59</v>
      </c>
      <c r="U21" s="114"/>
      <c r="V21" s="113" t="s">
        <v>58</v>
      </c>
      <c r="W21" s="113" t="s">
        <v>59</v>
      </c>
      <c r="X21" s="114"/>
      <c r="Y21" s="113" t="s">
        <v>58</v>
      </c>
      <c r="Z21" s="113" t="s">
        <v>59</v>
      </c>
      <c r="AA21" s="114"/>
      <c r="AB21" s="113" t="s">
        <v>58</v>
      </c>
      <c r="AC21" s="113" t="s">
        <v>59</v>
      </c>
      <c r="AD21" s="114"/>
      <c r="AE21" s="113" t="s">
        <v>58</v>
      </c>
      <c r="AF21" s="113" t="s">
        <v>59</v>
      </c>
      <c r="AG21" s="114"/>
      <c r="AH21" s="113" t="s">
        <v>58</v>
      </c>
      <c r="AI21" s="113" t="s">
        <v>59</v>
      </c>
      <c r="AJ21" s="114"/>
      <c r="AK21" s="113" t="s">
        <v>58</v>
      </c>
      <c r="AL21" s="113" t="s">
        <v>59</v>
      </c>
      <c r="AM21" s="114"/>
      <c r="AO21" s="109"/>
      <c r="AP21" s="110"/>
      <c r="AQ21" s="124"/>
      <c r="AR21" s="124"/>
      <c r="AS21" s="124"/>
      <c r="AT21" s="111"/>
    </row>
    <row r="22" spans="3:46" ht="14">
      <c r="C22" s="333" t="s">
        <v>362</v>
      </c>
      <c r="D22" s="330"/>
      <c r="E22" s="331"/>
      <c r="F22" s="323"/>
      <c r="G22" s="330"/>
      <c r="H22" s="331"/>
      <c r="I22" s="323"/>
      <c r="J22" s="330"/>
      <c r="K22" s="331"/>
      <c r="L22" s="323"/>
      <c r="M22" s="330"/>
      <c r="N22" s="331"/>
      <c r="O22" s="323"/>
      <c r="P22" s="330"/>
      <c r="Q22" s="331"/>
      <c r="R22" s="323"/>
      <c r="S22" s="330"/>
      <c r="T22" s="331"/>
      <c r="U22" s="323"/>
      <c r="V22" s="330"/>
      <c r="W22" s="331"/>
      <c r="X22" s="323"/>
      <c r="Y22" s="330"/>
      <c r="Z22" s="331"/>
      <c r="AA22" s="323"/>
      <c r="AB22" s="330"/>
      <c r="AC22" s="331"/>
      <c r="AD22" s="323"/>
      <c r="AE22" s="330"/>
      <c r="AF22" s="331"/>
      <c r="AG22" s="323"/>
      <c r="AH22" s="330"/>
      <c r="AI22" s="331"/>
      <c r="AJ22" s="323"/>
      <c r="AK22" s="330"/>
      <c r="AL22" s="331"/>
      <c r="AM22" s="323"/>
      <c r="AO22" s="109"/>
      <c r="AP22" s="118" t="str">
        <f t="shared" ref="AP22:AP33" si="23">C22</f>
        <v>Frais de gérance</v>
      </c>
      <c r="AQ22" s="795">
        <f t="shared" ref="AQ22:AQ33" si="24">SUM(MAX(D22:E22),MAX(G22:H22),MAX(J22:K22),MAX(M22,N22),MAX(P22:Q22),MAX(S22:T22),MAX(V22:W22),MAX(Y22:Z22),MAX(AB22:AC22),MAX(AE22,AF22),MAX(AH22:AI22),MAX(AK22:AL22))</f>
        <v>0</v>
      </c>
      <c r="AR22" s="796"/>
      <c r="AS22" s="797"/>
      <c r="AT22" s="111"/>
    </row>
    <row r="23" spans="3:46" ht="14">
      <c r="C23" s="333" t="s">
        <v>363</v>
      </c>
      <c r="D23" s="330"/>
      <c r="E23" s="331"/>
      <c r="F23" s="323"/>
      <c r="G23" s="330"/>
      <c r="H23" s="331"/>
      <c r="I23" s="323"/>
      <c r="J23" s="330"/>
      <c r="K23" s="331"/>
      <c r="L23" s="323"/>
      <c r="M23" s="330"/>
      <c r="N23" s="331"/>
      <c r="O23" s="323"/>
      <c r="P23" s="330"/>
      <c r="Q23" s="331"/>
      <c r="R23" s="323"/>
      <c r="S23" s="330"/>
      <c r="T23" s="331"/>
      <c r="U23" s="323"/>
      <c r="V23" s="330"/>
      <c r="W23" s="331"/>
      <c r="X23" s="323"/>
      <c r="Y23" s="330"/>
      <c r="Z23" s="331"/>
      <c r="AA23" s="323"/>
      <c r="AB23" s="330"/>
      <c r="AC23" s="331"/>
      <c r="AD23" s="323"/>
      <c r="AE23" s="330"/>
      <c r="AF23" s="331"/>
      <c r="AG23" s="323"/>
      <c r="AH23" s="330"/>
      <c r="AI23" s="331"/>
      <c r="AJ23" s="323"/>
      <c r="AK23" s="330"/>
      <c r="AL23" s="331"/>
      <c r="AM23" s="323"/>
      <c r="AO23" s="109"/>
      <c r="AP23" s="118" t="str">
        <f t="shared" si="23"/>
        <v>Assurances</v>
      </c>
      <c r="AQ23" s="795">
        <f t="shared" si="24"/>
        <v>0</v>
      </c>
      <c r="AR23" s="796"/>
      <c r="AS23" s="797"/>
      <c r="AT23" s="111"/>
    </row>
    <row r="24" spans="3:46" ht="14">
      <c r="C24" s="333" t="s">
        <v>389</v>
      </c>
      <c r="D24" s="330"/>
      <c r="E24" s="331"/>
      <c r="F24" s="323"/>
      <c r="G24" s="330"/>
      <c r="H24" s="331"/>
      <c r="I24" s="323"/>
      <c r="J24" s="330"/>
      <c r="K24" s="331"/>
      <c r="L24" s="323"/>
      <c r="M24" s="330"/>
      <c r="N24" s="331"/>
      <c r="O24" s="323"/>
      <c r="P24" s="330"/>
      <c r="Q24" s="331"/>
      <c r="R24" s="323"/>
      <c r="S24" s="330"/>
      <c r="T24" s="331"/>
      <c r="U24" s="323"/>
      <c r="V24" s="330"/>
      <c r="W24" s="331"/>
      <c r="X24" s="323"/>
      <c r="Y24" s="330"/>
      <c r="Z24" s="331"/>
      <c r="AA24" s="323"/>
      <c r="AB24" s="330"/>
      <c r="AC24" s="331"/>
      <c r="AD24" s="323"/>
      <c r="AE24" s="330"/>
      <c r="AF24" s="331"/>
      <c r="AG24" s="323"/>
      <c r="AH24" s="330"/>
      <c r="AI24" s="331"/>
      <c r="AJ24" s="323"/>
      <c r="AK24" s="330"/>
      <c r="AL24" s="331"/>
      <c r="AM24" s="323"/>
      <c r="AO24" s="109"/>
      <c r="AP24" s="118" t="str">
        <f t="shared" si="23"/>
        <v>Eau</v>
      </c>
      <c r="AQ24" s="795">
        <f t="shared" si="24"/>
        <v>0</v>
      </c>
      <c r="AR24" s="796"/>
      <c r="AS24" s="797"/>
      <c r="AT24" s="111"/>
    </row>
    <row r="25" spans="3:46" ht="14">
      <c r="C25" s="333" t="s">
        <v>480</v>
      </c>
      <c r="D25" s="330"/>
      <c r="E25" s="331"/>
      <c r="F25" s="323"/>
      <c r="G25" s="330"/>
      <c r="H25" s="331"/>
      <c r="I25" s="323"/>
      <c r="J25" s="330"/>
      <c r="K25" s="331"/>
      <c r="L25" s="323"/>
      <c r="M25" s="330"/>
      <c r="N25" s="331"/>
      <c r="O25" s="323"/>
      <c r="P25" s="330"/>
      <c r="Q25" s="331"/>
      <c r="R25" s="323"/>
      <c r="S25" s="330"/>
      <c r="T25" s="331"/>
      <c r="U25" s="323"/>
      <c r="V25" s="330"/>
      <c r="W25" s="331"/>
      <c r="X25" s="323"/>
      <c r="Y25" s="330"/>
      <c r="Z25" s="331"/>
      <c r="AA25" s="323"/>
      <c r="AB25" s="330"/>
      <c r="AC25" s="331"/>
      <c r="AD25" s="323"/>
      <c r="AE25" s="330"/>
      <c r="AF25" s="331"/>
      <c r="AG25" s="323"/>
      <c r="AH25" s="330"/>
      <c r="AI25" s="331"/>
      <c r="AJ25" s="323"/>
      <c r="AK25" s="330"/>
      <c r="AL25" s="331"/>
      <c r="AM25" s="323"/>
      <c r="AO25" s="109"/>
      <c r="AP25" s="118" t="str">
        <f t="shared" si="23"/>
        <v>Electricité/Gaz</v>
      </c>
      <c r="AQ25" s="795">
        <f t="shared" si="24"/>
        <v>0</v>
      </c>
      <c r="AR25" s="796"/>
      <c r="AS25" s="797"/>
      <c r="AT25" s="111"/>
    </row>
    <row r="26" spans="3:46" ht="14">
      <c r="C26" s="333" t="s">
        <v>483</v>
      </c>
      <c r="D26" s="330"/>
      <c r="E26" s="331"/>
      <c r="F26" s="323"/>
      <c r="G26" s="330"/>
      <c r="H26" s="331"/>
      <c r="I26" s="323"/>
      <c r="J26" s="330"/>
      <c r="K26" s="331"/>
      <c r="L26" s="323"/>
      <c r="M26" s="330"/>
      <c r="N26" s="331"/>
      <c r="O26" s="323"/>
      <c r="P26" s="330"/>
      <c r="Q26" s="331"/>
      <c r="R26" s="323"/>
      <c r="S26" s="330"/>
      <c r="T26" s="331"/>
      <c r="U26" s="323"/>
      <c r="V26" s="330"/>
      <c r="W26" s="331"/>
      <c r="X26" s="323"/>
      <c r="Y26" s="330"/>
      <c r="Z26" s="331"/>
      <c r="AA26" s="323"/>
      <c r="AB26" s="330"/>
      <c r="AC26" s="331"/>
      <c r="AD26" s="323"/>
      <c r="AE26" s="330"/>
      <c r="AF26" s="331"/>
      <c r="AG26" s="323"/>
      <c r="AH26" s="330"/>
      <c r="AI26" s="331"/>
      <c r="AJ26" s="323"/>
      <c r="AK26" s="330"/>
      <c r="AL26" s="331"/>
      <c r="AM26" s="323"/>
      <c r="AO26" s="109"/>
      <c r="AP26" s="118" t="str">
        <f t="shared" si="23"/>
        <v>Crédit immobilier principal</v>
      </c>
      <c r="AQ26" s="795">
        <f t="shared" si="24"/>
        <v>0</v>
      </c>
      <c r="AR26" s="796"/>
      <c r="AS26" s="797"/>
      <c r="AT26" s="111"/>
    </row>
    <row r="27" spans="3:46" ht="14">
      <c r="C27" s="333" t="s">
        <v>398</v>
      </c>
      <c r="D27" s="330"/>
      <c r="E27" s="331"/>
      <c r="F27" s="323"/>
      <c r="G27" s="330"/>
      <c r="H27" s="331"/>
      <c r="I27" s="323"/>
      <c r="J27" s="330"/>
      <c r="K27" s="331"/>
      <c r="L27" s="323"/>
      <c r="M27" s="330"/>
      <c r="N27" s="331"/>
      <c r="O27" s="323"/>
      <c r="P27" s="330"/>
      <c r="Q27" s="331"/>
      <c r="R27" s="323"/>
      <c r="S27" s="330"/>
      <c r="T27" s="331"/>
      <c r="U27" s="323"/>
      <c r="V27" s="330"/>
      <c r="W27" s="331"/>
      <c r="X27" s="323"/>
      <c r="Y27" s="330"/>
      <c r="Z27" s="331"/>
      <c r="AA27" s="323"/>
      <c r="AB27" s="330"/>
      <c r="AC27" s="331"/>
      <c r="AD27" s="323"/>
      <c r="AE27" s="330"/>
      <c r="AF27" s="331"/>
      <c r="AG27" s="323"/>
      <c r="AH27" s="330"/>
      <c r="AI27" s="331"/>
      <c r="AJ27" s="323"/>
      <c r="AK27" s="330"/>
      <c r="AL27" s="331"/>
      <c r="AM27" s="323"/>
      <c r="AO27" s="109"/>
      <c r="AP27" s="118" t="str">
        <f t="shared" si="23"/>
        <v>Crédit secondaire</v>
      </c>
      <c r="AQ27" s="795">
        <f t="shared" ref="AQ27" si="25">SUM(MAX(D27:E27),MAX(G27:H27),MAX(J27:K27),MAX(M27,N27),MAX(P27:Q27),MAX(S27:T27),MAX(V27:W27),MAX(Y27:Z27),MAX(AB27:AC27),MAX(AE27,AF27),MAX(AH27:AI27),MAX(AK27:AL27))</f>
        <v>0</v>
      </c>
      <c r="AR27" s="796"/>
      <c r="AS27" s="797"/>
      <c r="AT27" s="111"/>
    </row>
    <row r="28" spans="3:46" ht="14">
      <c r="C28" s="333" t="s">
        <v>365</v>
      </c>
      <c r="D28" s="330"/>
      <c r="E28" s="331"/>
      <c r="F28" s="323"/>
      <c r="G28" s="330"/>
      <c r="H28" s="331"/>
      <c r="I28" s="323"/>
      <c r="J28" s="330"/>
      <c r="K28" s="331"/>
      <c r="L28" s="323"/>
      <c r="M28" s="330"/>
      <c r="N28" s="331"/>
      <c r="O28" s="323"/>
      <c r="P28" s="330"/>
      <c r="Q28" s="331"/>
      <c r="R28" s="323"/>
      <c r="S28" s="330"/>
      <c r="T28" s="331"/>
      <c r="U28" s="323"/>
      <c r="V28" s="330"/>
      <c r="W28" s="331"/>
      <c r="X28" s="323"/>
      <c r="Y28" s="330"/>
      <c r="Z28" s="331"/>
      <c r="AA28" s="323"/>
      <c r="AB28" s="330"/>
      <c r="AC28" s="331"/>
      <c r="AD28" s="323"/>
      <c r="AE28" s="330"/>
      <c r="AF28" s="331"/>
      <c r="AG28" s="323"/>
      <c r="AH28" s="330"/>
      <c r="AI28" s="331"/>
      <c r="AJ28" s="323"/>
      <c r="AK28" s="330"/>
      <c r="AL28" s="331"/>
      <c r="AM28" s="323"/>
      <c r="AO28" s="109"/>
      <c r="AP28" s="118" t="str">
        <f t="shared" si="23"/>
        <v>Frais bancaires</v>
      </c>
      <c r="AQ28" s="795">
        <f t="shared" si="24"/>
        <v>0</v>
      </c>
      <c r="AR28" s="796"/>
      <c r="AS28" s="797"/>
      <c r="AT28" s="111"/>
    </row>
    <row r="29" spans="3:46" ht="14">
      <c r="C29" s="333" t="s">
        <v>366</v>
      </c>
      <c r="D29" s="330"/>
      <c r="E29" s="331"/>
      <c r="F29" s="323"/>
      <c r="G29" s="330"/>
      <c r="H29" s="331"/>
      <c r="I29" s="323"/>
      <c r="J29" s="330"/>
      <c r="K29" s="331"/>
      <c r="L29" s="323"/>
      <c r="M29" s="330"/>
      <c r="N29" s="331"/>
      <c r="O29" s="323"/>
      <c r="P29" s="330"/>
      <c r="Q29" s="331"/>
      <c r="R29" s="323"/>
      <c r="S29" s="330"/>
      <c r="T29" s="331"/>
      <c r="U29" s="323"/>
      <c r="V29" s="330"/>
      <c r="W29" s="331"/>
      <c r="X29" s="323"/>
      <c r="Y29" s="330"/>
      <c r="Z29" s="331"/>
      <c r="AA29" s="323"/>
      <c r="AB29" s="330"/>
      <c r="AC29" s="331"/>
      <c r="AD29" s="323"/>
      <c r="AE29" s="330"/>
      <c r="AF29" s="331"/>
      <c r="AG29" s="323"/>
      <c r="AH29" s="330"/>
      <c r="AI29" s="331"/>
      <c r="AJ29" s="323"/>
      <c r="AK29" s="330"/>
      <c r="AL29" s="331"/>
      <c r="AM29" s="323"/>
      <c r="AO29" s="109"/>
      <c r="AP29" s="118" t="str">
        <f t="shared" si="23"/>
        <v>Taxe foncière</v>
      </c>
      <c r="AQ29" s="795">
        <f t="shared" si="24"/>
        <v>0</v>
      </c>
      <c r="AR29" s="796"/>
      <c r="AS29" s="797"/>
      <c r="AT29" s="111"/>
    </row>
    <row r="30" spans="3:46" ht="14">
      <c r="C30" s="333" t="s">
        <v>367</v>
      </c>
      <c r="D30" s="330"/>
      <c r="E30" s="331"/>
      <c r="F30" s="323"/>
      <c r="G30" s="330"/>
      <c r="H30" s="331"/>
      <c r="I30" s="323"/>
      <c r="J30" s="330"/>
      <c r="K30" s="331"/>
      <c r="L30" s="323"/>
      <c r="M30" s="330"/>
      <c r="N30" s="331"/>
      <c r="O30" s="323"/>
      <c r="P30" s="330"/>
      <c r="Q30" s="331"/>
      <c r="R30" s="323"/>
      <c r="S30" s="330"/>
      <c r="T30" s="331"/>
      <c r="U30" s="323"/>
      <c r="V30" s="330"/>
      <c r="W30" s="331"/>
      <c r="X30" s="323"/>
      <c r="Y30" s="330"/>
      <c r="Z30" s="331"/>
      <c r="AA30" s="323"/>
      <c r="AB30" s="330"/>
      <c r="AC30" s="331"/>
      <c r="AD30" s="323"/>
      <c r="AE30" s="330"/>
      <c r="AF30" s="331"/>
      <c r="AG30" s="323"/>
      <c r="AH30" s="330"/>
      <c r="AI30" s="331"/>
      <c r="AJ30" s="323"/>
      <c r="AK30" s="330"/>
      <c r="AL30" s="331"/>
      <c r="AM30" s="323"/>
      <c r="AO30" s="109"/>
      <c r="AP30" s="118" t="str">
        <f t="shared" si="23"/>
        <v>Divers (travaux etc.)</v>
      </c>
      <c r="AQ30" s="795">
        <f t="shared" si="24"/>
        <v>0</v>
      </c>
      <c r="AR30" s="796"/>
      <c r="AS30" s="797"/>
      <c r="AT30" s="111"/>
    </row>
    <row r="31" spans="3:46" ht="14">
      <c r="C31" s="333" t="s">
        <v>482</v>
      </c>
      <c r="D31" s="330"/>
      <c r="E31" s="331"/>
      <c r="F31" s="323"/>
      <c r="G31" s="330"/>
      <c r="H31" s="331"/>
      <c r="I31" s="323"/>
      <c r="J31" s="330"/>
      <c r="K31" s="331"/>
      <c r="L31" s="323"/>
      <c r="M31" s="330"/>
      <c r="N31" s="331"/>
      <c r="O31" s="323"/>
      <c r="P31" s="330"/>
      <c r="Q31" s="331"/>
      <c r="R31" s="323"/>
      <c r="S31" s="330"/>
      <c r="T31" s="331"/>
      <c r="U31" s="323"/>
      <c r="V31" s="330"/>
      <c r="W31" s="331"/>
      <c r="X31" s="323"/>
      <c r="Y31" s="330"/>
      <c r="Z31" s="331"/>
      <c r="AA31" s="323"/>
      <c r="AB31" s="330"/>
      <c r="AC31" s="331"/>
      <c r="AD31" s="323"/>
      <c r="AE31" s="330"/>
      <c r="AF31" s="331"/>
      <c r="AG31" s="323"/>
      <c r="AH31" s="330"/>
      <c r="AI31" s="331"/>
      <c r="AJ31" s="323"/>
      <c r="AK31" s="330"/>
      <c r="AL31" s="331"/>
      <c r="AM31" s="323"/>
      <c r="AO31" s="109"/>
      <c r="AP31" s="118" t="str">
        <f t="shared" si="23"/>
        <v>Entretien / Nettoyage</v>
      </c>
      <c r="AQ31" s="795">
        <f t="shared" si="24"/>
        <v>0</v>
      </c>
      <c r="AR31" s="796"/>
      <c r="AS31" s="797"/>
      <c r="AT31" s="111"/>
    </row>
    <row r="32" spans="3:46" ht="14">
      <c r="C32" s="333" t="s">
        <v>369</v>
      </c>
      <c r="D32" s="330"/>
      <c r="E32" s="331"/>
      <c r="F32" s="323"/>
      <c r="G32" s="330"/>
      <c r="H32" s="331"/>
      <c r="I32" s="323"/>
      <c r="J32" s="330"/>
      <c r="K32" s="331"/>
      <c r="L32" s="323"/>
      <c r="M32" s="330"/>
      <c r="N32" s="331"/>
      <c r="O32" s="323"/>
      <c r="P32" s="330"/>
      <c r="Q32" s="331"/>
      <c r="R32" s="323"/>
      <c r="S32" s="330"/>
      <c r="T32" s="331"/>
      <c r="U32" s="323"/>
      <c r="V32" s="330"/>
      <c r="W32" s="331"/>
      <c r="X32" s="323"/>
      <c r="Y32" s="330"/>
      <c r="Z32" s="331"/>
      <c r="AA32" s="323"/>
      <c r="AB32" s="330"/>
      <c r="AC32" s="331"/>
      <c r="AD32" s="323"/>
      <c r="AE32" s="330"/>
      <c r="AF32" s="331"/>
      <c r="AG32" s="323"/>
      <c r="AH32" s="330"/>
      <c r="AI32" s="331"/>
      <c r="AJ32" s="323"/>
      <c r="AK32" s="330"/>
      <c r="AL32" s="331"/>
      <c r="AM32" s="323"/>
      <c r="AO32" s="109"/>
      <c r="AP32" s="118" t="str">
        <f t="shared" si="23"/>
        <v>Retraits ponctuels</v>
      </c>
      <c r="AQ32" s="795">
        <f t="shared" si="24"/>
        <v>0</v>
      </c>
      <c r="AR32" s="796"/>
      <c r="AS32" s="797"/>
      <c r="AT32" s="111"/>
    </row>
    <row r="33" spans="1:46" ht="14">
      <c r="C33" s="333" t="s">
        <v>38</v>
      </c>
      <c r="D33" s="330"/>
      <c r="E33" s="331"/>
      <c r="F33" s="323"/>
      <c r="G33" s="330"/>
      <c r="H33" s="331"/>
      <c r="I33" s="323"/>
      <c r="J33" s="330"/>
      <c r="K33" s="331"/>
      <c r="L33" s="323"/>
      <c r="M33" s="330"/>
      <c r="N33" s="331"/>
      <c r="O33" s="323"/>
      <c r="P33" s="330"/>
      <c r="Q33" s="331"/>
      <c r="R33" s="323"/>
      <c r="S33" s="330"/>
      <c r="T33" s="331"/>
      <c r="U33" s="323"/>
      <c r="V33" s="330"/>
      <c r="W33" s="331"/>
      <c r="X33" s="323"/>
      <c r="Y33" s="330"/>
      <c r="Z33" s="331"/>
      <c r="AA33" s="323"/>
      <c r="AB33" s="330"/>
      <c r="AC33" s="331"/>
      <c r="AD33" s="323"/>
      <c r="AE33" s="330"/>
      <c r="AF33" s="331"/>
      <c r="AG33" s="323"/>
      <c r="AH33" s="330"/>
      <c r="AI33" s="331"/>
      <c r="AJ33" s="323"/>
      <c r="AK33" s="330"/>
      <c r="AL33" s="331"/>
      <c r="AM33" s="323"/>
      <c r="AO33" s="109"/>
      <c r="AP33" s="118" t="str">
        <f t="shared" si="23"/>
        <v>Autres</v>
      </c>
      <c r="AQ33" s="795">
        <f t="shared" si="24"/>
        <v>0</v>
      </c>
      <c r="AR33" s="796"/>
      <c r="AS33" s="797"/>
      <c r="AT33" s="111"/>
    </row>
    <row r="34" spans="1:46" ht="17">
      <c r="C34" s="119" t="s">
        <v>370</v>
      </c>
      <c r="D34" s="125" t="str">
        <f>IF(SUM(D22:D33)=0,"",SUM(D22:D33))</f>
        <v/>
      </c>
      <c r="E34" s="126">
        <f>SUM(E22:E33)</f>
        <v>0</v>
      </c>
      <c r="F34" s="127"/>
      <c r="G34" s="125" t="str">
        <f>IF(SUM(G22:G33)=0,"",SUM(G22:G33))</f>
        <v/>
      </c>
      <c r="H34" s="126">
        <f>SUM(H22:H33)</f>
        <v>0</v>
      </c>
      <c r="I34" s="127"/>
      <c r="J34" s="125" t="str">
        <f>IF(SUM(J22:J33)=0,"",SUM(J22:J33))</f>
        <v/>
      </c>
      <c r="K34" s="126">
        <f>SUM(K22:K33)</f>
        <v>0</v>
      </c>
      <c r="L34" s="127"/>
      <c r="M34" s="125" t="str">
        <f>IF(SUM(M22:M33)=0,"",SUM(M22:M33))</f>
        <v/>
      </c>
      <c r="N34" s="126">
        <f>SUM(N22:N33)</f>
        <v>0</v>
      </c>
      <c r="O34" s="127"/>
      <c r="P34" s="125" t="str">
        <f>IF(SUM(P22:P33)=0,"",SUM(P22:P33))</f>
        <v/>
      </c>
      <c r="Q34" s="126">
        <f>SUM(Q22:Q33)</f>
        <v>0</v>
      </c>
      <c r="R34" s="127"/>
      <c r="S34" s="125" t="str">
        <f>IF(SUM(S22:S33)=0,"",SUM(S22:S33))</f>
        <v/>
      </c>
      <c r="T34" s="126">
        <f>SUM(T22:T33)</f>
        <v>0</v>
      </c>
      <c r="U34" s="127"/>
      <c r="V34" s="125" t="str">
        <f>IF(SUM(V22:V33)=0,"",SUM(V22:V33))</f>
        <v/>
      </c>
      <c r="W34" s="126">
        <f>SUM(W22:W33)</f>
        <v>0</v>
      </c>
      <c r="X34" s="127"/>
      <c r="Y34" s="125" t="str">
        <f>IF(SUM(Y22:Y33)=0,"",SUM(Y22:Y33))</f>
        <v/>
      </c>
      <c r="Z34" s="126">
        <f>SUM(Z22:Z33)</f>
        <v>0</v>
      </c>
      <c r="AA34" s="127"/>
      <c r="AB34" s="125" t="str">
        <f>IF(SUM(AB22:AB33)=0,"",SUM(AB22:AB33))</f>
        <v/>
      </c>
      <c r="AC34" s="126">
        <f>SUM(AC22:AC33)</f>
        <v>0</v>
      </c>
      <c r="AD34" s="127"/>
      <c r="AE34" s="125" t="str">
        <f>IF(SUM(AE22:AE33)=0,"",SUM(AE22:AE33))</f>
        <v/>
      </c>
      <c r="AF34" s="126">
        <f>SUM(AF22:AF33)</f>
        <v>0</v>
      </c>
      <c r="AG34" s="127"/>
      <c r="AH34" s="125" t="str">
        <f>IF(SUM(AH22:AH33)=0,"",SUM(AH22:AH33))</f>
        <v/>
      </c>
      <c r="AI34" s="126">
        <f>SUM(AI22:AI33)</f>
        <v>0</v>
      </c>
      <c r="AJ34" s="127"/>
      <c r="AK34" s="125" t="str">
        <f>IF(SUM(AK22:AK33)=0,"",SUM(AK22:AK33))</f>
        <v/>
      </c>
      <c r="AL34" s="126">
        <f>SUM(AL22:AL33)</f>
        <v>0</v>
      </c>
      <c r="AM34" s="127"/>
      <c r="AO34" s="109"/>
      <c r="AP34" s="123" t="s">
        <v>371</v>
      </c>
      <c r="AQ34" s="804">
        <f>SUM(AQ22:AS33)</f>
        <v>0</v>
      </c>
      <c r="AR34" s="805"/>
      <c r="AS34" s="806"/>
      <c r="AT34" s="111"/>
    </row>
    <row r="35" spans="1:46">
      <c r="C35" s="119" t="s">
        <v>360</v>
      </c>
      <c r="D35" s="798" t="str">
        <f>IF(D34="","",E34-D34)</f>
        <v/>
      </c>
      <c r="E35" s="799"/>
      <c r="F35" s="800"/>
      <c r="G35" s="798" t="str">
        <f>IF(G34="","",H34-G34)</f>
        <v/>
      </c>
      <c r="H35" s="799"/>
      <c r="I35" s="800"/>
      <c r="J35" s="798" t="str">
        <f>IF(J34="","",K34-J34)</f>
        <v/>
      </c>
      <c r="K35" s="799"/>
      <c r="L35" s="800"/>
      <c r="M35" s="798" t="str">
        <f>IF(M34="","",N34-M34)</f>
        <v/>
      </c>
      <c r="N35" s="799"/>
      <c r="O35" s="800"/>
      <c r="P35" s="798" t="str">
        <f>IF(P34="","",Q34-P34)</f>
        <v/>
      </c>
      <c r="Q35" s="799"/>
      <c r="R35" s="800"/>
      <c r="S35" s="798" t="str">
        <f>IF(S34="","",T34-S34)</f>
        <v/>
      </c>
      <c r="T35" s="799"/>
      <c r="U35" s="800"/>
      <c r="V35" s="798" t="str">
        <f>IF(V34="","",W34-V34)</f>
        <v/>
      </c>
      <c r="W35" s="799"/>
      <c r="X35" s="800"/>
      <c r="Y35" s="798" t="str">
        <f>IF(Y34="","",Z34-Y34)</f>
        <v/>
      </c>
      <c r="Z35" s="799"/>
      <c r="AA35" s="800"/>
      <c r="AB35" s="798" t="str">
        <f>IF(AB34="","",AC34-AB34)</f>
        <v/>
      </c>
      <c r="AC35" s="799"/>
      <c r="AD35" s="800"/>
      <c r="AE35" s="798" t="str">
        <f>IF(AE34="","",AF34-AE34)</f>
        <v/>
      </c>
      <c r="AF35" s="799"/>
      <c r="AG35" s="800"/>
      <c r="AH35" s="798" t="str">
        <f>IF(AH34="","",AI34-AH34)</f>
        <v/>
      </c>
      <c r="AI35" s="799"/>
      <c r="AJ35" s="800"/>
      <c r="AK35" s="798" t="str">
        <f>IF(AK34="","",AL34-AK34)</f>
        <v/>
      </c>
      <c r="AL35" s="799"/>
      <c r="AM35" s="800"/>
      <c r="AO35" s="109"/>
      <c r="AP35" s="123"/>
      <c r="AQ35" s="124"/>
      <c r="AR35" s="124"/>
      <c r="AS35" s="124"/>
      <c r="AT35" s="111"/>
    </row>
    <row r="36" spans="1:46">
      <c r="C36" s="96"/>
      <c r="D36" s="96"/>
      <c r="E36" s="96"/>
      <c r="F36" s="97"/>
      <c r="G36" s="96"/>
      <c r="H36" s="96"/>
      <c r="I36" s="96"/>
      <c r="J36" s="96"/>
      <c r="K36" s="96"/>
      <c r="L36" s="96"/>
      <c r="M36" s="96"/>
      <c r="N36" s="96"/>
      <c r="O36" s="97"/>
      <c r="P36" s="96"/>
      <c r="Q36" s="96"/>
      <c r="R36" s="96"/>
      <c r="S36" s="96"/>
      <c r="T36" s="96"/>
      <c r="U36" s="96"/>
      <c r="V36" s="96"/>
      <c r="W36" s="96"/>
      <c r="X36" s="97"/>
      <c r="Y36" s="96"/>
      <c r="Z36" s="96"/>
      <c r="AA36" s="96"/>
      <c r="AB36" s="96"/>
      <c r="AC36" s="96"/>
      <c r="AD36" s="96"/>
      <c r="AE36" s="96"/>
      <c r="AF36" s="96"/>
      <c r="AG36" s="97"/>
      <c r="AH36" s="96"/>
      <c r="AI36" s="96"/>
      <c r="AJ36" s="96"/>
      <c r="AK36" s="96"/>
      <c r="AL36" s="96"/>
      <c r="AM36" s="96"/>
      <c r="AO36" s="109"/>
      <c r="AP36" s="124"/>
      <c r="AQ36" s="124"/>
      <c r="AR36" s="124"/>
      <c r="AS36" s="124"/>
      <c r="AT36" s="111"/>
    </row>
    <row r="37" spans="1:46">
      <c r="C37" s="108"/>
      <c r="D37" s="793">
        <f>Menu!F22</f>
        <v>46174</v>
      </c>
      <c r="E37" s="793"/>
      <c r="F37" s="794"/>
      <c r="G37" s="793">
        <f t="shared" ref="G37" si="26">D37+32</f>
        <v>46206</v>
      </c>
      <c r="H37" s="793"/>
      <c r="I37" s="794"/>
      <c r="J37" s="793">
        <f t="shared" ref="J37" si="27">G37+32</f>
        <v>46238</v>
      </c>
      <c r="K37" s="793"/>
      <c r="L37" s="794"/>
      <c r="M37" s="793">
        <f t="shared" ref="M37" si="28">J37+32</f>
        <v>46270</v>
      </c>
      <c r="N37" s="793"/>
      <c r="O37" s="794"/>
      <c r="P37" s="793">
        <f t="shared" ref="P37" si="29">M37+32</f>
        <v>46302</v>
      </c>
      <c r="Q37" s="793"/>
      <c r="R37" s="794"/>
      <c r="S37" s="793">
        <f t="shared" ref="S37" si="30">P37+32</f>
        <v>46334</v>
      </c>
      <c r="T37" s="793"/>
      <c r="U37" s="794"/>
      <c r="V37" s="793">
        <f t="shared" ref="V37" si="31">S37+32</f>
        <v>46366</v>
      </c>
      <c r="W37" s="793"/>
      <c r="X37" s="794"/>
      <c r="Y37" s="793">
        <f t="shared" ref="Y37" si="32">V37+32</f>
        <v>46398</v>
      </c>
      <c r="Z37" s="793"/>
      <c r="AA37" s="794"/>
      <c r="AB37" s="793">
        <f t="shared" ref="AB37" si="33">Y37+32</f>
        <v>46430</v>
      </c>
      <c r="AC37" s="793"/>
      <c r="AD37" s="794"/>
      <c r="AE37" s="793">
        <f t="shared" ref="AE37" si="34">AB37+32</f>
        <v>46462</v>
      </c>
      <c r="AF37" s="793"/>
      <c r="AG37" s="794"/>
      <c r="AH37" s="793">
        <f t="shared" ref="AH37" si="35">AE37+32</f>
        <v>46494</v>
      </c>
      <c r="AI37" s="793"/>
      <c r="AJ37" s="794"/>
      <c r="AK37" s="793">
        <f t="shared" ref="AK37" si="36">AH37+32</f>
        <v>46526</v>
      </c>
      <c r="AL37" s="793"/>
      <c r="AM37" s="794"/>
      <c r="AO37" s="109"/>
      <c r="AP37" s="110"/>
      <c r="AQ37" s="124"/>
      <c r="AR37" s="124"/>
      <c r="AS37" s="124"/>
      <c r="AT37" s="111"/>
    </row>
    <row r="38" spans="1:46">
      <c r="C38" s="96"/>
      <c r="D38" s="113" t="s">
        <v>58</v>
      </c>
      <c r="E38" s="113" t="s">
        <v>59</v>
      </c>
      <c r="F38" s="114"/>
      <c r="G38" s="113" t="s">
        <v>58</v>
      </c>
      <c r="H38" s="113" t="s">
        <v>59</v>
      </c>
      <c r="I38" s="114"/>
      <c r="J38" s="113" t="s">
        <v>58</v>
      </c>
      <c r="K38" s="113" t="s">
        <v>59</v>
      </c>
      <c r="L38" s="114"/>
      <c r="M38" s="113" t="s">
        <v>58</v>
      </c>
      <c r="N38" s="113" t="s">
        <v>59</v>
      </c>
      <c r="O38" s="114"/>
      <c r="P38" s="113" t="s">
        <v>58</v>
      </c>
      <c r="Q38" s="113" t="s">
        <v>59</v>
      </c>
      <c r="R38" s="114"/>
      <c r="S38" s="113" t="s">
        <v>58</v>
      </c>
      <c r="T38" s="113" t="s">
        <v>59</v>
      </c>
      <c r="U38" s="114"/>
      <c r="V38" s="113" t="s">
        <v>58</v>
      </c>
      <c r="W38" s="113" t="s">
        <v>59</v>
      </c>
      <c r="X38" s="114"/>
      <c r="Y38" s="113" t="s">
        <v>58</v>
      </c>
      <c r="Z38" s="113" t="s">
        <v>59</v>
      </c>
      <c r="AA38" s="114"/>
      <c r="AB38" s="113" t="s">
        <v>58</v>
      </c>
      <c r="AC38" s="113" t="s">
        <v>59</v>
      </c>
      <c r="AD38" s="114"/>
      <c r="AE38" s="113" t="s">
        <v>58</v>
      </c>
      <c r="AF38" s="113" t="s">
        <v>59</v>
      </c>
      <c r="AG38" s="114"/>
      <c r="AH38" s="113" t="s">
        <v>58</v>
      </c>
      <c r="AI38" s="113" t="s">
        <v>59</v>
      </c>
      <c r="AJ38" s="114"/>
      <c r="AK38" s="113" t="s">
        <v>58</v>
      </c>
      <c r="AL38" s="113" t="s">
        <v>59</v>
      </c>
      <c r="AM38" s="114"/>
      <c r="AO38" s="109"/>
      <c r="AP38" s="124"/>
      <c r="AQ38" s="124"/>
      <c r="AR38" s="124"/>
      <c r="AS38" s="124"/>
      <c r="AT38" s="111"/>
    </row>
    <row r="39" spans="1:46" ht="17">
      <c r="C39" s="128" t="s">
        <v>372</v>
      </c>
      <c r="D39" s="129" t="str">
        <f>IF(OR(D17="",D34=""),"",D17-D34)</f>
        <v/>
      </c>
      <c r="E39" s="130">
        <f>E17-E34</f>
        <v>0</v>
      </c>
      <c r="F39" s="131"/>
      <c r="G39" s="129" t="str">
        <f>IF(OR(G17="",G34=""),"",G17-G34)</f>
        <v/>
      </c>
      <c r="H39" s="130">
        <f>H17-H34</f>
        <v>0</v>
      </c>
      <c r="I39" s="131"/>
      <c r="J39" s="129" t="str">
        <f>IF(OR(J17="",J34=""),"",J17-J34)</f>
        <v/>
      </c>
      <c r="K39" s="130">
        <f>K17-K34</f>
        <v>0</v>
      </c>
      <c r="L39" s="131"/>
      <c r="M39" s="129" t="str">
        <f>IF(OR(M17="",M34=""),"",M17-M34)</f>
        <v/>
      </c>
      <c r="N39" s="130">
        <f>N17-N34</f>
        <v>0</v>
      </c>
      <c r="O39" s="131"/>
      <c r="P39" s="129" t="str">
        <f>IF(OR(P17="",P34=""),"",P17-P34)</f>
        <v/>
      </c>
      <c r="Q39" s="130">
        <f>Q17-Q34</f>
        <v>0</v>
      </c>
      <c r="R39" s="131"/>
      <c r="S39" s="129" t="str">
        <f>IF(OR(S17="",S34=""),"",S17-S34)</f>
        <v/>
      </c>
      <c r="T39" s="130">
        <f>T17-T34</f>
        <v>0</v>
      </c>
      <c r="U39" s="131"/>
      <c r="V39" s="129" t="str">
        <f>IF(OR(V17="",V34=""),"",V17-V34)</f>
        <v/>
      </c>
      <c r="W39" s="130">
        <f>W17-W34</f>
        <v>0</v>
      </c>
      <c r="X39" s="131"/>
      <c r="Y39" s="129" t="str">
        <f>IF(OR(Y17="",Y34=""),"",Y17-Y34)</f>
        <v/>
      </c>
      <c r="Z39" s="130">
        <f>Z17-Z34</f>
        <v>0</v>
      </c>
      <c r="AA39" s="131"/>
      <c r="AB39" s="129" t="str">
        <f>IF(OR(AB17="",AB34=""),"",AB17-AB34)</f>
        <v/>
      </c>
      <c r="AC39" s="130">
        <f>AC17-AC34</f>
        <v>0</v>
      </c>
      <c r="AD39" s="131"/>
      <c r="AE39" s="129" t="str">
        <f>IF(OR(AE17="",AE34=""),"",AE17-AE34)</f>
        <v/>
      </c>
      <c r="AF39" s="130">
        <f>AF17-AF34</f>
        <v>0</v>
      </c>
      <c r="AG39" s="131"/>
      <c r="AH39" s="129" t="str">
        <f>IF(OR(AH17="",AH34=""),"",AH17-AH34)</f>
        <v/>
      </c>
      <c r="AI39" s="130">
        <f>AI17-AI34</f>
        <v>0</v>
      </c>
      <c r="AJ39" s="131"/>
      <c r="AK39" s="129" t="str">
        <f>IF(OR(AK17="",AK34=""),"",AK17-AK34)</f>
        <v/>
      </c>
      <c r="AL39" s="130">
        <f>AL17-AL34</f>
        <v>0</v>
      </c>
      <c r="AM39" s="131"/>
      <c r="AO39" s="109"/>
      <c r="AP39" s="132" t="s">
        <v>373</v>
      </c>
      <c r="AQ39" s="787">
        <f>AQ17-AQ34</f>
        <v>0</v>
      </c>
      <c r="AR39" s="788"/>
      <c r="AS39" s="789"/>
      <c r="AT39" s="111"/>
    </row>
    <row r="40" spans="1:46">
      <c r="C40" s="96"/>
      <c r="D40" s="96"/>
      <c r="E40" s="96"/>
      <c r="F40" s="97"/>
      <c r="G40" s="96"/>
      <c r="H40" s="96"/>
      <c r="I40" s="96"/>
      <c r="J40" s="96"/>
      <c r="K40" s="96"/>
      <c r="L40" s="96"/>
      <c r="M40" s="96"/>
      <c r="N40" s="96"/>
      <c r="O40" s="97"/>
      <c r="P40" s="96"/>
      <c r="Q40" s="96"/>
      <c r="R40" s="96"/>
      <c r="S40" s="96"/>
      <c r="T40" s="96"/>
      <c r="U40" s="96"/>
      <c r="V40" s="96"/>
      <c r="W40" s="96"/>
      <c r="X40" s="97"/>
      <c r="Y40" s="96"/>
      <c r="Z40" s="96"/>
      <c r="AA40" s="96"/>
      <c r="AB40" s="96"/>
      <c r="AC40" s="96"/>
      <c r="AD40" s="96"/>
      <c r="AE40" s="96"/>
      <c r="AF40" s="96"/>
      <c r="AG40" s="97"/>
      <c r="AH40" s="96"/>
      <c r="AI40" s="96"/>
      <c r="AJ40" s="96"/>
      <c r="AK40" s="96"/>
      <c r="AL40" s="96"/>
      <c r="AM40" s="96"/>
      <c r="AO40" s="109"/>
      <c r="AP40" s="124"/>
      <c r="AQ40" s="124"/>
      <c r="AR40" s="124"/>
      <c r="AS40" s="124"/>
      <c r="AT40" s="111"/>
    </row>
    <row r="41" spans="1:46">
      <c r="A41" s="133"/>
      <c r="C41" s="96"/>
      <c r="D41" s="96"/>
      <c r="E41" s="96"/>
      <c r="F41" s="97"/>
      <c r="G41" s="96"/>
      <c r="H41" s="96"/>
      <c r="I41" s="96"/>
      <c r="J41" s="96"/>
      <c r="K41" s="96"/>
      <c r="L41" s="96"/>
      <c r="M41" s="96"/>
      <c r="N41" s="96"/>
      <c r="O41" s="97"/>
      <c r="P41" s="96"/>
      <c r="Q41" s="96"/>
      <c r="R41" s="96"/>
      <c r="S41" s="96"/>
      <c r="T41" s="96"/>
      <c r="U41" s="96"/>
      <c r="V41" s="96"/>
      <c r="W41" s="96"/>
      <c r="X41" s="97"/>
      <c r="Y41" s="96"/>
      <c r="Z41" s="96"/>
      <c r="AA41" s="96"/>
      <c r="AB41" s="96"/>
      <c r="AC41" s="96"/>
      <c r="AD41" s="96"/>
      <c r="AE41" s="96"/>
      <c r="AF41" s="96"/>
      <c r="AG41" s="97"/>
      <c r="AH41" s="96"/>
      <c r="AI41" s="96"/>
      <c r="AJ41" s="96"/>
      <c r="AK41" s="96"/>
      <c r="AL41" s="96"/>
      <c r="AM41" s="96"/>
      <c r="AO41" s="109"/>
      <c r="AP41" s="124"/>
      <c r="AQ41" s="124"/>
      <c r="AR41" s="124"/>
      <c r="AS41" s="124"/>
      <c r="AT41" s="111"/>
    </row>
    <row r="42" spans="1:46" ht="17">
      <c r="A42" s="134" t="s">
        <v>390</v>
      </c>
      <c r="C42" s="135" t="s">
        <v>404</v>
      </c>
      <c r="D42" s="790">
        <f>A43+E39</f>
        <v>0</v>
      </c>
      <c r="E42" s="791"/>
      <c r="F42" s="792"/>
      <c r="G42" s="790">
        <f>D42+H39</f>
        <v>0</v>
      </c>
      <c r="H42" s="791"/>
      <c r="I42" s="792"/>
      <c r="J42" s="790">
        <f>G42+K39</f>
        <v>0</v>
      </c>
      <c r="K42" s="791"/>
      <c r="L42" s="792"/>
      <c r="M42" s="790">
        <f>J42+N39</f>
        <v>0</v>
      </c>
      <c r="N42" s="791"/>
      <c r="O42" s="792"/>
      <c r="P42" s="790">
        <f>M42+Q39</f>
        <v>0</v>
      </c>
      <c r="Q42" s="791"/>
      <c r="R42" s="792"/>
      <c r="S42" s="790">
        <f>P42+T39</f>
        <v>0</v>
      </c>
      <c r="T42" s="791"/>
      <c r="U42" s="792"/>
      <c r="V42" s="790">
        <f>S42+W39</f>
        <v>0</v>
      </c>
      <c r="W42" s="791"/>
      <c r="X42" s="792"/>
      <c r="Y42" s="790">
        <f>V42+Z39</f>
        <v>0</v>
      </c>
      <c r="Z42" s="791"/>
      <c r="AA42" s="792"/>
      <c r="AB42" s="790">
        <f>Y42+AC39</f>
        <v>0</v>
      </c>
      <c r="AC42" s="791"/>
      <c r="AD42" s="792"/>
      <c r="AE42" s="790">
        <f>AB42+AF39</f>
        <v>0</v>
      </c>
      <c r="AF42" s="791"/>
      <c r="AG42" s="792"/>
      <c r="AH42" s="790">
        <f>AE42+AI39</f>
        <v>0</v>
      </c>
      <c r="AI42" s="791"/>
      <c r="AJ42" s="792"/>
      <c r="AK42" s="790">
        <f>AH42+AL39</f>
        <v>0</v>
      </c>
      <c r="AL42" s="791"/>
      <c r="AM42" s="792"/>
      <c r="AO42" s="109"/>
      <c r="AP42" s="136" t="s">
        <v>374</v>
      </c>
      <c r="AQ42" s="787">
        <f>AK42</f>
        <v>0</v>
      </c>
      <c r="AR42" s="788"/>
      <c r="AS42" s="789"/>
      <c r="AT42" s="111"/>
    </row>
    <row r="43" spans="1:46" ht="14" thickBot="1">
      <c r="A43" s="152">
        <v>0</v>
      </c>
      <c r="C43" s="96"/>
      <c r="D43" s="96"/>
      <c r="E43" s="96"/>
      <c r="F43" s="97"/>
      <c r="G43" s="96"/>
      <c r="H43" s="96"/>
      <c r="I43" s="96"/>
      <c r="J43" s="96"/>
      <c r="K43" s="96"/>
      <c r="L43" s="96"/>
      <c r="M43" s="96"/>
      <c r="N43" s="96"/>
      <c r="O43" s="97"/>
      <c r="P43" s="96"/>
      <c r="Q43" s="96"/>
      <c r="R43" s="96"/>
      <c r="S43" s="96"/>
      <c r="T43" s="96"/>
      <c r="U43" s="96"/>
      <c r="V43" s="96"/>
      <c r="W43" s="96"/>
      <c r="X43" s="97"/>
      <c r="Y43" s="96"/>
      <c r="Z43" s="96"/>
      <c r="AA43" s="96"/>
      <c r="AB43" s="96"/>
      <c r="AC43" s="96"/>
      <c r="AD43" s="96"/>
      <c r="AE43" s="96"/>
      <c r="AF43" s="96"/>
      <c r="AG43" s="97"/>
      <c r="AH43" s="96"/>
      <c r="AI43" s="96"/>
      <c r="AJ43" s="96"/>
      <c r="AK43" s="96"/>
      <c r="AL43" s="96"/>
      <c r="AM43" s="96"/>
      <c r="AO43" s="137"/>
      <c r="AP43" s="138"/>
      <c r="AQ43" s="138"/>
      <c r="AR43" s="138"/>
      <c r="AS43" s="138"/>
      <c r="AT43" s="139"/>
    </row>
    <row r="44" spans="1:46">
      <c r="C44" s="96"/>
      <c r="D44" s="96"/>
      <c r="E44" s="96"/>
      <c r="F44" s="97"/>
      <c r="G44" s="96"/>
      <c r="H44" s="96"/>
      <c r="I44" s="96"/>
      <c r="J44" s="96"/>
      <c r="K44" s="96"/>
      <c r="L44" s="96"/>
      <c r="M44" s="96"/>
      <c r="N44" s="96"/>
      <c r="O44" s="97"/>
      <c r="P44" s="96"/>
      <c r="Q44" s="96"/>
      <c r="R44" s="96"/>
      <c r="S44" s="96"/>
      <c r="T44" s="96"/>
      <c r="U44" s="96"/>
      <c r="V44" s="96"/>
      <c r="W44" s="96"/>
      <c r="X44" s="97"/>
      <c r="Y44" s="96"/>
      <c r="Z44" s="96"/>
      <c r="AA44" s="96"/>
      <c r="AB44" s="96"/>
      <c r="AC44" s="96"/>
      <c r="AD44" s="96"/>
      <c r="AE44" s="96"/>
      <c r="AF44" s="96"/>
      <c r="AG44" s="97"/>
      <c r="AH44" s="96"/>
      <c r="AI44" s="96"/>
      <c r="AJ44" s="96"/>
      <c r="AK44" s="96"/>
      <c r="AL44" s="96"/>
      <c r="AM44" s="96"/>
      <c r="AP44" s="96"/>
      <c r="AQ44" s="96"/>
      <c r="AR44" s="96"/>
      <c r="AS44" s="96"/>
    </row>
    <row r="45" spans="1:46">
      <c r="C45" s="140" t="s">
        <v>375</v>
      </c>
      <c r="D45" s="96"/>
      <c r="E45" s="96"/>
      <c r="F45" s="97"/>
      <c r="G45" s="96"/>
      <c r="H45" s="96"/>
      <c r="I45" s="96"/>
      <c r="J45" s="96"/>
      <c r="K45" s="96"/>
      <c r="L45" s="96"/>
      <c r="M45" s="96"/>
      <c r="N45" s="96"/>
      <c r="O45" s="97"/>
      <c r="P45" s="96"/>
      <c r="Q45" s="96"/>
      <c r="R45" s="96"/>
      <c r="S45" s="96"/>
      <c r="T45" s="96"/>
      <c r="U45" s="96"/>
      <c r="V45" s="96"/>
      <c r="W45" s="96"/>
      <c r="X45" s="97"/>
      <c r="Y45" s="96"/>
      <c r="Z45" s="96"/>
      <c r="AA45" s="96"/>
      <c r="AB45" s="96"/>
      <c r="AC45" s="96"/>
      <c r="AD45" s="96"/>
      <c r="AE45" s="96"/>
      <c r="AF45" s="96"/>
      <c r="AG45" s="97"/>
      <c r="AH45" s="96"/>
      <c r="AI45" s="96"/>
      <c r="AJ45" s="96"/>
      <c r="AK45" s="96"/>
      <c r="AL45" s="96"/>
      <c r="AM45" s="96"/>
      <c r="AP45" s="140"/>
      <c r="AQ45" s="96"/>
      <c r="AR45" s="96"/>
      <c r="AS45" s="96"/>
    </row>
    <row r="46" spans="1:46">
      <c r="C46" s="108"/>
      <c r="D46" s="141"/>
      <c r="E46" s="141"/>
      <c r="F46" s="142"/>
      <c r="G46" s="141"/>
      <c r="H46" s="141"/>
      <c r="I46" s="141"/>
      <c r="J46" s="141"/>
      <c r="K46" s="141"/>
      <c r="L46" s="141"/>
      <c r="M46" s="141"/>
      <c r="N46" s="141"/>
      <c r="O46" s="142"/>
      <c r="P46" s="96"/>
      <c r="Q46" s="96"/>
      <c r="R46" s="96"/>
      <c r="S46" s="96"/>
      <c r="T46" s="96"/>
      <c r="U46" s="96"/>
      <c r="V46" s="96"/>
      <c r="W46" s="96"/>
      <c r="X46" s="97"/>
      <c r="Y46" s="96"/>
      <c r="Z46" s="96"/>
      <c r="AA46" s="96"/>
      <c r="AB46" s="96"/>
      <c r="AC46" s="96"/>
      <c r="AD46" s="96"/>
      <c r="AE46" s="96"/>
      <c r="AF46" s="96"/>
      <c r="AG46" s="97"/>
      <c r="AH46" s="96"/>
      <c r="AI46" s="96"/>
      <c r="AJ46" s="96"/>
      <c r="AK46" s="96"/>
      <c r="AL46" s="96"/>
      <c r="AM46" s="96"/>
      <c r="AP46" s="108"/>
      <c r="AQ46" s="96"/>
      <c r="AR46" s="96"/>
      <c r="AS46" s="96"/>
    </row>
    <row r="47" spans="1:46">
      <c r="C47" s="143" t="s">
        <v>383</v>
      </c>
      <c r="D47" s="141"/>
      <c r="E47" s="141"/>
      <c r="F47" s="142"/>
      <c r="G47" s="141"/>
      <c r="H47" s="141"/>
      <c r="I47" s="96"/>
      <c r="J47" s="96"/>
      <c r="K47" s="96"/>
      <c r="L47" s="96"/>
      <c r="M47" s="96"/>
      <c r="N47" s="96"/>
      <c r="O47" s="97"/>
      <c r="P47" s="96"/>
      <c r="Q47" s="96"/>
      <c r="R47" s="96"/>
      <c r="S47" s="96"/>
      <c r="T47" s="96"/>
      <c r="U47" s="96"/>
      <c r="V47" s="96"/>
      <c r="W47" s="96"/>
      <c r="X47" s="97"/>
      <c r="Y47" s="96"/>
      <c r="Z47" s="96"/>
      <c r="AA47" s="96"/>
      <c r="AB47" s="96"/>
      <c r="AC47" s="96"/>
      <c r="AD47" s="96"/>
      <c r="AE47" s="96"/>
      <c r="AF47" s="96"/>
      <c r="AG47" s="97"/>
      <c r="AH47" s="96"/>
      <c r="AI47" s="96"/>
      <c r="AJ47" s="96"/>
      <c r="AK47" s="96"/>
      <c r="AL47" s="96"/>
      <c r="AM47" s="96"/>
      <c r="AP47" s="143"/>
      <c r="AQ47" s="96"/>
      <c r="AR47" s="96"/>
      <c r="AS47" s="96"/>
    </row>
    <row r="48" spans="1:46">
      <c r="C48" s="144" t="s">
        <v>0</v>
      </c>
      <c r="D48" s="784"/>
      <c r="E48" s="785"/>
      <c r="F48" s="785"/>
      <c r="G48" s="785"/>
      <c r="H48" s="785"/>
      <c r="I48" s="302"/>
      <c r="J48" s="784"/>
      <c r="K48" s="785"/>
      <c r="L48" s="785"/>
      <c r="M48" s="785"/>
      <c r="N48" s="785"/>
      <c r="O48" s="97"/>
      <c r="P48" s="96"/>
      <c r="Q48" s="96"/>
      <c r="R48" s="96"/>
      <c r="S48" s="96"/>
      <c r="T48" s="96"/>
      <c r="U48" s="96"/>
      <c r="V48" s="96"/>
      <c r="W48" s="96"/>
      <c r="X48" s="97"/>
      <c r="Y48" s="96"/>
      <c r="Z48" s="96"/>
      <c r="AA48" s="96"/>
      <c r="AB48" s="96"/>
      <c r="AC48" s="96"/>
      <c r="AD48" s="96"/>
      <c r="AE48" s="96"/>
      <c r="AF48" s="96"/>
      <c r="AG48" s="97"/>
      <c r="AH48" s="96"/>
      <c r="AI48" s="96"/>
      <c r="AJ48" s="96"/>
      <c r="AK48" s="96"/>
      <c r="AL48" s="96"/>
      <c r="AM48" s="96"/>
      <c r="AP48" s="96"/>
      <c r="AQ48" s="96"/>
      <c r="AR48" s="96"/>
      <c r="AS48" s="96"/>
    </row>
    <row r="49" spans="3:45">
      <c r="C49" s="144" t="s">
        <v>384</v>
      </c>
      <c r="D49" s="784"/>
      <c r="E49" s="785"/>
      <c r="F49" s="785"/>
      <c r="G49" s="785"/>
      <c r="H49" s="785"/>
      <c r="I49" s="303"/>
      <c r="J49" s="784"/>
      <c r="K49" s="785"/>
      <c r="L49" s="785"/>
      <c r="M49" s="785"/>
      <c r="N49" s="785"/>
      <c r="O49" s="97"/>
      <c r="P49" s="96"/>
      <c r="Q49" s="96"/>
      <c r="R49" s="96"/>
      <c r="S49" s="96"/>
      <c r="T49" s="96"/>
      <c r="U49" s="96"/>
      <c r="V49" s="96"/>
      <c r="W49" s="96"/>
      <c r="X49" s="97"/>
      <c r="Y49" s="96"/>
      <c r="Z49" s="96"/>
      <c r="AA49" s="96"/>
      <c r="AB49" s="96"/>
      <c r="AC49" s="96"/>
      <c r="AD49" s="96"/>
      <c r="AE49" s="96"/>
      <c r="AF49" s="96"/>
      <c r="AG49" s="97"/>
      <c r="AH49" s="96"/>
      <c r="AI49" s="96"/>
      <c r="AJ49" s="96"/>
      <c r="AK49" s="96"/>
      <c r="AL49" s="96"/>
      <c r="AM49" s="96"/>
      <c r="AP49" s="96"/>
      <c r="AQ49" s="96"/>
      <c r="AR49" s="96"/>
      <c r="AS49" s="96"/>
    </row>
    <row r="50" spans="3:45">
      <c r="C50" s="144" t="s">
        <v>385</v>
      </c>
      <c r="D50" s="784"/>
      <c r="E50" s="785"/>
      <c r="F50" s="785"/>
      <c r="G50" s="785"/>
      <c r="H50" s="785"/>
      <c r="I50" s="302"/>
      <c r="J50" s="784"/>
      <c r="K50" s="785"/>
      <c r="L50" s="785"/>
      <c r="M50" s="785"/>
      <c r="N50" s="785"/>
      <c r="O50" s="97"/>
      <c r="P50" s="96"/>
      <c r="Q50" s="96"/>
      <c r="R50" s="96"/>
      <c r="S50" s="96"/>
      <c r="T50" s="96"/>
      <c r="U50" s="96"/>
      <c r="V50" s="96"/>
      <c r="W50" s="96"/>
      <c r="X50" s="97"/>
      <c r="Y50" s="96"/>
      <c r="Z50" s="96"/>
      <c r="AA50" s="96"/>
      <c r="AB50" s="96"/>
      <c r="AC50" s="96"/>
      <c r="AD50" s="96"/>
      <c r="AE50" s="96"/>
      <c r="AF50" s="96"/>
      <c r="AG50" s="97"/>
      <c r="AH50" s="96"/>
      <c r="AI50" s="96"/>
      <c r="AJ50" s="96"/>
      <c r="AK50" s="96"/>
      <c r="AL50" s="96"/>
      <c r="AM50" s="96"/>
      <c r="AP50" s="96"/>
      <c r="AQ50" s="96"/>
      <c r="AR50" s="96"/>
      <c r="AS50" s="96"/>
    </row>
    <row r="51" spans="3:45">
      <c r="C51" s="144" t="s">
        <v>386</v>
      </c>
      <c r="D51" s="786"/>
      <c r="E51" s="785"/>
      <c r="F51" s="785"/>
      <c r="G51" s="785"/>
      <c r="H51" s="785"/>
      <c r="I51" s="302"/>
      <c r="J51" s="786"/>
      <c r="K51" s="785"/>
      <c r="L51" s="785"/>
      <c r="M51" s="785"/>
      <c r="N51" s="785"/>
      <c r="O51" s="97"/>
      <c r="P51" s="96"/>
      <c r="Q51" s="96"/>
      <c r="R51" s="96"/>
      <c r="S51" s="96"/>
      <c r="T51" s="96"/>
      <c r="U51" s="96"/>
      <c r="V51" s="96"/>
      <c r="W51" s="96"/>
      <c r="X51" s="97"/>
      <c r="Y51" s="96"/>
      <c r="Z51" s="96"/>
      <c r="AA51" s="96"/>
      <c r="AB51" s="96"/>
      <c r="AC51" s="96"/>
      <c r="AD51" s="96"/>
      <c r="AE51" s="96"/>
      <c r="AF51" s="96"/>
      <c r="AG51" s="97"/>
      <c r="AH51" s="96"/>
      <c r="AI51" s="96"/>
      <c r="AJ51" s="96"/>
      <c r="AK51" s="96"/>
      <c r="AL51" s="96"/>
      <c r="AM51" s="96"/>
      <c r="AP51" s="96"/>
      <c r="AQ51" s="96"/>
      <c r="AR51" s="96"/>
      <c r="AS51" s="96"/>
    </row>
    <row r="52" spans="3:45" ht="34.5" customHeight="1">
      <c r="C52" s="145" t="s">
        <v>387</v>
      </c>
      <c r="D52" s="781"/>
      <c r="E52" s="782"/>
      <c r="F52" s="782"/>
      <c r="G52" s="782"/>
      <c r="H52" s="782"/>
      <c r="I52" s="302"/>
      <c r="J52" s="781"/>
      <c r="K52" s="782"/>
      <c r="L52" s="782"/>
      <c r="M52" s="782"/>
      <c r="N52" s="782"/>
      <c r="O52" s="97"/>
      <c r="P52" s="96"/>
      <c r="Q52" s="96"/>
      <c r="R52" s="96"/>
      <c r="S52" s="96"/>
      <c r="T52" s="96"/>
      <c r="U52" s="96"/>
      <c r="V52" s="96"/>
      <c r="W52" s="96"/>
      <c r="X52" s="97"/>
      <c r="Y52" s="96"/>
      <c r="Z52" s="96"/>
      <c r="AA52" s="96"/>
      <c r="AB52" s="96"/>
      <c r="AC52" s="96"/>
      <c r="AD52" s="96"/>
      <c r="AE52" s="96"/>
      <c r="AF52" s="96"/>
      <c r="AG52" s="97"/>
      <c r="AH52" s="96"/>
      <c r="AI52" s="96"/>
      <c r="AJ52" s="96"/>
      <c r="AK52" s="96"/>
      <c r="AL52" s="96"/>
      <c r="AM52" s="96"/>
      <c r="AP52" s="96"/>
      <c r="AQ52" s="96"/>
      <c r="AR52" s="96"/>
      <c r="AS52" s="96"/>
    </row>
    <row r="53" spans="3:45">
      <c r="C53" s="146"/>
      <c r="D53" s="302"/>
      <c r="E53" s="302"/>
      <c r="F53" s="304"/>
      <c r="G53" s="302"/>
      <c r="H53" s="302"/>
      <c r="I53" s="302"/>
      <c r="J53" s="302"/>
      <c r="K53" s="302"/>
      <c r="L53" s="302"/>
      <c r="M53" s="302"/>
      <c r="N53" s="302"/>
      <c r="O53" s="97"/>
      <c r="P53" s="96"/>
      <c r="Q53" s="96"/>
      <c r="R53" s="96"/>
      <c r="S53" s="96"/>
      <c r="T53" s="96"/>
      <c r="U53" s="96"/>
      <c r="V53" s="96"/>
      <c r="W53" s="96"/>
      <c r="X53" s="97"/>
      <c r="Y53" s="96"/>
      <c r="Z53" s="96"/>
      <c r="AA53" s="96"/>
      <c r="AB53" s="96"/>
      <c r="AC53" s="96"/>
      <c r="AD53" s="96"/>
      <c r="AE53" s="96"/>
      <c r="AF53" s="96"/>
      <c r="AG53" s="97"/>
      <c r="AH53" s="96"/>
      <c r="AI53" s="96"/>
      <c r="AJ53" s="96"/>
      <c r="AK53" s="96"/>
      <c r="AL53" s="96"/>
      <c r="AM53" s="96"/>
      <c r="AP53" s="96"/>
      <c r="AQ53" s="96"/>
      <c r="AR53" s="96"/>
      <c r="AS53" s="96"/>
    </row>
    <row r="54" spans="3:45">
      <c r="C54" s="143" t="s">
        <v>376</v>
      </c>
      <c r="D54" s="302"/>
      <c r="E54" s="302"/>
      <c r="F54" s="304"/>
      <c r="G54" s="302"/>
      <c r="H54" s="302"/>
      <c r="I54" s="153"/>
      <c r="J54" s="153"/>
      <c r="K54" s="153"/>
      <c r="L54" s="153"/>
      <c r="M54" s="153"/>
      <c r="N54" s="153"/>
      <c r="O54" s="147"/>
      <c r="P54" s="96"/>
      <c r="Q54" s="96"/>
      <c r="R54" s="96"/>
      <c r="S54" s="96"/>
      <c r="T54" s="96"/>
      <c r="U54" s="96"/>
      <c r="V54" s="96"/>
      <c r="W54" s="96"/>
      <c r="X54" s="97"/>
      <c r="Y54" s="96"/>
      <c r="Z54" s="96"/>
      <c r="AA54" s="96"/>
      <c r="AB54" s="96"/>
      <c r="AC54" s="96"/>
      <c r="AD54" s="96"/>
      <c r="AE54" s="96"/>
      <c r="AF54" s="96"/>
      <c r="AG54" s="97"/>
      <c r="AH54" s="96"/>
      <c r="AI54" s="96"/>
      <c r="AJ54" s="96"/>
      <c r="AK54" s="96"/>
      <c r="AL54" s="96"/>
      <c r="AM54" s="96"/>
      <c r="AP54" s="143"/>
      <c r="AQ54" s="96"/>
      <c r="AR54" s="96"/>
      <c r="AS54" s="96"/>
    </row>
    <row r="55" spans="3:45">
      <c r="C55" s="144" t="s">
        <v>399</v>
      </c>
      <c r="D55" s="305"/>
      <c r="E55" s="305"/>
      <c r="F55" s="306"/>
      <c r="G55" s="305"/>
      <c r="H55" s="305"/>
      <c r="I55" s="153"/>
      <c r="J55" s="305"/>
      <c r="K55" s="305"/>
      <c r="L55" s="306"/>
      <c r="M55" s="305"/>
      <c r="N55" s="305"/>
      <c r="O55" s="147"/>
      <c r="P55" s="96"/>
      <c r="Q55" s="96"/>
      <c r="R55" s="96"/>
      <c r="S55" s="96"/>
      <c r="T55" s="96"/>
      <c r="U55" s="96"/>
      <c r="V55" s="96"/>
      <c r="W55" s="96"/>
      <c r="X55" s="97"/>
      <c r="Y55" s="96"/>
      <c r="Z55" s="96"/>
      <c r="AA55" s="96"/>
      <c r="AB55" s="96"/>
      <c r="AC55" s="96"/>
      <c r="AD55" s="96"/>
      <c r="AE55" s="96"/>
      <c r="AF55" s="96"/>
      <c r="AG55" s="97"/>
      <c r="AH55" s="96"/>
      <c r="AI55" s="96"/>
      <c r="AJ55" s="96"/>
      <c r="AK55" s="96"/>
      <c r="AL55" s="96"/>
      <c r="AM55" s="96"/>
      <c r="AP55" s="143"/>
      <c r="AQ55" s="96"/>
      <c r="AR55" s="96"/>
      <c r="AS55" s="96"/>
    </row>
    <row r="56" spans="3:45">
      <c r="C56" s="144" t="s">
        <v>380</v>
      </c>
      <c r="D56" s="305"/>
      <c r="E56" s="305"/>
      <c r="F56" s="306"/>
      <c r="G56" s="305"/>
      <c r="H56" s="305"/>
      <c r="I56" s="153"/>
      <c r="J56" s="305"/>
      <c r="K56" s="305"/>
      <c r="L56" s="306"/>
      <c r="M56" s="305"/>
      <c r="N56" s="305"/>
      <c r="O56" s="141"/>
      <c r="P56" s="96"/>
      <c r="Q56" s="96"/>
      <c r="R56" s="96"/>
      <c r="S56" s="96"/>
      <c r="T56" s="96"/>
      <c r="U56" s="96"/>
      <c r="V56" s="96"/>
      <c r="W56" s="96"/>
      <c r="X56" s="97"/>
      <c r="Y56" s="96"/>
      <c r="Z56" s="96"/>
      <c r="AA56" s="96"/>
      <c r="AB56" s="96"/>
      <c r="AC56" s="96"/>
      <c r="AD56" s="96"/>
      <c r="AE56" s="96"/>
      <c r="AF56" s="96"/>
      <c r="AG56" s="97"/>
      <c r="AH56" s="96"/>
      <c r="AI56" s="96"/>
      <c r="AJ56" s="96"/>
      <c r="AK56" s="96"/>
      <c r="AL56" s="96"/>
      <c r="AM56" s="96"/>
      <c r="AP56" s="143"/>
      <c r="AQ56" s="96"/>
      <c r="AR56" s="96"/>
      <c r="AS56" s="96"/>
    </row>
    <row r="57" spans="3:45">
      <c r="C57" s="144" t="s">
        <v>385</v>
      </c>
      <c r="D57" s="305"/>
      <c r="E57" s="305"/>
      <c r="F57" s="306"/>
      <c r="G57" s="305"/>
      <c r="H57" s="305"/>
      <c r="I57" s="153"/>
      <c r="J57" s="305"/>
      <c r="K57" s="305"/>
      <c r="L57" s="306"/>
      <c r="M57" s="305"/>
      <c r="N57" s="305"/>
      <c r="O57" s="141"/>
      <c r="P57" s="96"/>
      <c r="Q57" s="96"/>
      <c r="R57" s="96"/>
      <c r="S57" s="96"/>
      <c r="T57" s="96"/>
      <c r="U57" s="96"/>
      <c r="V57" s="96"/>
      <c r="W57" s="96"/>
      <c r="X57" s="97"/>
      <c r="Y57" s="96"/>
      <c r="Z57" s="96"/>
      <c r="AA57" s="96"/>
      <c r="AB57" s="96"/>
      <c r="AC57" s="96"/>
      <c r="AD57" s="96"/>
      <c r="AE57" s="96"/>
      <c r="AF57" s="96"/>
      <c r="AG57" s="97"/>
      <c r="AH57" s="96"/>
      <c r="AI57" s="96"/>
      <c r="AJ57" s="96"/>
      <c r="AK57" s="96"/>
      <c r="AL57" s="96"/>
      <c r="AM57" s="96"/>
      <c r="AP57" s="143"/>
      <c r="AQ57" s="96"/>
      <c r="AR57" s="96"/>
      <c r="AS57" s="96"/>
    </row>
    <row r="58" spans="3:45">
      <c r="C58" s="144" t="s">
        <v>386</v>
      </c>
      <c r="D58" s="305"/>
      <c r="E58" s="305"/>
      <c r="F58" s="306"/>
      <c r="G58" s="305"/>
      <c r="H58" s="305"/>
      <c r="I58" s="153"/>
      <c r="J58" s="305"/>
      <c r="K58" s="305"/>
      <c r="L58" s="306"/>
      <c r="M58" s="305"/>
      <c r="N58" s="305"/>
      <c r="O58" s="142"/>
      <c r="P58" s="96"/>
      <c r="Q58" s="96"/>
      <c r="R58" s="96"/>
      <c r="S58" s="96"/>
      <c r="T58" s="96"/>
      <c r="U58" s="96"/>
      <c r="V58" s="96"/>
      <c r="W58" s="96"/>
      <c r="X58" s="97"/>
      <c r="Y58" s="96"/>
      <c r="Z58" s="96"/>
      <c r="AA58" s="96"/>
      <c r="AB58" s="96"/>
      <c r="AC58" s="96"/>
      <c r="AD58" s="96"/>
      <c r="AE58" s="96"/>
      <c r="AF58" s="96"/>
      <c r="AG58" s="97"/>
      <c r="AH58" s="96"/>
      <c r="AI58" s="96"/>
      <c r="AJ58" s="96"/>
      <c r="AK58" s="96"/>
      <c r="AL58" s="96"/>
      <c r="AM58" s="96"/>
      <c r="AP58" s="143"/>
      <c r="AQ58" s="96"/>
      <c r="AR58" s="96"/>
      <c r="AS58" s="96"/>
    </row>
    <row r="59" spans="3:45">
      <c r="C59" s="144" t="s">
        <v>381</v>
      </c>
      <c r="D59" s="305"/>
      <c r="E59" s="305"/>
      <c r="F59" s="306"/>
      <c r="G59" s="305"/>
      <c r="H59" s="305"/>
      <c r="I59" s="153"/>
      <c r="J59" s="305"/>
      <c r="K59" s="305"/>
      <c r="L59" s="306"/>
      <c r="M59" s="305"/>
      <c r="N59" s="305"/>
      <c r="O59" s="142"/>
      <c r="P59" s="96"/>
      <c r="Q59" s="96"/>
      <c r="R59" s="96"/>
      <c r="S59" s="96"/>
      <c r="T59" s="96"/>
      <c r="U59" s="96"/>
      <c r="V59" s="96"/>
      <c r="W59" s="96"/>
      <c r="X59" s="97"/>
      <c r="Y59" s="96"/>
      <c r="Z59" s="96"/>
      <c r="AA59" s="96"/>
      <c r="AB59" s="96"/>
      <c r="AC59" s="96"/>
      <c r="AD59" s="96"/>
      <c r="AE59" s="96"/>
      <c r="AF59" s="96"/>
      <c r="AG59" s="97"/>
      <c r="AH59" s="96"/>
      <c r="AI59" s="96"/>
      <c r="AJ59" s="96"/>
      <c r="AK59" s="96"/>
      <c r="AL59" s="96"/>
      <c r="AM59" s="96"/>
      <c r="AP59" s="143"/>
      <c r="AQ59" s="96"/>
      <c r="AR59" s="96"/>
      <c r="AS59" s="96"/>
    </row>
    <row r="60" spans="3:45" ht="34.5" customHeight="1">
      <c r="C60" s="145" t="s">
        <v>387</v>
      </c>
      <c r="D60" s="781"/>
      <c r="E60" s="782"/>
      <c r="F60" s="782"/>
      <c r="G60" s="782"/>
      <c r="H60" s="782"/>
      <c r="I60" s="302"/>
      <c r="J60" s="781"/>
      <c r="K60" s="782"/>
      <c r="L60" s="782"/>
      <c r="M60" s="782"/>
      <c r="N60" s="782"/>
      <c r="O60" s="97"/>
      <c r="P60" s="96"/>
      <c r="Q60" s="96"/>
      <c r="R60" s="96"/>
      <c r="S60" s="96"/>
      <c r="T60" s="96"/>
      <c r="U60" s="96"/>
      <c r="V60" s="96"/>
      <c r="W60" s="96"/>
      <c r="X60" s="97"/>
      <c r="Y60" s="96"/>
      <c r="Z60" s="96"/>
      <c r="AA60" s="96"/>
      <c r="AB60" s="96"/>
      <c r="AC60" s="96"/>
      <c r="AD60" s="96"/>
      <c r="AE60" s="96"/>
      <c r="AF60" s="96"/>
      <c r="AG60" s="97"/>
      <c r="AH60" s="96"/>
      <c r="AI60" s="96"/>
      <c r="AJ60" s="96"/>
      <c r="AK60" s="96"/>
      <c r="AL60" s="96"/>
      <c r="AM60" s="96"/>
      <c r="AP60" s="96"/>
      <c r="AQ60" s="96"/>
      <c r="AR60" s="96"/>
      <c r="AS60" s="96"/>
    </row>
    <row r="61" spans="3:45">
      <c r="C61" s="146"/>
      <c r="D61" s="302"/>
      <c r="E61" s="302"/>
      <c r="F61" s="304"/>
      <c r="G61" s="302"/>
      <c r="H61" s="302"/>
      <c r="I61" s="153"/>
      <c r="J61" s="302"/>
      <c r="K61" s="302"/>
      <c r="L61" s="304"/>
      <c r="M61" s="302"/>
      <c r="N61" s="302"/>
      <c r="O61" s="142"/>
      <c r="P61" s="96"/>
      <c r="Q61" s="96"/>
      <c r="R61" s="96"/>
      <c r="S61" s="96"/>
      <c r="T61" s="96"/>
      <c r="U61" s="96"/>
      <c r="V61" s="96"/>
      <c r="W61" s="96"/>
      <c r="X61" s="97"/>
      <c r="Y61" s="96"/>
      <c r="Z61" s="96"/>
      <c r="AA61" s="96"/>
      <c r="AB61" s="96"/>
      <c r="AC61" s="96"/>
      <c r="AD61" s="96"/>
      <c r="AE61" s="96"/>
      <c r="AF61" s="96"/>
      <c r="AG61" s="97"/>
      <c r="AH61" s="96"/>
      <c r="AI61" s="96"/>
      <c r="AJ61" s="96"/>
      <c r="AK61" s="96"/>
      <c r="AL61" s="96"/>
      <c r="AM61" s="96"/>
      <c r="AP61" s="143"/>
      <c r="AQ61" s="96"/>
      <c r="AR61" s="96"/>
      <c r="AS61" s="96"/>
    </row>
    <row r="62" spans="3:45">
      <c r="C62" s="143" t="s">
        <v>382</v>
      </c>
      <c r="D62" s="302"/>
      <c r="E62" s="302"/>
      <c r="F62" s="304"/>
      <c r="G62" s="302"/>
      <c r="H62" s="302"/>
      <c r="I62" s="153"/>
      <c r="J62" s="302"/>
      <c r="K62" s="302"/>
      <c r="L62" s="304"/>
      <c r="M62" s="302"/>
      <c r="N62" s="302"/>
      <c r="O62" s="147"/>
      <c r="P62" s="96"/>
      <c r="Q62" s="96"/>
      <c r="R62" s="96"/>
      <c r="S62" s="96"/>
      <c r="T62" s="96"/>
      <c r="U62" s="96"/>
      <c r="V62" s="96"/>
      <c r="W62" s="96"/>
      <c r="X62" s="97"/>
      <c r="Y62" s="96"/>
      <c r="Z62" s="96"/>
      <c r="AA62" s="96"/>
      <c r="AB62" s="96"/>
      <c r="AC62" s="96"/>
      <c r="AD62" s="96"/>
      <c r="AE62" s="96"/>
      <c r="AF62" s="96"/>
      <c r="AG62" s="97"/>
      <c r="AH62" s="96"/>
      <c r="AI62" s="96"/>
      <c r="AJ62" s="96"/>
      <c r="AK62" s="96"/>
      <c r="AL62" s="96"/>
      <c r="AM62" s="96"/>
      <c r="AP62" s="143"/>
      <c r="AQ62" s="96"/>
      <c r="AR62" s="96"/>
      <c r="AS62" s="96"/>
    </row>
    <row r="63" spans="3:45">
      <c r="C63" s="144" t="s">
        <v>399</v>
      </c>
      <c r="D63" s="305"/>
      <c r="E63" s="305"/>
      <c r="F63" s="306"/>
      <c r="G63" s="305"/>
      <c r="H63" s="305"/>
      <c r="I63" s="153"/>
      <c r="J63" s="305"/>
      <c r="K63" s="305"/>
      <c r="L63" s="306"/>
      <c r="M63" s="305"/>
      <c r="N63" s="305"/>
      <c r="O63" s="147"/>
      <c r="P63" s="96"/>
      <c r="Q63" s="96"/>
      <c r="R63" s="96"/>
      <c r="S63" s="96"/>
      <c r="T63" s="96"/>
      <c r="U63" s="96"/>
      <c r="V63" s="96"/>
      <c r="W63" s="96"/>
      <c r="X63" s="97"/>
      <c r="Y63" s="96"/>
      <c r="Z63" s="96"/>
      <c r="AA63" s="96"/>
      <c r="AB63" s="96"/>
      <c r="AC63" s="96"/>
      <c r="AD63" s="96"/>
      <c r="AE63" s="96"/>
      <c r="AF63" s="96"/>
      <c r="AG63" s="97"/>
      <c r="AH63" s="96"/>
      <c r="AI63" s="96"/>
      <c r="AJ63" s="96"/>
      <c r="AK63" s="96"/>
      <c r="AL63" s="96"/>
      <c r="AM63" s="96"/>
      <c r="AP63" s="143"/>
      <c r="AQ63" s="96"/>
      <c r="AR63" s="96"/>
      <c r="AS63" s="96"/>
    </row>
    <row r="64" spans="3:45">
      <c r="C64" s="144" t="s">
        <v>380</v>
      </c>
      <c r="D64" s="305"/>
      <c r="E64" s="305"/>
      <c r="F64" s="306"/>
      <c r="G64" s="305"/>
      <c r="H64" s="305"/>
      <c r="I64" s="153"/>
      <c r="J64" s="305"/>
      <c r="K64" s="305"/>
      <c r="L64" s="306"/>
      <c r="M64" s="305"/>
      <c r="N64" s="305"/>
      <c r="O64" s="141"/>
      <c r="P64" s="96"/>
      <c r="Q64" s="96"/>
      <c r="R64" s="96"/>
      <c r="S64" s="96"/>
      <c r="T64" s="96"/>
      <c r="U64" s="96"/>
      <c r="V64" s="96"/>
      <c r="W64" s="96"/>
      <c r="X64" s="97"/>
      <c r="Y64" s="96"/>
      <c r="Z64" s="96"/>
      <c r="AA64" s="96"/>
      <c r="AB64" s="96"/>
      <c r="AC64" s="96"/>
      <c r="AD64" s="96"/>
      <c r="AE64" s="96"/>
      <c r="AF64" s="96"/>
      <c r="AG64" s="97"/>
      <c r="AH64" s="96"/>
      <c r="AI64" s="96"/>
      <c r="AJ64" s="96"/>
      <c r="AK64" s="96"/>
      <c r="AL64" s="96"/>
      <c r="AM64" s="96"/>
      <c r="AP64" s="143"/>
      <c r="AQ64" s="96"/>
      <c r="AR64" s="96"/>
      <c r="AS64" s="96"/>
    </row>
    <row r="65" spans="3:45">
      <c r="C65" s="144" t="s">
        <v>385</v>
      </c>
      <c r="D65" s="305"/>
      <c r="E65" s="305"/>
      <c r="F65" s="306"/>
      <c r="G65" s="305"/>
      <c r="H65" s="305"/>
      <c r="I65" s="153"/>
      <c r="J65" s="305"/>
      <c r="K65" s="305"/>
      <c r="L65" s="306"/>
      <c r="M65" s="305"/>
      <c r="N65" s="305"/>
      <c r="O65" s="141"/>
      <c r="P65" s="96"/>
      <c r="Q65" s="96"/>
      <c r="R65" s="96"/>
      <c r="S65" s="96"/>
      <c r="T65" s="96"/>
      <c r="U65" s="96"/>
      <c r="V65" s="96"/>
      <c r="W65" s="96"/>
      <c r="X65" s="97"/>
      <c r="Y65" s="96"/>
      <c r="Z65" s="96"/>
      <c r="AA65" s="96"/>
      <c r="AB65" s="96"/>
      <c r="AC65" s="96"/>
      <c r="AD65" s="96"/>
      <c r="AE65" s="96"/>
      <c r="AF65" s="96"/>
      <c r="AG65" s="97"/>
      <c r="AH65" s="96"/>
      <c r="AI65" s="96"/>
      <c r="AJ65" s="96"/>
      <c r="AK65" s="96"/>
      <c r="AL65" s="96"/>
      <c r="AM65" s="96"/>
      <c r="AP65" s="143"/>
      <c r="AQ65" s="96"/>
      <c r="AR65" s="96"/>
      <c r="AS65" s="96"/>
    </row>
    <row r="66" spans="3:45">
      <c r="C66" s="144" t="s">
        <v>386</v>
      </c>
      <c r="D66" s="305"/>
      <c r="E66" s="305"/>
      <c r="F66" s="306"/>
      <c r="G66" s="305"/>
      <c r="H66" s="305"/>
      <c r="I66" s="153"/>
      <c r="J66" s="305"/>
      <c r="K66" s="305"/>
      <c r="L66" s="306"/>
      <c r="M66" s="305"/>
      <c r="N66" s="305"/>
      <c r="O66" s="142"/>
      <c r="P66" s="96"/>
      <c r="Q66" s="96"/>
      <c r="R66" s="96"/>
      <c r="S66" s="96"/>
      <c r="T66" s="96"/>
      <c r="U66" s="96"/>
      <c r="V66" s="96"/>
      <c r="W66" s="96"/>
      <c r="X66" s="97"/>
      <c r="Y66" s="96"/>
      <c r="Z66" s="96"/>
      <c r="AA66" s="96"/>
      <c r="AB66" s="96"/>
      <c r="AC66" s="96"/>
      <c r="AD66" s="96"/>
      <c r="AE66" s="96"/>
      <c r="AF66" s="96"/>
      <c r="AG66" s="97"/>
      <c r="AH66" s="96"/>
      <c r="AI66" s="96"/>
      <c r="AJ66" s="96"/>
      <c r="AK66" s="96"/>
      <c r="AL66" s="96"/>
      <c r="AM66" s="96"/>
      <c r="AP66" s="143"/>
      <c r="AQ66" s="96"/>
      <c r="AR66" s="96"/>
      <c r="AS66" s="96"/>
    </row>
    <row r="67" spans="3:45">
      <c r="C67" s="144" t="s">
        <v>381</v>
      </c>
      <c r="D67" s="305"/>
      <c r="E67" s="305"/>
      <c r="F67" s="306"/>
      <c r="G67" s="305"/>
      <c r="H67" s="305"/>
      <c r="I67" s="153"/>
      <c r="J67" s="305"/>
      <c r="K67" s="305"/>
      <c r="L67" s="306"/>
      <c r="M67" s="305"/>
      <c r="N67" s="305"/>
      <c r="O67" s="142"/>
      <c r="P67" s="96"/>
      <c r="Q67" s="96"/>
      <c r="R67" s="96"/>
      <c r="S67" s="96"/>
      <c r="T67" s="96"/>
      <c r="U67" s="96"/>
      <c r="V67" s="96"/>
      <c r="W67" s="96"/>
      <c r="X67" s="97"/>
      <c r="Y67" s="96"/>
      <c r="Z67" s="96"/>
      <c r="AA67" s="96"/>
      <c r="AB67" s="96"/>
      <c r="AC67" s="96"/>
      <c r="AD67" s="96"/>
      <c r="AE67" s="96"/>
      <c r="AF67" s="96"/>
      <c r="AG67" s="97"/>
      <c r="AH67" s="96"/>
      <c r="AI67" s="96"/>
      <c r="AJ67" s="96"/>
      <c r="AK67" s="96"/>
      <c r="AL67" s="96"/>
      <c r="AM67" s="96"/>
      <c r="AP67" s="143"/>
      <c r="AQ67" s="96"/>
      <c r="AR67" s="96"/>
      <c r="AS67" s="96"/>
    </row>
    <row r="68" spans="3:45" ht="34.5" customHeight="1">
      <c r="C68" s="145" t="s">
        <v>387</v>
      </c>
      <c r="D68" s="781"/>
      <c r="E68" s="782"/>
      <c r="F68" s="782"/>
      <c r="G68" s="782"/>
      <c r="H68" s="782"/>
      <c r="I68" s="302"/>
      <c r="J68" s="781"/>
      <c r="K68" s="782"/>
      <c r="L68" s="782"/>
      <c r="M68" s="782"/>
      <c r="N68" s="782"/>
      <c r="O68" s="97"/>
      <c r="P68" s="96"/>
      <c r="Q68" s="96"/>
      <c r="R68" s="96"/>
      <c r="S68" s="96"/>
      <c r="T68" s="96"/>
      <c r="U68" s="96"/>
      <c r="V68" s="96"/>
      <c r="W68" s="96"/>
      <c r="X68" s="97"/>
      <c r="Y68" s="96"/>
      <c r="Z68" s="96"/>
      <c r="AA68" s="96"/>
      <c r="AB68" s="96"/>
      <c r="AC68" s="96"/>
      <c r="AD68" s="96"/>
      <c r="AE68" s="96"/>
      <c r="AF68" s="96"/>
      <c r="AG68" s="97"/>
      <c r="AH68" s="96"/>
      <c r="AI68" s="96"/>
      <c r="AJ68" s="96"/>
      <c r="AK68" s="96"/>
      <c r="AL68" s="96"/>
      <c r="AM68" s="96"/>
      <c r="AP68" s="96"/>
      <c r="AQ68" s="96"/>
      <c r="AR68" s="96"/>
      <c r="AS68" s="96"/>
    </row>
    <row r="69" spans="3:45">
      <c r="C69" s="143"/>
      <c r="D69" s="153"/>
      <c r="E69" s="153"/>
      <c r="F69" s="154"/>
      <c r="G69" s="153"/>
      <c r="H69" s="153"/>
      <c r="I69" s="153"/>
      <c r="J69" s="153"/>
      <c r="K69" s="153"/>
      <c r="L69" s="153"/>
      <c r="M69" s="153"/>
      <c r="N69" s="153"/>
      <c r="O69" s="142"/>
      <c r="P69" s="96"/>
      <c r="Q69" s="96"/>
      <c r="R69" s="96"/>
      <c r="S69" s="96"/>
      <c r="T69" s="96"/>
      <c r="U69" s="96"/>
      <c r="V69" s="96"/>
      <c r="W69" s="96"/>
      <c r="X69" s="97"/>
      <c r="Y69" s="96"/>
      <c r="Z69" s="96"/>
      <c r="AA69" s="96"/>
      <c r="AB69" s="96"/>
      <c r="AC69" s="96"/>
      <c r="AD69" s="96"/>
      <c r="AE69" s="96"/>
      <c r="AF69" s="96"/>
      <c r="AG69" s="97"/>
      <c r="AH69" s="96"/>
      <c r="AI69" s="96"/>
      <c r="AJ69" s="96"/>
      <c r="AK69" s="96"/>
      <c r="AL69" s="96"/>
      <c r="AM69" s="96"/>
      <c r="AP69" s="143"/>
      <c r="AQ69" s="96"/>
      <c r="AR69" s="96"/>
      <c r="AS69" s="96"/>
    </row>
    <row r="70" spans="3:45">
      <c r="C70" s="143" t="s">
        <v>379</v>
      </c>
      <c r="D70" s="302"/>
      <c r="E70" s="302"/>
      <c r="F70" s="304"/>
      <c r="G70" s="302"/>
      <c r="H70" s="302"/>
      <c r="I70" s="153"/>
      <c r="J70" s="153"/>
      <c r="K70" s="153"/>
      <c r="L70" s="153"/>
      <c r="M70" s="153"/>
      <c r="N70" s="153"/>
      <c r="O70" s="142"/>
      <c r="P70" s="96"/>
      <c r="Q70" s="96"/>
      <c r="R70" s="96"/>
      <c r="S70" s="96"/>
      <c r="T70" s="96"/>
      <c r="U70" s="96"/>
      <c r="V70" s="96"/>
      <c r="W70" s="96"/>
      <c r="X70" s="97"/>
      <c r="Y70" s="96"/>
      <c r="Z70" s="96"/>
      <c r="AA70" s="96"/>
      <c r="AB70" s="96"/>
      <c r="AC70" s="96"/>
      <c r="AD70" s="96"/>
      <c r="AE70" s="96"/>
      <c r="AF70" s="96"/>
      <c r="AG70" s="97"/>
      <c r="AH70" s="96"/>
      <c r="AI70" s="96"/>
      <c r="AJ70" s="96"/>
      <c r="AK70" s="96"/>
      <c r="AL70" s="96"/>
      <c r="AM70" s="96"/>
      <c r="AP70" s="96"/>
      <c r="AQ70" s="96"/>
      <c r="AR70" s="96"/>
      <c r="AS70" s="96"/>
    </row>
    <row r="71" spans="3:45">
      <c r="C71" s="144" t="s">
        <v>400</v>
      </c>
      <c r="D71" s="305"/>
      <c r="E71" s="305"/>
      <c r="F71" s="306"/>
      <c r="G71" s="305"/>
      <c r="H71" s="305"/>
      <c r="I71" s="153"/>
      <c r="J71" s="305"/>
      <c r="K71" s="305"/>
      <c r="L71" s="306"/>
      <c r="M71" s="305"/>
      <c r="N71" s="305"/>
      <c r="O71" s="147"/>
      <c r="P71" s="96"/>
      <c r="Q71" s="96"/>
      <c r="R71" s="96"/>
      <c r="S71" s="96"/>
      <c r="T71" s="96"/>
      <c r="U71" s="96"/>
      <c r="V71" s="96"/>
      <c r="W71" s="96"/>
      <c r="X71" s="97"/>
      <c r="Y71" s="96"/>
      <c r="Z71" s="96"/>
      <c r="AA71" s="96"/>
      <c r="AB71" s="96"/>
      <c r="AC71" s="96"/>
      <c r="AD71" s="96"/>
      <c r="AE71" s="96"/>
      <c r="AF71" s="96"/>
      <c r="AG71" s="97"/>
      <c r="AH71" s="96"/>
      <c r="AI71" s="96"/>
      <c r="AJ71" s="96"/>
      <c r="AK71" s="96"/>
      <c r="AL71" s="96"/>
      <c r="AM71" s="96"/>
      <c r="AP71" s="143"/>
      <c r="AQ71" s="96"/>
      <c r="AR71" s="96"/>
      <c r="AS71" s="96"/>
    </row>
    <row r="72" spans="3:45">
      <c r="C72" s="144" t="s">
        <v>380</v>
      </c>
      <c r="D72" s="305"/>
      <c r="E72" s="305"/>
      <c r="F72" s="306"/>
      <c r="G72" s="305"/>
      <c r="H72" s="305"/>
      <c r="I72" s="153"/>
      <c r="J72" s="305"/>
      <c r="K72" s="305"/>
      <c r="L72" s="306"/>
      <c r="M72" s="305"/>
      <c r="N72" s="305"/>
      <c r="O72" s="141"/>
      <c r="P72" s="96"/>
      <c r="Q72" s="96"/>
      <c r="R72" s="96"/>
      <c r="S72" s="96"/>
      <c r="T72" s="96"/>
      <c r="U72" s="96"/>
      <c r="V72" s="96"/>
      <c r="W72" s="96"/>
      <c r="X72" s="97"/>
      <c r="Y72" s="96"/>
      <c r="Z72" s="96"/>
      <c r="AA72" s="96"/>
      <c r="AB72" s="96"/>
      <c r="AC72" s="96"/>
      <c r="AD72" s="96"/>
      <c r="AE72" s="96"/>
      <c r="AF72" s="96"/>
      <c r="AG72" s="97"/>
      <c r="AH72" s="96"/>
      <c r="AI72" s="96"/>
      <c r="AJ72" s="96"/>
      <c r="AK72" s="96"/>
      <c r="AL72" s="96"/>
      <c r="AM72" s="96"/>
      <c r="AP72" s="143"/>
      <c r="AQ72" s="96"/>
      <c r="AR72" s="96"/>
      <c r="AS72" s="96"/>
    </row>
    <row r="73" spans="3:45">
      <c r="C73" s="144" t="s">
        <v>385</v>
      </c>
      <c r="D73" s="305"/>
      <c r="E73" s="305"/>
      <c r="F73" s="306"/>
      <c r="G73" s="305"/>
      <c r="H73" s="305"/>
      <c r="I73" s="153"/>
      <c r="J73" s="305"/>
      <c r="K73" s="305"/>
      <c r="L73" s="306"/>
      <c r="M73" s="305"/>
      <c r="N73" s="305"/>
      <c r="O73" s="141"/>
      <c r="P73" s="96"/>
      <c r="Q73" s="96"/>
      <c r="R73" s="96"/>
      <c r="S73" s="96"/>
      <c r="T73" s="96"/>
      <c r="U73" s="96"/>
      <c r="V73" s="96"/>
      <c r="W73" s="96"/>
      <c r="X73" s="97"/>
      <c r="Y73" s="96"/>
      <c r="Z73" s="96"/>
      <c r="AA73" s="96"/>
      <c r="AB73" s="96"/>
      <c r="AC73" s="96"/>
      <c r="AD73" s="96"/>
      <c r="AE73" s="96"/>
      <c r="AF73" s="96"/>
      <c r="AG73" s="97"/>
      <c r="AH73" s="96"/>
      <c r="AI73" s="96"/>
      <c r="AJ73" s="96"/>
      <c r="AK73" s="96"/>
      <c r="AL73" s="96"/>
      <c r="AM73" s="96"/>
      <c r="AP73" s="143"/>
      <c r="AQ73" s="96"/>
      <c r="AR73" s="96"/>
      <c r="AS73" s="96"/>
    </row>
    <row r="74" spans="3:45">
      <c r="C74" s="144" t="s">
        <v>386</v>
      </c>
      <c r="D74" s="305"/>
      <c r="E74" s="305"/>
      <c r="F74" s="306"/>
      <c r="G74" s="305"/>
      <c r="H74" s="305"/>
      <c r="I74" s="153"/>
      <c r="J74" s="305"/>
      <c r="K74" s="305"/>
      <c r="L74" s="306"/>
      <c r="M74" s="305"/>
      <c r="N74" s="305"/>
      <c r="O74" s="142"/>
      <c r="P74" s="96"/>
      <c r="Q74" s="96"/>
      <c r="R74" s="96"/>
      <c r="S74" s="96"/>
      <c r="T74" s="96"/>
      <c r="U74" s="96"/>
      <c r="V74" s="96"/>
      <c r="W74" s="96"/>
      <c r="X74" s="97"/>
      <c r="Y74" s="96"/>
      <c r="Z74" s="96"/>
      <c r="AA74" s="96"/>
      <c r="AB74" s="96"/>
      <c r="AC74" s="96"/>
      <c r="AD74" s="96"/>
      <c r="AE74" s="96"/>
      <c r="AF74" s="96"/>
      <c r="AG74" s="97"/>
      <c r="AH74" s="96"/>
      <c r="AI74" s="96"/>
      <c r="AJ74" s="96"/>
      <c r="AK74" s="96"/>
      <c r="AL74" s="96"/>
      <c r="AM74" s="96"/>
      <c r="AP74" s="143"/>
      <c r="AQ74" s="96"/>
      <c r="AR74" s="96"/>
      <c r="AS74" s="96"/>
    </row>
    <row r="75" spans="3:45">
      <c r="C75" s="144" t="s">
        <v>381</v>
      </c>
      <c r="D75" s="305"/>
      <c r="E75" s="305"/>
      <c r="F75" s="306"/>
      <c r="G75" s="305"/>
      <c r="H75" s="305"/>
      <c r="I75" s="153"/>
      <c r="J75" s="305"/>
      <c r="K75" s="305"/>
      <c r="L75" s="306"/>
      <c r="M75" s="305"/>
      <c r="N75" s="305"/>
      <c r="O75" s="142"/>
      <c r="P75" s="96"/>
      <c r="Q75" s="96"/>
      <c r="R75" s="96"/>
      <c r="S75" s="96"/>
      <c r="T75" s="96"/>
      <c r="U75" s="96"/>
      <c r="V75" s="96"/>
      <c r="W75" s="96"/>
      <c r="X75" s="97"/>
      <c r="Y75" s="96"/>
      <c r="Z75" s="96"/>
      <c r="AA75" s="96"/>
      <c r="AB75" s="96"/>
      <c r="AC75" s="96"/>
      <c r="AD75" s="96"/>
      <c r="AE75" s="96"/>
      <c r="AF75" s="96"/>
      <c r="AG75" s="97"/>
      <c r="AH75" s="96"/>
      <c r="AI75" s="96"/>
      <c r="AJ75" s="96"/>
      <c r="AK75" s="96"/>
      <c r="AL75" s="96"/>
      <c r="AM75" s="96"/>
      <c r="AP75" s="143"/>
      <c r="AQ75" s="96"/>
      <c r="AR75" s="96"/>
      <c r="AS75" s="96"/>
    </row>
    <row r="76" spans="3:45" ht="34.5" customHeight="1">
      <c r="C76" s="145" t="s">
        <v>387</v>
      </c>
      <c r="D76" s="781"/>
      <c r="E76" s="782"/>
      <c r="F76" s="782"/>
      <c r="G76" s="782"/>
      <c r="H76" s="782"/>
      <c r="I76" s="302"/>
      <c r="J76" s="781"/>
      <c r="K76" s="782"/>
      <c r="L76" s="782"/>
      <c r="M76" s="782"/>
      <c r="N76" s="782"/>
      <c r="O76" s="97"/>
      <c r="P76" s="96"/>
      <c r="Q76" s="96"/>
      <c r="R76" s="96"/>
      <c r="S76" s="96"/>
      <c r="T76" s="96"/>
      <c r="U76" s="96"/>
      <c r="V76" s="96"/>
      <c r="W76" s="96"/>
      <c r="X76" s="97"/>
      <c r="Y76" s="96"/>
      <c r="Z76" s="96"/>
      <c r="AA76" s="96"/>
      <c r="AB76" s="96"/>
      <c r="AC76" s="96"/>
      <c r="AD76" s="96"/>
      <c r="AE76" s="96"/>
      <c r="AF76" s="96"/>
      <c r="AG76" s="97"/>
      <c r="AH76" s="96"/>
      <c r="AI76" s="96"/>
      <c r="AJ76" s="96"/>
      <c r="AK76" s="96"/>
      <c r="AL76" s="96"/>
      <c r="AM76" s="96"/>
      <c r="AP76" s="96"/>
      <c r="AQ76" s="96"/>
      <c r="AR76" s="96"/>
      <c r="AS76" s="96"/>
    </row>
    <row r="77" spans="3:45">
      <c r="C77" s="96"/>
      <c r="D77" s="302"/>
      <c r="E77" s="302"/>
      <c r="F77" s="304"/>
      <c r="G77" s="302"/>
      <c r="H77" s="302"/>
      <c r="I77" s="302"/>
      <c r="J77" s="302"/>
      <c r="K77" s="302"/>
      <c r="L77" s="302"/>
      <c r="M77" s="302"/>
      <c r="N77" s="302"/>
      <c r="O77" s="97"/>
      <c r="P77" s="96"/>
      <c r="Q77" s="96"/>
      <c r="R77" s="96"/>
      <c r="S77" s="96"/>
      <c r="T77" s="96"/>
      <c r="U77" s="96"/>
      <c r="V77" s="96"/>
      <c r="W77" s="96"/>
      <c r="X77" s="97"/>
      <c r="Y77" s="96"/>
      <c r="Z77" s="96"/>
      <c r="AA77" s="96"/>
      <c r="AB77" s="96"/>
      <c r="AC77" s="96"/>
      <c r="AD77" s="96"/>
      <c r="AE77" s="96"/>
      <c r="AF77" s="96"/>
      <c r="AG77" s="97"/>
      <c r="AH77" s="96"/>
      <c r="AI77" s="96"/>
      <c r="AJ77" s="96"/>
      <c r="AK77" s="96"/>
      <c r="AL77" s="96"/>
      <c r="AM77" s="96"/>
      <c r="AP77" s="96"/>
      <c r="AQ77" s="96"/>
      <c r="AR77" s="96"/>
      <c r="AS77" s="96"/>
    </row>
    <row r="78" spans="3:45">
      <c r="C78" s="143" t="s">
        <v>378</v>
      </c>
      <c r="D78" s="302"/>
      <c r="E78" s="302"/>
      <c r="F78" s="304"/>
      <c r="G78" s="302"/>
      <c r="H78" s="302"/>
      <c r="I78" s="153"/>
      <c r="J78" s="153"/>
      <c r="K78" s="153"/>
      <c r="L78" s="153"/>
      <c r="M78" s="153"/>
      <c r="N78" s="153"/>
      <c r="O78" s="97"/>
      <c r="P78" s="96"/>
      <c r="Q78" s="96"/>
      <c r="R78" s="96"/>
      <c r="S78" s="96"/>
      <c r="T78" s="96"/>
      <c r="U78" s="96"/>
      <c r="V78" s="96"/>
      <c r="W78" s="96"/>
      <c r="X78" s="97"/>
      <c r="Y78" s="96"/>
      <c r="Z78" s="96"/>
      <c r="AA78" s="96"/>
      <c r="AB78" s="96"/>
      <c r="AC78" s="96"/>
      <c r="AD78" s="96"/>
      <c r="AE78" s="96"/>
      <c r="AF78" s="96"/>
      <c r="AG78" s="97"/>
      <c r="AH78" s="96"/>
      <c r="AI78" s="96"/>
      <c r="AJ78" s="96"/>
      <c r="AK78" s="96"/>
      <c r="AL78" s="96"/>
      <c r="AM78" s="96"/>
      <c r="AP78" s="96"/>
      <c r="AQ78" s="96"/>
      <c r="AR78" s="96"/>
      <c r="AS78" s="96"/>
    </row>
    <row r="79" spans="3:45">
      <c r="C79" s="144" t="s">
        <v>399</v>
      </c>
      <c r="D79" s="305"/>
      <c r="E79" s="305"/>
      <c r="F79" s="306"/>
      <c r="G79" s="305"/>
      <c r="H79" s="305"/>
      <c r="I79" s="153"/>
      <c r="J79" s="305"/>
      <c r="K79" s="305"/>
      <c r="L79" s="306"/>
      <c r="M79" s="305"/>
      <c r="N79" s="305"/>
      <c r="O79" s="147"/>
      <c r="P79" s="96"/>
      <c r="Q79" s="96"/>
      <c r="R79" s="96"/>
      <c r="S79" s="96"/>
      <c r="T79" s="96"/>
      <c r="U79" s="96"/>
      <c r="V79" s="96"/>
      <c r="W79" s="96"/>
      <c r="X79" s="97"/>
      <c r="Y79" s="96"/>
      <c r="Z79" s="96"/>
      <c r="AA79" s="96"/>
      <c r="AB79" s="96"/>
      <c r="AC79" s="96"/>
      <c r="AD79" s="96"/>
      <c r="AE79" s="96"/>
      <c r="AF79" s="96"/>
      <c r="AG79" s="97"/>
      <c r="AH79" s="96"/>
      <c r="AI79" s="96"/>
      <c r="AJ79" s="96"/>
      <c r="AK79" s="96"/>
      <c r="AL79" s="96"/>
      <c r="AM79" s="96"/>
      <c r="AP79" s="143"/>
      <c r="AQ79" s="96"/>
      <c r="AR79" s="96"/>
      <c r="AS79" s="96"/>
    </row>
    <row r="80" spans="3:45">
      <c r="C80" s="144" t="s">
        <v>380</v>
      </c>
      <c r="D80" s="305"/>
      <c r="E80" s="305"/>
      <c r="F80" s="306"/>
      <c r="G80" s="305"/>
      <c r="H80" s="305"/>
      <c r="I80" s="153"/>
      <c r="J80" s="305"/>
      <c r="K80" s="305"/>
      <c r="L80" s="306"/>
      <c r="M80" s="305"/>
      <c r="N80" s="305"/>
      <c r="O80" s="141"/>
      <c r="P80" s="96"/>
      <c r="Q80" s="96"/>
      <c r="R80" s="96"/>
      <c r="S80" s="96"/>
      <c r="T80" s="96"/>
      <c r="U80" s="96"/>
      <c r="V80" s="96"/>
      <c r="W80" s="96"/>
      <c r="X80" s="97"/>
      <c r="Y80" s="96"/>
      <c r="Z80" s="96"/>
      <c r="AA80" s="96"/>
      <c r="AB80" s="96"/>
      <c r="AC80" s="96"/>
      <c r="AD80" s="96"/>
      <c r="AE80" s="96"/>
      <c r="AF80" s="96"/>
      <c r="AG80" s="97"/>
      <c r="AH80" s="96"/>
      <c r="AI80" s="96"/>
      <c r="AJ80" s="96"/>
      <c r="AK80" s="96"/>
      <c r="AL80" s="96"/>
      <c r="AM80" s="96"/>
      <c r="AP80" s="143"/>
      <c r="AQ80" s="96"/>
      <c r="AR80" s="96"/>
      <c r="AS80" s="96"/>
    </row>
    <row r="81" spans="3:45">
      <c r="C81" s="144" t="s">
        <v>385</v>
      </c>
      <c r="D81" s="305"/>
      <c r="E81" s="305"/>
      <c r="F81" s="306"/>
      <c r="G81" s="305"/>
      <c r="H81" s="305"/>
      <c r="I81" s="153"/>
      <c r="J81" s="305"/>
      <c r="K81" s="305"/>
      <c r="L81" s="306"/>
      <c r="M81" s="305"/>
      <c r="N81" s="305"/>
      <c r="O81" s="141"/>
      <c r="P81" s="96"/>
      <c r="Q81" s="96"/>
      <c r="R81" s="96"/>
      <c r="S81" s="96"/>
      <c r="T81" s="96"/>
      <c r="U81" s="96"/>
      <c r="V81" s="96"/>
      <c r="W81" s="96"/>
      <c r="X81" s="97"/>
      <c r="Y81" s="96"/>
      <c r="Z81" s="96"/>
      <c r="AA81" s="96"/>
      <c r="AB81" s="96"/>
      <c r="AC81" s="96"/>
      <c r="AD81" s="96"/>
      <c r="AE81" s="96"/>
      <c r="AF81" s="96"/>
      <c r="AG81" s="97"/>
      <c r="AH81" s="96"/>
      <c r="AI81" s="96"/>
      <c r="AJ81" s="96"/>
      <c r="AK81" s="96"/>
      <c r="AL81" s="96"/>
      <c r="AM81" s="96"/>
      <c r="AP81" s="143"/>
      <c r="AQ81" s="96"/>
      <c r="AR81" s="96"/>
      <c r="AS81" s="96"/>
    </row>
    <row r="82" spans="3:45">
      <c r="C82" s="144" t="s">
        <v>386</v>
      </c>
      <c r="D82" s="305"/>
      <c r="E82" s="305"/>
      <c r="F82" s="306"/>
      <c r="G82" s="305"/>
      <c r="H82" s="305"/>
      <c r="I82" s="153"/>
      <c r="J82" s="305"/>
      <c r="K82" s="305"/>
      <c r="L82" s="306"/>
      <c r="M82" s="305"/>
      <c r="N82" s="305"/>
      <c r="O82" s="142"/>
      <c r="P82" s="96"/>
      <c r="Q82" s="96"/>
      <c r="R82" s="96"/>
      <c r="S82" s="96"/>
      <c r="T82" s="96"/>
      <c r="U82" s="96"/>
      <c r="V82" s="96"/>
      <c r="W82" s="96"/>
      <c r="X82" s="97"/>
      <c r="Y82" s="96"/>
      <c r="Z82" s="96"/>
      <c r="AA82" s="96"/>
      <c r="AB82" s="96"/>
      <c r="AC82" s="96"/>
      <c r="AD82" s="96"/>
      <c r="AE82" s="96"/>
      <c r="AF82" s="96"/>
      <c r="AG82" s="97"/>
      <c r="AH82" s="96"/>
      <c r="AI82" s="96"/>
      <c r="AJ82" s="96"/>
      <c r="AK82" s="96"/>
      <c r="AL82" s="96"/>
      <c r="AM82" s="96"/>
      <c r="AP82" s="143"/>
      <c r="AQ82" s="96"/>
      <c r="AR82" s="96"/>
      <c r="AS82" s="96"/>
    </row>
    <row r="83" spans="3:45">
      <c r="C83" s="144" t="s">
        <v>381</v>
      </c>
      <c r="D83" s="305"/>
      <c r="E83" s="305"/>
      <c r="F83" s="306"/>
      <c r="G83" s="305"/>
      <c r="H83" s="305"/>
      <c r="I83" s="153"/>
      <c r="J83" s="305"/>
      <c r="K83" s="305"/>
      <c r="L83" s="306"/>
      <c r="M83" s="305"/>
      <c r="N83" s="305"/>
      <c r="O83" s="142"/>
      <c r="P83" s="96"/>
      <c r="Q83" s="96"/>
      <c r="R83" s="96"/>
      <c r="S83" s="96"/>
      <c r="T83" s="96"/>
      <c r="U83" s="96"/>
      <c r="V83" s="96"/>
      <c r="W83" s="96"/>
      <c r="X83" s="97"/>
      <c r="Y83" s="96"/>
      <c r="Z83" s="96"/>
      <c r="AA83" s="96"/>
      <c r="AB83" s="96"/>
      <c r="AC83" s="96"/>
      <c r="AD83" s="96"/>
      <c r="AE83" s="96"/>
      <c r="AF83" s="96"/>
      <c r="AG83" s="97"/>
      <c r="AH83" s="96"/>
      <c r="AI83" s="96"/>
      <c r="AJ83" s="96"/>
      <c r="AK83" s="96"/>
      <c r="AL83" s="96"/>
      <c r="AM83" s="96"/>
      <c r="AP83" s="143"/>
      <c r="AQ83" s="96"/>
      <c r="AR83" s="96"/>
      <c r="AS83" s="96"/>
    </row>
    <row r="84" spans="3:45" ht="34.5" customHeight="1">
      <c r="C84" s="145" t="s">
        <v>387</v>
      </c>
      <c r="D84" s="781"/>
      <c r="E84" s="782"/>
      <c r="F84" s="782"/>
      <c r="G84" s="782"/>
      <c r="H84" s="782"/>
      <c r="I84" s="302"/>
      <c r="J84" s="781"/>
      <c r="K84" s="782"/>
      <c r="L84" s="782"/>
      <c r="M84" s="782"/>
      <c r="N84" s="782"/>
      <c r="O84" s="97"/>
      <c r="P84" s="96"/>
      <c r="Q84" s="96"/>
      <c r="R84" s="96"/>
      <c r="S84" s="96"/>
      <c r="T84" s="96"/>
      <c r="U84" s="96"/>
      <c r="V84" s="96"/>
      <c r="W84" s="96"/>
      <c r="X84" s="97"/>
      <c r="Y84" s="96"/>
      <c r="Z84" s="96"/>
      <c r="AA84" s="96"/>
      <c r="AB84" s="96"/>
      <c r="AC84" s="96"/>
      <c r="AD84" s="96"/>
      <c r="AE84" s="96"/>
      <c r="AF84" s="96"/>
      <c r="AG84" s="97"/>
      <c r="AH84" s="96"/>
      <c r="AI84" s="96"/>
      <c r="AJ84" s="96"/>
      <c r="AK84" s="96"/>
      <c r="AL84" s="96"/>
      <c r="AM84" s="96"/>
      <c r="AP84" s="96"/>
      <c r="AQ84" s="96"/>
      <c r="AR84" s="96"/>
      <c r="AS84" s="96"/>
    </row>
    <row r="85" spans="3:45">
      <c r="C85" s="96"/>
      <c r="D85" s="302"/>
      <c r="E85" s="302"/>
      <c r="F85" s="304"/>
      <c r="G85" s="302"/>
      <c r="H85" s="302"/>
      <c r="I85" s="302"/>
      <c r="J85" s="302"/>
      <c r="K85" s="302"/>
      <c r="L85" s="302"/>
      <c r="M85" s="302"/>
      <c r="N85" s="302"/>
      <c r="O85" s="97"/>
      <c r="P85" s="96"/>
      <c r="Q85" s="96"/>
      <c r="R85" s="96"/>
      <c r="S85" s="96"/>
      <c r="T85" s="96"/>
      <c r="U85" s="96"/>
      <c r="V85" s="96"/>
      <c r="W85" s="96"/>
      <c r="X85" s="97"/>
      <c r="Y85" s="96"/>
      <c r="Z85" s="96"/>
      <c r="AA85" s="96"/>
      <c r="AB85" s="96"/>
      <c r="AC85" s="96"/>
      <c r="AD85" s="96"/>
      <c r="AE85" s="96"/>
      <c r="AF85" s="96"/>
      <c r="AG85" s="97"/>
      <c r="AH85" s="96"/>
      <c r="AI85" s="96"/>
      <c r="AJ85" s="96"/>
      <c r="AK85" s="96"/>
      <c r="AL85" s="96"/>
      <c r="AM85" s="96"/>
      <c r="AP85" s="96"/>
      <c r="AQ85" s="96"/>
      <c r="AR85" s="96"/>
      <c r="AS85" s="96"/>
    </row>
    <row r="86" spans="3:45">
      <c r="C86" s="143" t="s">
        <v>377</v>
      </c>
      <c r="D86" s="302"/>
      <c r="E86" s="302"/>
      <c r="F86" s="304"/>
      <c r="G86" s="302"/>
      <c r="H86" s="302"/>
      <c r="I86" s="153"/>
      <c r="J86" s="153"/>
      <c r="K86" s="153"/>
      <c r="L86" s="153"/>
      <c r="M86" s="153"/>
      <c r="N86" s="153"/>
      <c r="O86" s="97"/>
      <c r="P86" s="96"/>
      <c r="Q86" s="96"/>
      <c r="R86" s="96"/>
      <c r="S86" s="96"/>
      <c r="T86" s="96"/>
      <c r="U86" s="96"/>
      <c r="V86" s="96"/>
      <c r="W86" s="96"/>
      <c r="X86" s="97"/>
      <c r="Y86" s="96"/>
      <c r="Z86" s="96"/>
      <c r="AA86" s="96"/>
      <c r="AB86" s="96"/>
      <c r="AC86" s="96"/>
      <c r="AD86" s="96"/>
      <c r="AE86" s="96"/>
      <c r="AF86" s="96"/>
      <c r="AG86" s="97"/>
      <c r="AH86" s="96"/>
      <c r="AI86" s="96"/>
      <c r="AJ86" s="96"/>
      <c r="AK86" s="96"/>
      <c r="AL86" s="96"/>
      <c r="AM86" s="96"/>
      <c r="AP86" s="96"/>
      <c r="AQ86" s="96"/>
      <c r="AR86" s="96"/>
      <c r="AS86" s="96"/>
    </row>
    <row r="87" spans="3:45">
      <c r="C87" s="144" t="s">
        <v>401</v>
      </c>
      <c r="D87" s="305"/>
      <c r="E87" s="305"/>
      <c r="F87" s="306"/>
      <c r="G87" s="305"/>
      <c r="H87" s="305"/>
      <c r="I87" s="153"/>
      <c r="J87" s="305"/>
      <c r="K87" s="305"/>
      <c r="L87" s="306"/>
      <c r="M87" s="305"/>
      <c r="N87" s="305"/>
      <c r="O87" s="147"/>
      <c r="P87" s="96"/>
      <c r="Q87" s="96"/>
      <c r="R87" s="96"/>
      <c r="S87" s="96"/>
      <c r="T87" s="96"/>
      <c r="U87" s="96"/>
      <c r="V87" s="96"/>
      <c r="W87" s="96"/>
      <c r="X87" s="97"/>
      <c r="Y87" s="96"/>
      <c r="Z87" s="96"/>
      <c r="AA87" s="96"/>
      <c r="AB87" s="96"/>
      <c r="AC87" s="96"/>
      <c r="AD87" s="96"/>
      <c r="AE87" s="96"/>
      <c r="AF87" s="96"/>
      <c r="AG87" s="97"/>
      <c r="AH87" s="96"/>
      <c r="AI87" s="96"/>
      <c r="AJ87" s="96"/>
      <c r="AK87" s="96"/>
      <c r="AL87" s="96"/>
      <c r="AM87" s="96"/>
      <c r="AP87" s="143"/>
      <c r="AQ87" s="96"/>
      <c r="AR87" s="96"/>
      <c r="AS87" s="96"/>
    </row>
    <row r="88" spans="3:45">
      <c r="C88" s="144" t="s">
        <v>380</v>
      </c>
      <c r="D88" s="305"/>
      <c r="E88" s="305"/>
      <c r="F88" s="306"/>
      <c r="G88" s="305"/>
      <c r="H88" s="305"/>
      <c r="I88" s="153"/>
      <c r="J88" s="305"/>
      <c r="K88" s="305"/>
      <c r="L88" s="306"/>
      <c r="M88" s="305"/>
      <c r="N88" s="305"/>
      <c r="O88" s="141"/>
      <c r="P88" s="96"/>
      <c r="Q88" s="96"/>
      <c r="R88" s="96"/>
      <c r="S88" s="96"/>
      <c r="T88" s="96"/>
      <c r="U88" s="96"/>
      <c r="V88" s="96"/>
      <c r="W88" s="96"/>
      <c r="X88" s="97"/>
      <c r="Y88" s="96"/>
      <c r="Z88" s="96"/>
      <c r="AA88" s="96"/>
      <c r="AB88" s="96"/>
      <c r="AC88" s="96"/>
      <c r="AD88" s="96"/>
      <c r="AE88" s="96"/>
      <c r="AF88" s="96"/>
      <c r="AG88" s="97"/>
      <c r="AH88" s="96"/>
      <c r="AI88" s="96"/>
      <c r="AJ88" s="96"/>
      <c r="AK88" s="96"/>
      <c r="AL88" s="96"/>
      <c r="AM88" s="96"/>
      <c r="AP88" s="143"/>
      <c r="AQ88" s="96"/>
      <c r="AR88" s="96"/>
      <c r="AS88" s="96"/>
    </row>
    <row r="89" spans="3:45">
      <c r="C89" s="144" t="s">
        <v>385</v>
      </c>
      <c r="D89" s="305"/>
      <c r="E89" s="305"/>
      <c r="F89" s="306"/>
      <c r="G89" s="305"/>
      <c r="H89" s="305"/>
      <c r="I89" s="153"/>
      <c r="J89" s="305"/>
      <c r="K89" s="305"/>
      <c r="L89" s="306"/>
      <c r="M89" s="305"/>
      <c r="N89" s="305"/>
      <c r="O89" s="141"/>
      <c r="P89" s="96"/>
      <c r="Q89" s="96"/>
      <c r="R89" s="96"/>
      <c r="S89" s="96"/>
      <c r="T89" s="96"/>
      <c r="U89" s="96"/>
      <c r="V89" s="96"/>
      <c r="W89" s="96"/>
      <c r="X89" s="97"/>
      <c r="Y89" s="96"/>
      <c r="Z89" s="96"/>
      <c r="AA89" s="96"/>
      <c r="AB89" s="96"/>
      <c r="AC89" s="96"/>
      <c r="AD89" s="96"/>
      <c r="AE89" s="96"/>
      <c r="AF89" s="96"/>
      <c r="AG89" s="97"/>
      <c r="AH89" s="96"/>
      <c r="AI89" s="96"/>
      <c r="AJ89" s="96"/>
      <c r="AK89" s="96"/>
      <c r="AL89" s="96"/>
      <c r="AM89" s="96"/>
      <c r="AP89" s="143"/>
      <c r="AQ89" s="96"/>
      <c r="AR89" s="96"/>
      <c r="AS89" s="96"/>
    </row>
    <row r="90" spans="3:45">
      <c r="C90" s="144" t="s">
        <v>386</v>
      </c>
      <c r="D90" s="305"/>
      <c r="E90" s="305"/>
      <c r="F90" s="306"/>
      <c r="G90" s="305"/>
      <c r="H90" s="305"/>
      <c r="I90" s="153"/>
      <c r="J90" s="305"/>
      <c r="K90" s="305"/>
      <c r="L90" s="306"/>
      <c r="M90" s="305"/>
      <c r="N90" s="305"/>
      <c r="O90" s="142"/>
      <c r="P90" s="96"/>
      <c r="Q90" s="96"/>
      <c r="R90" s="96"/>
      <c r="S90" s="96"/>
      <c r="T90" s="96"/>
      <c r="U90" s="96"/>
      <c r="V90" s="96"/>
      <c r="W90" s="96"/>
      <c r="X90" s="97"/>
      <c r="Y90" s="96"/>
      <c r="Z90" s="96"/>
      <c r="AA90" s="96"/>
      <c r="AB90" s="96"/>
      <c r="AC90" s="96"/>
      <c r="AD90" s="96"/>
      <c r="AE90" s="96"/>
      <c r="AF90" s="96"/>
      <c r="AG90" s="97"/>
      <c r="AH90" s="96"/>
      <c r="AI90" s="96"/>
      <c r="AJ90" s="96"/>
      <c r="AK90" s="96"/>
      <c r="AL90" s="96"/>
      <c r="AM90" s="96"/>
      <c r="AP90" s="143"/>
      <c r="AQ90" s="96"/>
      <c r="AR90" s="96"/>
      <c r="AS90" s="96"/>
    </row>
    <row r="91" spans="3:45">
      <c r="C91" s="144" t="s">
        <v>381</v>
      </c>
      <c r="D91" s="305"/>
      <c r="E91" s="305"/>
      <c r="F91" s="306"/>
      <c r="G91" s="305"/>
      <c r="H91" s="305"/>
      <c r="I91" s="153"/>
      <c r="J91" s="305"/>
      <c r="K91" s="305"/>
      <c r="L91" s="306"/>
      <c r="M91" s="305"/>
      <c r="N91" s="305"/>
      <c r="O91" s="142"/>
      <c r="P91" s="96"/>
      <c r="Q91" s="96"/>
      <c r="R91" s="96"/>
      <c r="S91" s="96"/>
      <c r="T91" s="96"/>
      <c r="U91" s="96"/>
      <c r="V91" s="96"/>
      <c r="W91" s="96"/>
      <c r="X91" s="97"/>
      <c r="Y91" s="96"/>
      <c r="Z91" s="96"/>
      <c r="AA91" s="96"/>
      <c r="AB91" s="96"/>
      <c r="AC91" s="96"/>
      <c r="AD91" s="96"/>
      <c r="AE91" s="96"/>
      <c r="AF91" s="96"/>
      <c r="AG91" s="97"/>
      <c r="AH91" s="96"/>
      <c r="AI91" s="96"/>
      <c r="AJ91" s="96"/>
      <c r="AK91" s="96"/>
      <c r="AL91" s="96"/>
      <c r="AM91" s="96"/>
      <c r="AP91" s="143"/>
      <c r="AQ91" s="96"/>
      <c r="AR91" s="96"/>
      <c r="AS91" s="96"/>
    </row>
    <row r="92" spans="3:45" ht="34.5" customHeight="1">
      <c r="C92" s="145" t="s">
        <v>387</v>
      </c>
      <c r="D92" s="781"/>
      <c r="E92" s="782"/>
      <c r="F92" s="782"/>
      <c r="G92" s="782"/>
      <c r="H92" s="782"/>
      <c r="I92" s="302"/>
      <c r="J92" s="781"/>
      <c r="K92" s="782"/>
      <c r="L92" s="782"/>
      <c r="M92" s="782"/>
      <c r="N92" s="782"/>
      <c r="O92" s="97"/>
      <c r="P92" s="96"/>
      <c r="Q92" s="96"/>
      <c r="R92" s="96"/>
      <c r="S92" s="96"/>
      <c r="T92" s="96"/>
      <c r="U92" s="96"/>
      <c r="V92" s="96"/>
      <c r="W92" s="96"/>
      <c r="X92" s="97"/>
      <c r="Y92" s="96"/>
      <c r="Z92" s="96"/>
      <c r="AA92" s="96"/>
      <c r="AB92" s="96"/>
      <c r="AC92" s="96"/>
      <c r="AD92" s="96"/>
      <c r="AE92" s="96"/>
      <c r="AF92" s="96"/>
      <c r="AG92" s="97"/>
      <c r="AH92" s="96"/>
      <c r="AI92" s="96"/>
      <c r="AJ92" s="96"/>
      <c r="AK92" s="96"/>
      <c r="AL92" s="96"/>
      <c r="AM92" s="96"/>
      <c r="AP92" s="96"/>
      <c r="AQ92" s="96"/>
      <c r="AR92" s="96"/>
      <c r="AS92" s="96"/>
    </row>
    <row r="93" spans="3:45">
      <c r="C93" s="96"/>
      <c r="D93" s="96"/>
      <c r="E93" s="96"/>
      <c r="F93" s="97"/>
      <c r="G93" s="96"/>
      <c r="H93" s="96"/>
      <c r="I93" s="96"/>
      <c r="J93" s="96"/>
      <c r="K93" s="96"/>
      <c r="L93" s="96"/>
      <c r="M93" s="96"/>
      <c r="N93" s="96"/>
      <c r="O93" s="97"/>
      <c r="P93" s="96"/>
      <c r="Q93" s="96"/>
      <c r="R93" s="96"/>
      <c r="S93" s="96"/>
      <c r="T93" s="96"/>
      <c r="U93" s="96"/>
      <c r="V93" s="96"/>
      <c r="W93" s="96"/>
      <c r="X93" s="97"/>
      <c r="Y93" s="96"/>
      <c r="Z93" s="96"/>
      <c r="AA93" s="96"/>
      <c r="AB93" s="96"/>
      <c r="AC93" s="96"/>
      <c r="AD93" s="96"/>
      <c r="AE93" s="96"/>
      <c r="AF93" s="96"/>
      <c r="AG93" s="97"/>
      <c r="AH93" s="96"/>
      <c r="AI93" s="96"/>
      <c r="AJ93" s="96"/>
      <c r="AK93" s="96"/>
      <c r="AL93" s="96"/>
      <c r="AM93" s="96"/>
      <c r="AP93" s="96"/>
      <c r="AQ93" s="96"/>
      <c r="AR93" s="96"/>
      <c r="AS93" s="96"/>
    </row>
    <row r="94" spans="3:45">
      <c r="C94" s="96"/>
      <c r="D94" s="96"/>
      <c r="E94" s="96"/>
      <c r="F94" s="97"/>
      <c r="G94" s="96"/>
      <c r="H94" s="96"/>
      <c r="I94" s="96"/>
      <c r="J94" s="96"/>
      <c r="K94" s="96"/>
      <c r="L94" s="96"/>
      <c r="M94" s="96"/>
      <c r="N94" s="96"/>
      <c r="O94" s="97"/>
      <c r="P94" s="96"/>
      <c r="Q94" s="96"/>
      <c r="R94" s="96"/>
      <c r="S94" s="96"/>
      <c r="T94" s="96"/>
      <c r="U94" s="96"/>
      <c r="V94" s="96"/>
      <c r="W94" s="96"/>
      <c r="X94" s="97"/>
      <c r="Y94" s="96"/>
      <c r="Z94" s="96"/>
      <c r="AA94" s="96"/>
      <c r="AB94" s="96"/>
      <c r="AC94" s="96"/>
      <c r="AD94" s="96"/>
      <c r="AE94" s="96"/>
      <c r="AF94" s="96"/>
      <c r="AG94" s="97"/>
      <c r="AH94" s="96"/>
      <c r="AI94" s="96"/>
      <c r="AJ94" s="96"/>
      <c r="AK94" s="96"/>
      <c r="AL94" s="96"/>
      <c r="AM94" s="96"/>
      <c r="AP94" s="96"/>
      <c r="AQ94" s="96"/>
      <c r="AR94" s="96"/>
      <c r="AS94" s="96"/>
    </row>
    <row r="95" spans="3:45">
      <c r="C95" s="96"/>
      <c r="D95" s="96"/>
      <c r="E95" s="96"/>
      <c r="F95" s="97"/>
      <c r="G95" s="96"/>
      <c r="H95" s="96"/>
      <c r="I95" s="96"/>
      <c r="J95" s="96"/>
      <c r="K95" s="96"/>
      <c r="L95" s="96"/>
      <c r="M95" s="96"/>
      <c r="N95" s="96"/>
      <c r="O95" s="97"/>
      <c r="P95" s="96"/>
      <c r="Q95" s="96"/>
      <c r="R95" s="96"/>
      <c r="S95" s="96"/>
      <c r="T95" s="96"/>
      <c r="U95" s="96"/>
      <c r="V95" s="96"/>
      <c r="W95" s="96"/>
      <c r="X95" s="97"/>
      <c r="Y95" s="96"/>
      <c r="Z95" s="96"/>
      <c r="AA95" s="96"/>
      <c r="AB95" s="96"/>
      <c r="AC95" s="96"/>
      <c r="AD95" s="96"/>
      <c r="AE95" s="96"/>
      <c r="AF95" s="96"/>
      <c r="AG95" s="97"/>
      <c r="AH95" s="96"/>
      <c r="AI95" s="96"/>
      <c r="AJ95" s="96"/>
      <c r="AK95" s="96"/>
      <c r="AL95" s="96"/>
      <c r="AM95" s="96"/>
      <c r="AP95" s="96"/>
      <c r="AQ95" s="96"/>
      <c r="AR95" s="96"/>
      <c r="AS95" s="96"/>
    </row>
    <row r="96" spans="3:45">
      <c r="C96" s="96"/>
      <c r="D96" s="96"/>
      <c r="E96" s="96"/>
      <c r="F96" s="97"/>
      <c r="G96" s="96"/>
      <c r="H96" s="96"/>
      <c r="I96" s="96"/>
      <c r="J96" s="96"/>
      <c r="K96" s="96"/>
      <c r="L96" s="96"/>
      <c r="M96" s="96"/>
      <c r="N96" s="96"/>
      <c r="O96" s="97"/>
      <c r="P96" s="96"/>
      <c r="Q96" s="96"/>
      <c r="R96" s="96"/>
      <c r="S96" s="96"/>
      <c r="T96" s="96"/>
      <c r="U96" s="96"/>
      <c r="V96" s="96"/>
      <c r="W96" s="96"/>
      <c r="X96" s="97"/>
      <c r="Y96" s="96"/>
      <c r="Z96" s="96"/>
      <c r="AA96" s="96"/>
      <c r="AB96" s="96"/>
      <c r="AC96" s="96"/>
      <c r="AD96" s="96"/>
      <c r="AE96" s="96"/>
      <c r="AF96" s="96"/>
      <c r="AG96" s="97"/>
      <c r="AH96" s="96"/>
      <c r="AI96" s="96"/>
      <c r="AJ96" s="96"/>
      <c r="AK96" s="96"/>
      <c r="AL96" s="96"/>
      <c r="AM96" s="96"/>
      <c r="AP96" s="96"/>
      <c r="AQ96" s="96"/>
      <c r="AR96" s="96"/>
      <c r="AS96" s="96"/>
    </row>
    <row r="97" spans="6:33" s="96" customFormat="1">
      <c r="F97" s="97"/>
      <c r="O97" s="97"/>
      <c r="X97" s="97"/>
      <c r="AG97" s="97"/>
    </row>
    <row r="98" spans="6:33" s="96" customFormat="1">
      <c r="F98" s="97"/>
      <c r="O98" s="97"/>
      <c r="X98" s="97"/>
      <c r="AG98" s="97"/>
    </row>
    <row r="99" spans="6:33" s="96" customFormat="1">
      <c r="F99" s="97"/>
      <c r="O99" s="97"/>
      <c r="X99" s="97"/>
      <c r="AG99" s="97"/>
    </row>
    <row r="100" spans="6:33" s="96" customFormat="1">
      <c r="F100" s="97"/>
      <c r="O100" s="97"/>
      <c r="X100" s="97"/>
      <c r="AG100" s="97"/>
    </row>
    <row r="101" spans="6:33" s="96" customFormat="1">
      <c r="F101" s="97"/>
      <c r="O101" s="97"/>
      <c r="X101" s="97"/>
      <c r="AG101" s="97"/>
    </row>
    <row r="102" spans="6:33" s="96" customFormat="1">
      <c r="F102" s="97"/>
      <c r="O102" s="97"/>
      <c r="X102" s="97"/>
      <c r="AG102" s="97"/>
    </row>
    <row r="103" spans="6:33" s="96" customFormat="1">
      <c r="F103" s="97"/>
      <c r="O103" s="97"/>
      <c r="X103" s="97"/>
      <c r="AG103" s="97"/>
    </row>
    <row r="104" spans="6:33" s="96" customFormat="1">
      <c r="F104" s="97"/>
      <c r="O104" s="97"/>
      <c r="X104" s="97"/>
      <c r="AG104" s="97"/>
    </row>
    <row r="105" spans="6:33" s="96" customFormat="1">
      <c r="F105" s="97"/>
      <c r="O105" s="97"/>
      <c r="X105" s="97"/>
      <c r="AG105" s="97"/>
    </row>
    <row r="106" spans="6:33" s="96" customFormat="1">
      <c r="F106" s="97"/>
      <c r="O106" s="97"/>
      <c r="X106" s="97"/>
      <c r="AG106" s="97"/>
    </row>
    <row r="107" spans="6:33" s="96" customFormat="1">
      <c r="F107" s="97"/>
      <c r="O107" s="97"/>
      <c r="X107" s="97"/>
      <c r="AG107" s="97"/>
    </row>
    <row r="108" spans="6:33" s="96" customFormat="1">
      <c r="F108" s="97"/>
      <c r="O108" s="97"/>
      <c r="X108" s="97"/>
      <c r="AG108" s="97"/>
    </row>
    <row r="109" spans="6:33" s="96" customFormat="1">
      <c r="F109" s="97"/>
      <c r="O109" s="97"/>
      <c r="X109" s="97"/>
      <c r="AG109" s="97"/>
    </row>
    <row r="110" spans="6:33" s="96" customFormat="1">
      <c r="F110" s="97"/>
      <c r="O110" s="97"/>
      <c r="X110" s="97"/>
      <c r="AG110" s="97"/>
    </row>
    <row r="111" spans="6:33" s="96" customFormat="1">
      <c r="F111" s="97"/>
      <c r="O111" s="97"/>
      <c r="X111" s="97"/>
      <c r="AG111" s="97"/>
    </row>
    <row r="112" spans="6:33" s="96" customFormat="1">
      <c r="F112" s="97"/>
      <c r="O112" s="97"/>
      <c r="X112" s="97"/>
      <c r="AG112" s="97"/>
    </row>
    <row r="113" spans="6:33" s="96" customFormat="1">
      <c r="F113" s="97"/>
      <c r="O113" s="97"/>
      <c r="X113" s="97"/>
      <c r="AG113" s="97"/>
    </row>
    <row r="114" spans="6:33" s="96" customFormat="1">
      <c r="F114" s="97"/>
      <c r="O114" s="97"/>
      <c r="X114" s="97"/>
      <c r="AG114" s="97"/>
    </row>
    <row r="115" spans="6:33" s="96" customFormat="1">
      <c r="F115" s="97"/>
      <c r="O115" s="97"/>
      <c r="X115" s="97"/>
      <c r="AG115" s="97"/>
    </row>
    <row r="116" spans="6:33" s="96" customFormat="1">
      <c r="F116" s="97"/>
      <c r="O116" s="97"/>
      <c r="X116" s="97"/>
      <c r="AG116" s="97"/>
    </row>
    <row r="117" spans="6:33" s="96" customFormat="1">
      <c r="F117" s="97"/>
      <c r="O117" s="97"/>
      <c r="X117" s="97"/>
      <c r="AG117" s="97"/>
    </row>
    <row r="118" spans="6:33" s="96" customFormat="1">
      <c r="F118" s="97"/>
      <c r="O118" s="97"/>
      <c r="X118" s="97"/>
      <c r="AG118" s="97"/>
    </row>
    <row r="119" spans="6:33" s="96" customFormat="1">
      <c r="F119" s="97"/>
      <c r="O119" s="97"/>
      <c r="X119" s="97"/>
      <c r="AG119" s="97"/>
    </row>
    <row r="120" spans="6:33" s="96" customFormat="1">
      <c r="F120" s="97"/>
      <c r="O120" s="97"/>
      <c r="X120" s="97"/>
      <c r="AG120" s="97"/>
    </row>
    <row r="121" spans="6:33" s="96" customFormat="1">
      <c r="F121" s="97"/>
      <c r="O121" s="97"/>
      <c r="X121" s="97"/>
      <c r="AG121" s="97"/>
    </row>
    <row r="122" spans="6:33" s="96" customFormat="1">
      <c r="F122" s="97"/>
      <c r="O122" s="97"/>
      <c r="X122" s="97"/>
      <c r="AG122" s="97"/>
    </row>
    <row r="123" spans="6:33" s="96" customFormat="1">
      <c r="F123" s="97"/>
      <c r="O123" s="97"/>
      <c r="X123" s="97"/>
      <c r="AG123" s="97"/>
    </row>
    <row r="124" spans="6:33" s="96" customFormat="1">
      <c r="F124" s="97"/>
      <c r="O124" s="97"/>
      <c r="X124" s="97"/>
      <c r="AG124" s="97"/>
    </row>
    <row r="125" spans="6:33" s="96" customFormat="1">
      <c r="F125" s="97"/>
      <c r="O125" s="97"/>
      <c r="X125" s="97"/>
      <c r="AG125" s="97"/>
    </row>
    <row r="126" spans="6:33" s="96" customFormat="1">
      <c r="F126" s="97"/>
      <c r="O126" s="97"/>
      <c r="X126" s="97"/>
      <c r="AG126" s="97"/>
    </row>
    <row r="127" spans="6:33" s="96" customFormat="1">
      <c r="F127" s="97"/>
      <c r="O127" s="97"/>
      <c r="X127" s="97"/>
      <c r="AG127" s="97"/>
    </row>
    <row r="128" spans="6:33" s="96" customFormat="1">
      <c r="F128" s="97"/>
      <c r="O128" s="97"/>
      <c r="X128" s="97"/>
      <c r="AG128" s="97"/>
    </row>
    <row r="129" spans="6:33" s="96" customFormat="1">
      <c r="F129" s="97"/>
      <c r="O129" s="97"/>
      <c r="X129" s="97"/>
      <c r="AG129" s="97"/>
    </row>
    <row r="130" spans="6:33" s="96" customFormat="1">
      <c r="F130" s="97"/>
      <c r="O130" s="97"/>
      <c r="X130" s="97"/>
      <c r="AG130" s="97"/>
    </row>
    <row r="131" spans="6:33" s="96" customFormat="1">
      <c r="F131" s="97"/>
      <c r="O131" s="97"/>
      <c r="X131" s="97"/>
      <c r="AG131" s="97"/>
    </row>
    <row r="132" spans="6:33" s="96" customFormat="1">
      <c r="F132" s="97"/>
      <c r="O132" s="97"/>
      <c r="X132" s="97"/>
      <c r="AG132" s="97"/>
    </row>
    <row r="133" spans="6:33" s="96" customFormat="1">
      <c r="F133" s="97"/>
      <c r="O133" s="97"/>
      <c r="X133" s="97"/>
      <c r="AG133" s="97"/>
    </row>
    <row r="134" spans="6:33" s="96" customFormat="1">
      <c r="F134" s="97"/>
      <c r="O134" s="97"/>
      <c r="X134" s="97"/>
      <c r="AG134" s="97"/>
    </row>
    <row r="135" spans="6:33" s="96" customFormat="1">
      <c r="F135" s="97"/>
      <c r="O135" s="97"/>
      <c r="X135" s="97"/>
      <c r="AG135" s="97"/>
    </row>
    <row r="136" spans="6:33" s="96" customFormat="1">
      <c r="F136" s="97"/>
      <c r="O136" s="97"/>
      <c r="X136" s="97"/>
      <c r="AG136" s="97"/>
    </row>
    <row r="137" spans="6:33" s="96" customFormat="1">
      <c r="F137" s="97"/>
      <c r="O137" s="97"/>
      <c r="X137" s="97"/>
      <c r="AG137" s="97"/>
    </row>
    <row r="138" spans="6:33" s="96" customFormat="1">
      <c r="F138" s="97"/>
      <c r="O138" s="97"/>
      <c r="X138" s="97"/>
      <c r="AG138" s="97"/>
    </row>
    <row r="139" spans="6:33" s="96" customFormat="1">
      <c r="F139" s="97"/>
      <c r="O139" s="97"/>
      <c r="X139" s="97"/>
      <c r="AG139" s="97"/>
    </row>
    <row r="140" spans="6:33" s="96" customFormat="1">
      <c r="F140" s="97"/>
      <c r="O140" s="97"/>
      <c r="X140" s="97"/>
      <c r="AG140" s="97"/>
    </row>
    <row r="141" spans="6:33" s="96" customFormat="1">
      <c r="F141" s="97"/>
      <c r="O141" s="97"/>
      <c r="X141" s="97"/>
      <c r="AG141" s="97"/>
    </row>
    <row r="142" spans="6:33" s="96" customFormat="1">
      <c r="F142" s="97"/>
      <c r="O142" s="97"/>
      <c r="X142" s="97"/>
      <c r="AG142" s="97"/>
    </row>
    <row r="143" spans="6:33" s="96" customFormat="1">
      <c r="F143" s="97"/>
      <c r="O143" s="97"/>
      <c r="X143" s="97"/>
      <c r="AG143" s="97"/>
    </row>
    <row r="144" spans="6:33" s="96" customFormat="1">
      <c r="F144" s="97"/>
      <c r="O144" s="97"/>
      <c r="X144" s="97"/>
      <c r="AG144" s="97"/>
    </row>
    <row r="145" spans="6:33" s="96" customFormat="1">
      <c r="F145" s="97"/>
      <c r="O145" s="97"/>
      <c r="X145" s="97"/>
      <c r="AG145" s="97"/>
    </row>
    <row r="146" spans="6:33" s="96" customFormat="1">
      <c r="F146" s="97"/>
      <c r="O146" s="97"/>
      <c r="X146" s="97"/>
      <c r="AG146" s="97"/>
    </row>
    <row r="147" spans="6:33" s="96" customFormat="1">
      <c r="F147" s="97"/>
      <c r="O147" s="97"/>
      <c r="X147" s="97"/>
      <c r="AG147" s="97"/>
    </row>
    <row r="148" spans="6:33" s="96" customFormat="1">
      <c r="F148" s="97"/>
      <c r="O148" s="97"/>
      <c r="X148" s="97"/>
      <c r="AG148" s="97"/>
    </row>
    <row r="149" spans="6:33" s="96" customFormat="1">
      <c r="F149" s="97"/>
      <c r="O149" s="97"/>
      <c r="X149" s="97"/>
      <c r="AG149" s="97"/>
    </row>
    <row r="150" spans="6:33" s="96" customFormat="1">
      <c r="F150" s="97"/>
      <c r="O150" s="97"/>
      <c r="X150" s="97"/>
      <c r="AG150" s="97"/>
    </row>
    <row r="151" spans="6:33" s="96" customFormat="1">
      <c r="F151" s="97"/>
      <c r="O151" s="97"/>
      <c r="X151" s="97"/>
      <c r="AG151" s="97"/>
    </row>
    <row r="152" spans="6:33" s="96" customFormat="1">
      <c r="F152" s="97"/>
      <c r="O152" s="97"/>
      <c r="X152" s="97"/>
      <c r="AG152" s="97"/>
    </row>
    <row r="153" spans="6:33" s="96" customFormat="1">
      <c r="F153" s="97"/>
      <c r="O153" s="97"/>
      <c r="X153" s="97"/>
      <c r="AG153" s="97"/>
    </row>
    <row r="154" spans="6:33" s="96" customFormat="1">
      <c r="F154" s="97"/>
      <c r="O154" s="97"/>
      <c r="X154" s="97"/>
      <c r="AG154" s="97"/>
    </row>
    <row r="155" spans="6:33" s="96" customFormat="1">
      <c r="F155" s="97"/>
      <c r="O155" s="97"/>
      <c r="X155" s="97"/>
      <c r="AG155" s="97"/>
    </row>
    <row r="156" spans="6:33" s="96" customFormat="1">
      <c r="F156" s="97"/>
      <c r="O156" s="97"/>
      <c r="X156" s="97"/>
      <c r="AG156" s="97"/>
    </row>
    <row r="157" spans="6:33" s="96" customFormat="1">
      <c r="F157" s="97"/>
      <c r="O157" s="97"/>
      <c r="X157" s="97"/>
      <c r="AG157" s="97"/>
    </row>
    <row r="158" spans="6:33" s="96" customFormat="1">
      <c r="F158" s="97"/>
      <c r="O158" s="97"/>
      <c r="X158" s="97"/>
      <c r="AG158" s="97"/>
    </row>
    <row r="159" spans="6:33" s="96" customFormat="1">
      <c r="F159" s="97"/>
      <c r="O159" s="97"/>
      <c r="X159" s="97"/>
      <c r="AG159" s="97"/>
    </row>
    <row r="160" spans="6:33" s="96" customFormat="1">
      <c r="F160" s="97"/>
      <c r="O160" s="97"/>
      <c r="X160" s="97"/>
      <c r="AG160" s="97"/>
    </row>
    <row r="161" spans="6:33" s="96" customFormat="1">
      <c r="F161" s="97"/>
      <c r="O161" s="97"/>
      <c r="X161" s="97"/>
      <c r="AG161" s="97"/>
    </row>
    <row r="162" spans="6:33" s="96" customFormat="1">
      <c r="F162" s="97"/>
      <c r="O162" s="97"/>
      <c r="X162" s="97"/>
      <c r="AG162" s="97"/>
    </row>
    <row r="163" spans="6:33" s="96" customFormat="1">
      <c r="F163" s="97"/>
      <c r="O163" s="97"/>
      <c r="X163" s="97"/>
      <c r="AG163" s="97"/>
    </row>
    <row r="164" spans="6:33" s="96" customFormat="1">
      <c r="F164" s="97"/>
      <c r="O164" s="97"/>
      <c r="X164" s="97"/>
      <c r="AG164" s="97"/>
    </row>
    <row r="165" spans="6:33" s="96" customFormat="1">
      <c r="F165" s="97"/>
      <c r="O165" s="97"/>
      <c r="X165" s="97"/>
      <c r="AG165" s="97"/>
    </row>
    <row r="166" spans="6:33" s="96" customFormat="1">
      <c r="F166" s="97"/>
      <c r="O166" s="97"/>
      <c r="X166" s="97"/>
      <c r="AG166" s="97"/>
    </row>
    <row r="167" spans="6:33" s="96" customFormat="1">
      <c r="F167" s="97"/>
      <c r="O167" s="97"/>
      <c r="X167" s="97"/>
      <c r="AG167" s="97"/>
    </row>
    <row r="168" spans="6:33" s="96" customFormat="1">
      <c r="F168" s="97"/>
      <c r="O168" s="97"/>
      <c r="X168" s="97"/>
      <c r="AG168" s="97"/>
    </row>
    <row r="169" spans="6:33" s="96" customFormat="1">
      <c r="F169" s="97"/>
      <c r="O169" s="97"/>
      <c r="X169" s="97"/>
      <c r="AG169" s="97"/>
    </row>
    <row r="170" spans="6:33" s="96" customFormat="1">
      <c r="F170" s="97"/>
      <c r="O170" s="97"/>
      <c r="X170" s="97"/>
      <c r="AG170" s="97"/>
    </row>
    <row r="171" spans="6:33" s="96" customFormat="1">
      <c r="F171" s="97"/>
      <c r="O171" s="97"/>
      <c r="X171" s="97"/>
      <c r="AG171" s="97"/>
    </row>
    <row r="172" spans="6:33" s="96" customFormat="1">
      <c r="F172" s="97"/>
      <c r="O172" s="97"/>
      <c r="X172" s="97"/>
      <c r="AG172" s="97"/>
    </row>
    <row r="173" spans="6:33" s="96" customFormat="1">
      <c r="F173" s="97"/>
      <c r="O173" s="97"/>
      <c r="X173" s="97"/>
      <c r="AG173" s="97"/>
    </row>
    <row r="174" spans="6:33" s="96" customFormat="1">
      <c r="F174" s="97"/>
      <c r="O174" s="97"/>
      <c r="X174" s="97"/>
      <c r="AG174" s="97"/>
    </row>
    <row r="175" spans="6:33" s="96" customFormat="1">
      <c r="F175" s="97"/>
      <c r="O175" s="97"/>
      <c r="X175" s="97"/>
      <c r="AG175" s="97"/>
    </row>
    <row r="176" spans="6:33" s="96" customFormat="1">
      <c r="F176" s="97"/>
      <c r="O176" s="97"/>
      <c r="X176" s="97"/>
      <c r="AG176" s="97"/>
    </row>
    <row r="177" spans="6:33" s="96" customFormat="1">
      <c r="F177" s="97"/>
      <c r="O177" s="97"/>
      <c r="X177" s="97"/>
      <c r="AG177" s="97"/>
    </row>
    <row r="178" spans="6:33" s="96" customFormat="1">
      <c r="F178" s="97"/>
      <c r="O178" s="97"/>
      <c r="X178" s="97"/>
      <c r="AG178" s="97"/>
    </row>
    <row r="179" spans="6:33" s="96" customFormat="1">
      <c r="F179" s="97"/>
      <c r="O179" s="97"/>
      <c r="X179" s="97"/>
      <c r="AG179" s="97"/>
    </row>
    <row r="180" spans="6:33" s="96" customFormat="1">
      <c r="F180" s="97"/>
      <c r="O180" s="97"/>
      <c r="X180" s="97"/>
      <c r="AG180" s="97"/>
    </row>
    <row r="181" spans="6:33" s="96" customFormat="1">
      <c r="F181" s="97"/>
      <c r="O181" s="97"/>
      <c r="X181" s="97"/>
      <c r="AG181" s="97"/>
    </row>
    <row r="182" spans="6:33" s="96" customFormat="1">
      <c r="F182" s="97"/>
      <c r="O182" s="97"/>
      <c r="X182" s="97"/>
      <c r="AG182" s="97"/>
    </row>
    <row r="183" spans="6:33" s="96" customFormat="1">
      <c r="F183" s="97"/>
      <c r="O183" s="97"/>
      <c r="X183" s="97"/>
      <c r="AG183" s="97"/>
    </row>
    <row r="184" spans="6:33" s="96" customFormat="1">
      <c r="F184" s="97"/>
      <c r="O184" s="97"/>
      <c r="X184" s="97"/>
      <c r="AG184" s="97"/>
    </row>
    <row r="185" spans="6:33" s="96" customFormat="1">
      <c r="F185" s="97"/>
      <c r="O185" s="97"/>
      <c r="X185" s="97"/>
      <c r="AG185" s="97"/>
    </row>
    <row r="186" spans="6:33" s="96" customFormat="1">
      <c r="F186" s="97"/>
      <c r="O186" s="97"/>
      <c r="X186" s="97"/>
      <c r="AG186" s="97"/>
    </row>
    <row r="187" spans="6:33" s="96" customFormat="1">
      <c r="F187" s="97"/>
      <c r="O187" s="97"/>
      <c r="X187" s="97"/>
      <c r="AG187" s="97"/>
    </row>
    <row r="188" spans="6:33" s="96" customFormat="1">
      <c r="F188" s="97"/>
      <c r="O188" s="97"/>
      <c r="X188" s="97"/>
      <c r="AG188" s="97"/>
    </row>
    <row r="189" spans="6:33" s="96" customFormat="1">
      <c r="F189" s="97"/>
      <c r="O189" s="97"/>
      <c r="X189" s="97"/>
      <c r="AG189" s="97"/>
    </row>
    <row r="190" spans="6:33" s="96" customFormat="1">
      <c r="F190" s="97"/>
      <c r="O190" s="97"/>
      <c r="X190" s="97"/>
      <c r="AG190" s="97"/>
    </row>
    <row r="191" spans="6:33" s="96" customFormat="1">
      <c r="F191" s="97"/>
      <c r="O191" s="97"/>
      <c r="X191" s="97"/>
      <c r="AG191" s="97"/>
    </row>
    <row r="192" spans="6:33" s="96" customFormat="1">
      <c r="F192" s="97"/>
      <c r="O192" s="97"/>
      <c r="X192" s="97"/>
      <c r="AG192" s="97"/>
    </row>
    <row r="193" spans="6:33" s="96" customFormat="1">
      <c r="F193" s="97"/>
      <c r="O193" s="97"/>
      <c r="X193" s="97"/>
      <c r="AG193" s="97"/>
    </row>
    <row r="194" spans="6:33" s="96" customFormat="1">
      <c r="F194" s="97"/>
      <c r="O194" s="97"/>
      <c r="X194" s="97"/>
      <c r="AG194" s="97"/>
    </row>
    <row r="195" spans="6:33" s="96" customFormat="1">
      <c r="F195" s="97"/>
      <c r="O195" s="97"/>
      <c r="X195" s="97"/>
      <c r="AG195" s="97"/>
    </row>
    <row r="196" spans="6:33" s="96" customFormat="1">
      <c r="F196" s="97"/>
      <c r="O196" s="97"/>
      <c r="X196" s="97"/>
      <c r="AG196" s="97"/>
    </row>
    <row r="197" spans="6:33" s="96" customFormat="1">
      <c r="F197" s="97"/>
      <c r="O197" s="97"/>
      <c r="X197" s="97"/>
      <c r="AG197" s="97"/>
    </row>
    <row r="198" spans="6:33" s="96" customFormat="1">
      <c r="F198" s="97"/>
      <c r="O198" s="97"/>
      <c r="X198" s="97"/>
      <c r="AG198" s="97"/>
    </row>
    <row r="199" spans="6:33" s="96" customFormat="1">
      <c r="F199" s="97"/>
      <c r="O199" s="97"/>
      <c r="X199" s="97"/>
      <c r="AG199" s="97"/>
    </row>
    <row r="200" spans="6:33" s="96" customFormat="1">
      <c r="F200" s="97"/>
      <c r="O200" s="97"/>
      <c r="X200" s="97"/>
      <c r="AG200" s="97"/>
    </row>
    <row r="201" spans="6:33" s="96" customFormat="1">
      <c r="F201" s="97"/>
      <c r="O201" s="97"/>
      <c r="X201" s="97"/>
      <c r="AG201" s="97"/>
    </row>
    <row r="202" spans="6:33" s="96" customFormat="1">
      <c r="F202" s="97"/>
      <c r="O202" s="97"/>
      <c r="X202" s="97"/>
      <c r="AG202" s="97"/>
    </row>
    <row r="203" spans="6:33" s="96" customFormat="1">
      <c r="F203" s="97"/>
      <c r="O203" s="97"/>
      <c r="X203" s="97"/>
      <c r="AG203" s="97"/>
    </row>
    <row r="204" spans="6:33" s="96" customFormat="1">
      <c r="F204" s="97"/>
      <c r="O204" s="97"/>
      <c r="X204" s="97"/>
      <c r="AG204" s="97"/>
    </row>
    <row r="205" spans="6:33" s="96" customFormat="1">
      <c r="F205" s="97"/>
      <c r="O205" s="97"/>
      <c r="X205" s="97"/>
      <c r="AG205" s="97"/>
    </row>
    <row r="206" spans="6:33" s="96" customFormat="1">
      <c r="F206" s="97"/>
      <c r="O206" s="97"/>
      <c r="X206" s="97"/>
      <c r="AG206" s="97"/>
    </row>
    <row r="207" spans="6:33" s="96" customFormat="1">
      <c r="F207" s="97"/>
      <c r="O207" s="97"/>
      <c r="X207" s="97"/>
      <c r="AG207" s="97"/>
    </row>
    <row r="208" spans="6:33" s="96" customFormat="1">
      <c r="F208" s="97"/>
      <c r="O208" s="97"/>
      <c r="X208" s="97"/>
      <c r="AG208" s="97"/>
    </row>
    <row r="209" spans="6:33" s="96" customFormat="1">
      <c r="F209" s="97"/>
      <c r="O209" s="97"/>
      <c r="X209" s="97"/>
      <c r="AG209" s="97"/>
    </row>
    <row r="210" spans="6:33" s="96" customFormat="1">
      <c r="F210" s="97"/>
      <c r="O210" s="97"/>
      <c r="X210" s="97"/>
      <c r="AG210" s="97"/>
    </row>
    <row r="211" spans="6:33" s="96" customFormat="1">
      <c r="F211" s="97"/>
      <c r="O211" s="97"/>
      <c r="X211" s="97"/>
      <c r="AG211" s="97"/>
    </row>
    <row r="212" spans="6:33" s="96" customFormat="1">
      <c r="F212" s="97"/>
      <c r="O212" s="97"/>
      <c r="X212" s="97"/>
      <c r="AG212" s="97"/>
    </row>
    <row r="213" spans="6:33" s="96" customFormat="1">
      <c r="F213" s="97"/>
      <c r="O213" s="97"/>
      <c r="X213" s="97"/>
      <c r="AG213" s="97"/>
    </row>
    <row r="214" spans="6:33" s="96" customFormat="1">
      <c r="F214" s="97"/>
      <c r="O214" s="97"/>
      <c r="X214" s="97"/>
      <c r="AG214" s="97"/>
    </row>
    <row r="215" spans="6:33" s="96" customFormat="1">
      <c r="F215" s="97"/>
      <c r="O215" s="97"/>
      <c r="X215" s="97"/>
      <c r="AG215" s="97"/>
    </row>
    <row r="216" spans="6:33" s="96" customFormat="1">
      <c r="F216" s="97"/>
      <c r="O216" s="97"/>
      <c r="X216" s="97"/>
      <c r="AG216" s="97"/>
    </row>
    <row r="217" spans="6:33" s="96" customFormat="1">
      <c r="F217" s="97"/>
      <c r="O217" s="97"/>
      <c r="X217" s="97"/>
      <c r="AG217" s="97"/>
    </row>
    <row r="218" spans="6:33" s="96" customFormat="1">
      <c r="F218" s="97"/>
      <c r="O218" s="97"/>
      <c r="X218" s="97"/>
      <c r="AG218" s="97"/>
    </row>
    <row r="219" spans="6:33" s="96" customFormat="1">
      <c r="F219" s="97"/>
      <c r="O219" s="97"/>
      <c r="X219" s="97"/>
      <c r="AG219" s="97"/>
    </row>
    <row r="220" spans="6:33" s="96" customFormat="1">
      <c r="F220" s="97"/>
      <c r="O220" s="97"/>
      <c r="X220" s="97"/>
      <c r="AG220" s="97"/>
    </row>
    <row r="221" spans="6:33" s="96" customFormat="1">
      <c r="F221" s="97"/>
      <c r="O221" s="97"/>
      <c r="X221" s="97"/>
      <c r="AG221" s="97"/>
    </row>
    <row r="222" spans="6:33" s="96" customFormat="1">
      <c r="F222" s="97"/>
      <c r="O222" s="97"/>
      <c r="X222" s="97"/>
      <c r="AG222" s="97"/>
    </row>
    <row r="223" spans="6:33" s="96" customFormat="1">
      <c r="F223" s="97"/>
      <c r="O223" s="97"/>
      <c r="X223" s="97"/>
      <c r="AG223" s="97"/>
    </row>
    <row r="224" spans="6:33" s="96" customFormat="1">
      <c r="F224" s="97"/>
      <c r="O224" s="97"/>
      <c r="X224" s="97"/>
      <c r="AG224" s="97"/>
    </row>
    <row r="225" spans="6:33" s="96" customFormat="1">
      <c r="F225" s="97"/>
      <c r="O225" s="97"/>
      <c r="X225" s="97"/>
      <c r="AG225" s="97"/>
    </row>
    <row r="226" spans="6:33" s="96" customFormat="1">
      <c r="F226" s="97"/>
      <c r="O226" s="97"/>
      <c r="X226" s="97"/>
      <c r="AG226" s="97"/>
    </row>
    <row r="227" spans="6:33" s="96" customFormat="1">
      <c r="F227" s="97"/>
      <c r="O227" s="97"/>
      <c r="X227" s="97"/>
      <c r="AG227" s="97"/>
    </row>
    <row r="228" spans="6:33" s="96" customFormat="1">
      <c r="F228" s="97"/>
      <c r="O228" s="97"/>
      <c r="X228" s="97"/>
      <c r="AG228" s="97"/>
    </row>
    <row r="229" spans="6:33" s="96" customFormat="1">
      <c r="F229" s="97"/>
      <c r="O229" s="97"/>
      <c r="X229" s="97"/>
      <c r="AG229" s="97"/>
    </row>
    <row r="230" spans="6:33" s="96" customFormat="1">
      <c r="F230" s="97"/>
      <c r="O230" s="97"/>
      <c r="X230" s="97"/>
      <c r="AG230" s="97"/>
    </row>
    <row r="231" spans="6:33" s="96" customFormat="1">
      <c r="F231" s="97"/>
      <c r="O231" s="97"/>
      <c r="X231" s="97"/>
      <c r="AG231" s="97"/>
    </row>
    <row r="232" spans="6:33" s="96" customFormat="1">
      <c r="F232" s="97"/>
      <c r="O232" s="97"/>
      <c r="X232" s="97"/>
      <c r="AG232" s="97"/>
    </row>
    <row r="233" spans="6:33" s="96" customFormat="1">
      <c r="F233" s="97"/>
      <c r="O233" s="97"/>
      <c r="X233" s="97"/>
      <c r="AG233" s="97"/>
    </row>
    <row r="234" spans="6:33" s="96" customFormat="1">
      <c r="F234" s="97"/>
      <c r="O234" s="97"/>
      <c r="X234" s="97"/>
      <c r="AG234" s="97"/>
    </row>
    <row r="235" spans="6:33" s="96" customFormat="1">
      <c r="F235" s="97"/>
      <c r="O235" s="97"/>
      <c r="X235" s="97"/>
      <c r="AG235" s="97"/>
    </row>
    <row r="236" spans="6:33" s="96" customFormat="1">
      <c r="F236" s="97"/>
      <c r="O236" s="97"/>
      <c r="X236" s="97"/>
      <c r="AG236" s="97"/>
    </row>
    <row r="237" spans="6:33" s="96" customFormat="1">
      <c r="F237" s="97"/>
      <c r="O237" s="97"/>
      <c r="X237" s="97"/>
      <c r="AG237" s="97"/>
    </row>
    <row r="238" spans="6:33" s="96" customFormat="1">
      <c r="F238" s="97"/>
      <c r="O238" s="97"/>
      <c r="X238" s="97"/>
      <c r="AG238" s="97"/>
    </row>
    <row r="239" spans="6:33" s="96" customFormat="1">
      <c r="F239" s="97"/>
      <c r="O239" s="97"/>
      <c r="X239" s="97"/>
      <c r="AG239" s="97"/>
    </row>
    <row r="240" spans="6:33" s="96" customFormat="1">
      <c r="F240" s="97"/>
      <c r="O240" s="97"/>
      <c r="X240" s="97"/>
      <c r="AG240" s="97"/>
    </row>
    <row r="241" spans="6:33" s="96" customFormat="1">
      <c r="F241" s="97"/>
      <c r="O241" s="97"/>
      <c r="X241" s="97"/>
      <c r="AG241" s="97"/>
    </row>
    <row r="242" spans="6:33" s="96" customFormat="1">
      <c r="F242" s="97"/>
      <c r="O242" s="97"/>
      <c r="X242" s="97"/>
      <c r="AG242" s="97"/>
    </row>
    <row r="243" spans="6:33" s="96" customFormat="1">
      <c r="F243" s="97"/>
      <c r="O243" s="97"/>
      <c r="X243" s="97"/>
      <c r="AG243" s="97"/>
    </row>
    <row r="244" spans="6:33" s="96" customFormat="1">
      <c r="F244" s="97"/>
      <c r="O244" s="97"/>
      <c r="X244" s="97"/>
      <c r="AG244" s="97"/>
    </row>
    <row r="245" spans="6:33" s="96" customFormat="1">
      <c r="F245" s="97"/>
      <c r="O245" s="97"/>
      <c r="X245" s="97"/>
      <c r="AG245" s="97"/>
    </row>
    <row r="246" spans="6:33" s="96" customFormat="1">
      <c r="F246" s="97"/>
      <c r="O246" s="97"/>
      <c r="X246" s="97"/>
      <c r="AG246" s="97"/>
    </row>
    <row r="247" spans="6:33" s="96" customFormat="1">
      <c r="F247" s="97"/>
      <c r="O247" s="97"/>
      <c r="X247" s="97"/>
      <c r="AG247" s="97"/>
    </row>
    <row r="248" spans="6:33" s="96" customFormat="1">
      <c r="F248" s="97"/>
      <c r="O248" s="97"/>
      <c r="X248" s="97"/>
      <c r="AG248" s="97"/>
    </row>
    <row r="249" spans="6:33" s="96" customFormat="1">
      <c r="F249" s="97"/>
      <c r="O249" s="97"/>
      <c r="X249" s="97"/>
      <c r="AG249" s="97"/>
    </row>
    <row r="250" spans="6:33" s="96" customFormat="1">
      <c r="F250" s="97"/>
      <c r="O250" s="97"/>
      <c r="X250" s="97"/>
      <c r="AG250" s="97"/>
    </row>
    <row r="251" spans="6:33" s="96" customFormat="1">
      <c r="F251" s="97"/>
      <c r="O251" s="97"/>
      <c r="X251" s="97"/>
      <c r="AG251" s="97"/>
    </row>
    <row r="252" spans="6:33" s="96" customFormat="1">
      <c r="F252" s="97"/>
      <c r="O252" s="97"/>
      <c r="X252" s="97"/>
      <c r="AG252" s="97"/>
    </row>
    <row r="253" spans="6:33" s="96" customFormat="1">
      <c r="F253" s="97"/>
      <c r="O253" s="97"/>
      <c r="X253" s="97"/>
      <c r="AG253" s="97"/>
    </row>
    <row r="254" spans="6:33" s="96" customFormat="1">
      <c r="F254" s="97"/>
      <c r="O254" s="97"/>
      <c r="X254" s="97"/>
      <c r="AG254" s="97"/>
    </row>
    <row r="255" spans="6:33" s="96" customFormat="1">
      <c r="F255" s="97"/>
      <c r="O255" s="97"/>
      <c r="X255" s="97"/>
      <c r="AG255" s="97"/>
    </row>
    <row r="256" spans="6:33" s="96" customFormat="1">
      <c r="F256" s="97"/>
      <c r="O256" s="97"/>
      <c r="X256" s="97"/>
      <c r="AG256" s="97"/>
    </row>
    <row r="257" spans="6:33" s="96" customFormat="1">
      <c r="F257" s="97"/>
      <c r="O257" s="97"/>
      <c r="X257" s="97"/>
      <c r="AG257" s="97"/>
    </row>
    <row r="258" spans="6:33" s="96" customFormat="1">
      <c r="F258" s="97"/>
      <c r="O258" s="97"/>
      <c r="X258" s="97"/>
      <c r="AG258" s="97"/>
    </row>
    <row r="259" spans="6:33" s="96" customFormat="1">
      <c r="F259" s="97"/>
      <c r="O259" s="97"/>
      <c r="X259" s="97"/>
      <c r="AG259" s="97"/>
    </row>
    <row r="260" spans="6:33" s="96" customFormat="1">
      <c r="F260" s="97"/>
      <c r="O260" s="97"/>
      <c r="X260" s="97"/>
      <c r="AG260" s="97"/>
    </row>
    <row r="261" spans="6:33" s="96" customFormat="1">
      <c r="F261" s="97"/>
      <c r="O261" s="97"/>
      <c r="X261" s="97"/>
      <c r="AG261" s="97"/>
    </row>
    <row r="262" spans="6:33" s="96" customFormat="1">
      <c r="F262" s="97"/>
      <c r="O262" s="97"/>
      <c r="X262" s="97"/>
      <c r="AG262" s="97"/>
    </row>
    <row r="263" spans="6:33" s="96" customFormat="1">
      <c r="F263" s="97"/>
      <c r="O263" s="97"/>
      <c r="X263" s="97"/>
      <c r="AG263" s="97"/>
    </row>
    <row r="264" spans="6:33" s="96" customFormat="1">
      <c r="F264" s="97"/>
      <c r="O264" s="97"/>
      <c r="X264" s="97"/>
      <c r="AG264" s="97"/>
    </row>
    <row r="265" spans="6:33" s="96" customFormat="1">
      <c r="F265" s="97"/>
      <c r="O265" s="97"/>
      <c r="X265" s="97"/>
      <c r="AG265" s="97"/>
    </row>
    <row r="266" spans="6:33" s="96" customFormat="1">
      <c r="F266" s="97"/>
      <c r="O266" s="97"/>
      <c r="X266" s="97"/>
      <c r="AG266" s="97"/>
    </row>
    <row r="267" spans="6:33" s="96" customFormat="1">
      <c r="F267" s="97"/>
      <c r="O267" s="97"/>
      <c r="X267" s="97"/>
      <c r="AG267" s="97"/>
    </row>
    <row r="268" spans="6:33" s="96" customFormat="1">
      <c r="F268" s="97"/>
      <c r="O268" s="97"/>
      <c r="X268" s="97"/>
      <c r="AG268" s="97"/>
    </row>
    <row r="269" spans="6:33" s="96" customFormat="1">
      <c r="F269" s="97"/>
      <c r="O269" s="97"/>
      <c r="X269" s="97"/>
      <c r="AG269" s="97"/>
    </row>
    <row r="270" spans="6:33" s="96" customFormat="1">
      <c r="F270" s="97"/>
      <c r="O270" s="97"/>
      <c r="X270" s="97"/>
      <c r="AG270" s="97"/>
    </row>
    <row r="271" spans="6:33" s="96" customFormat="1">
      <c r="F271" s="97"/>
      <c r="O271" s="97"/>
      <c r="X271" s="97"/>
      <c r="AG271" s="97"/>
    </row>
    <row r="272" spans="6:33" s="96" customFormat="1">
      <c r="F272" s="97"/>
      <c r="O272" s="97"/>
      <c r="X272" s="97"/>
      <c r="AG272" s="97"/>
    </row>
    <row r="273" spans="6:33" s="96" customFormat="1">
      <c r="F273" s="97"/>
      <c r="O273" s="97"/>
      <c r="X273" s="97"/>
      <c r="AG273" s="97"/>
    </row>
    <row r="274" spans="6:33" s="96" customFormat="1">
      <c r="F274" s="97"/>
      <c r="O274" s="97"/>
      <c r="X274" s="97"/>
      <c r="AG274" s="97"/>
    </row>
  </sheetData>
  <sheetProtection algorithmName="SHA-512" hashValue="iJFBg82edJjLxv4vuVwFVkGqfbLhBS403rtWvFwZuZVmA9otb2o9g8M/n22Wbb72jZOWlaqplCHFoTKChL0dPw==" saltValue="dw4Hmrxr6AHOurNuG7MdXw==" spinCount="100000" sheet="1" scenarios="1" insertHyperlinks="0"/>
  <mergeCells count="117">
    <mergeCell ref="D8:F8"/>
    <mergeCell ref="G8:I8"/>
    <mergeCell ref="J8:L8"/>
    <mergeCell ref="M8:O8"/>
    <mergeCell ref="P8:R8"/>
    <mergeCell ref="S8:U8"/>
    <mergeCell ref="AQ8:AS8"/>
    <mergeCell ref="AQ10:AS10"/>
    <mergeCell ref="AQ11:AS11"/>
    <mergeCell ref="AQ14:AS14"/>
    <mergeCell ref="AQ15:AS15"/>
    <mergeCell ref="AQ16:AS16"/>
    <mergeCell ref="AQ12:AS12"/>
    <mergeCell ref="AQ13:AS13"/>
    <mergeCell ref="V8:X8"/>
    <mergeCell ref="Y8:AA8"/>
    <mergeCell ref="AB8:AD8"/>
    <mergeCell ref="AE8:AG8"/>
    <mergeCell ref="AH8:AJ8"/>
    <mergeCell ref="AK8:AM8"/>
    <mergeCell ref="V20:X20"/>
    <mergeCell ref="AQ17:AS17"/>
    <mergeCell ref="D18:F18"/>
    <mergeCell ref="G18:I18"/>
    <mergeCell ref="J18:L18"/>
    <mergeCell ref="M18:O18"/>
    <mergeCell ref="P18:R18"/>
    <mergeCell ref="S18:U18"/>
    <mergeCell ref="V18:X18"/>
    <mergeCell ref="Y18:AA18"/>
    <mergeCell ref="AB18:AD18"/>
    <mergeCell ref="Y20:AA20"/>
    <mergeCell ref="AB20:AD20"/>
    <mergeCell ref="AE20:AG20"/>
    <mergeCell ref="AH20:AJ20"/>
    <mergeCell ref="AK20:AM20"/>
    <mergeCell ref="AQ22:AS22"/>
    <mergeCell ref="AE18:AG18"/>
    <mergeCell ref="AH18:AJ18"/>
    <mergeCell ref="AK18:AM18"/>
    <mergeCell ref="AQ33:AS33"/>
    <mergeCell ref="AQ34:AS34"/>
    <mergeCell ref="D35:F35"/>
    <mergeCell ref="G35:I35"/>
    <mergeCell ref="J35:L35"/>
    <mergeCell ref="M35:O35"/>
    <mergeCell ref="P35:R35"/>
    <mergeCell ref="AQ23:AS23"/>
    <mergeCell ref="AQ24:AS24"/>
    <mergeCell ref="AQ25:AS25"/>
    <mergeCell ref="AQ26:AS26"/>
    <mergeCell ref="AQ28:AS28"/>
    <mergeCell ref="AQ29:AS29"/>
    <mergeCell ref="AQ27:AS27"/>
    <mergeCell ref="D20:F20"/>
    <mergeCell ref="G20:I20"/>
    <mergeCell ref="J20:L20"/>
    <mergeCell ref="M20:O20"/>
    <mergeCell ref="P20:R20"/>
    <mergeCell ref="S20:U20"/>
    <mergeCell ref="V37:X37"/>
    <mergeCell ref="Y37:AA37"/>
    <mergeCell ref="AB37:AD37"/>
    <mergeCell ref="S35:U35"/>
    <mergeCell ref="V35:X35"/>
    <mergeCell ref="Y35:AA35"/>
    <mergeCell ref="AB35:AD35"/>
    <mergeCell ref="AE35:AG35"/>
    <mergeCell ref="AH35:AJ35"/>
    <mergeCell ref="AQ32:AS32"/>
    <mergeCell ref="D52:H52"/>
    <mergeCell ref="D60:H60"/>
    <mergeCell ref="D68:H68"/>
    <mergeCell ref="D76:H76"/>
    <mergeCell ref="D84:H84"/>
    <mergeCell ref="D92:H92"/>
    <mergeCell ref="D48:H48"/>
    <mergeCell ref="D49:H49"/>
    <mergeCell ref="D50:H50"/>
    <mergeCell ref="D51:H51"/>
    <mergeCell ref="D42:F42"/>
    <mergeCell ref="G42:I42"/>
    <mergeCell ref="J42:L42"/>
    <mergeCell ref="M42:O42"/>
    <mergeCell ref="P42:R42"/>
    <mergeCell ref="S42:U42"/>
    <mergeCell ref="AK35:AM35"/>
    <mergeCell ref="D37:F37"/>
    <mergeCell ref="G37:I37"/>
    <mergeCell ref="J37:L37"/>
    <mergeCell ref="M37:O37"/>
    <mergeCell ref="P37:R37"/>
    <mergeCell ref="S37:U37"/>
    <mergeCell ref="J92:N92"/>
    <mergeCell ref="AP2:AS2"/>
    <mergeCell ref="J76:N76"/>
    <mergeCell ref="J60:N60"/>
    <mergeCell ref="J68:N68"/>
    <mergeCell ref="J84:N84"/>
    <mergeCell ref="J48:N48"/>
    <mergeCell ref="J49:N49"/>
    <mergeCell ref="J50:N50"/>
    <mergeCell ref="J51:N51"/>
    <mergeCell ref="J52:N52"/>
    <mergeCell ref="AQ42:AS42"/>
    <mergeCell ref="V42:X42"/>
    <mergeCell ref="Y42:AA42"/>
    <mergeCell ref="AB42:AD42"/>
    <mergeCell ref="AE42:AG42"/>
    <mergeCell ref="AH42:AJ42"/>
    <mergeCell ref="AK42:AM42"/>
    <mergeCell ref="AE37:AG37"/>
    <mergeCell ref="AH37:AJ37"/>
    <mergeCell ref="AK37:AM37"/>
    <mergeCell ref="AQ39:AS39"/>
    <mergeCell ref="AQ30:AS30"/>
    <mergeCell ref="AQ31:AS31"/>
  </mergeCells>
  <conditionalFormatting sqref="D8:AM8">
    <cfRule type="expression" dxfId="170" priority="13">
      <formula>E39&lt;0</formula>
    </cfRule>
  </conditionalFormatting>
  <conditionalFormatting sqref="D9:AM9">
    <cfRule type="expression" dxfId="169" priority="33" stopIfTrue="1">
      <formula>D204&lt;0</formula>
    </cfRule>
  </conditionalFormatting>
  <conditionalFormatting sqref="D20:AM20">
    <cfRule type="expression" dxfId="168" priority="14">
      <formula>E39&lt;0</formula>
    </cfRule>
  </conditionalFormatting>
  <conditionalFormatting sqref="D21:AM21">
    <cfRule type="expression" dxfId="167" priority="32" stopIfTrue="1">
      <formula>D213&lt;0</formula>
    </cfRule>
  </conditionalFormatting>
  <conditionalFormatting sqref="D37:AM37">
    <cfRule type="expression" dxfId="166" priority="22">
      <formula>E39&lt;0</formula>
    </cfRule>
  </conditionalFormatting>
  <conditionalFormatting sqref="D38:AM38">
    <cfRule type="expression" dxfId="165" priority="31" stopIfTrue="1">
      <formula>D228&lt;0</formula>
    </cfRule>
  </conditionalFormatting>
  <conditionalFormatting sqref="F10:F16">
    <cfRule type="cellIs" dxfId="164" priority="9" operator="equal">
      <formula>"ec"</formula>
    </cfRule>
    <cfRule type="cellIs" dxfId="163" priority="10" operator="equal">
      <formula>"ok"</formula>
    </cfRule>
  </conditionalFormatting>
  <conditionalFormatting sqref="F22:F33">
    <cfRule type="cellIs" dxfId="162" priority="3" operator="equal">
      <formula>"ec"</formula>
    </cfRule>
    <cfRule type="cellIs" dxfId="161" priority="4" operator="equal">
      <formula>"ok"</formula>
    </cfRule>
  </conditionalFormatting>
  <conditionalFormatting sqref="I10:I16">
    <cfRule type="cellIs" dxfId="160" priority="7" operator="equal">
      <formula>"ec"</formula>
    </cfRule>
    <cfRule type="cellIs" dxfId="159" priority="8" operator="equal">
      <formula>"ok"</formula>
    </cfRule>
  </conditionalFormatting>
  <conditionalFormatting sqref="I22:I33 L22:L33 O22:O33 R22:R33 U22:U33 X22:X33 AA22:AA33 AD22:AD33 AG22:AG33 AJ22:AJ33 AM22:AM33">
    <cfRule type="cellIs" dxfId="158" priority="1" operator="equal">
      <formula>"ec"</formula>
    </cfRule>
    <cfRule type="cellIs" dxfId="157" priority="2" operator="equal">
      <formula>"ok"</formula>
    </cfRule>
  </conditionalFormatting>
  <conditionalFormatting sqref="L10:L16 O10:O16 R10:R16 U10:U16 X10:X16 AA10:AA16 AD10:AD16 AG10:AG16 AJ10:AJ16 AM10:AM16">
    <cfRule type="cellIs" dxfId="156" priority="5" operator="equal">
      <formula>"ec"</formula>
    </cfRule>
    <cfRule type="cellIs" dxfId="155" priority="6" operator="equal">
      <formula>"ok"</formula>
    </cfRule>
  </conditionalFormatting>
  <conditionalFormatting sqref="AQ8:AS8">
    <cfRule type="expression" dxfId="154" priority="35" stopIfTrue="1">
      <formula>AR39&lt;0</formula>
    </cfRule>
  </conditionalFormatting>
  <dataValidations count="2">
    <dataValidation type="list" errorStyle="warning" allowBlank="1" showErrorMessage="1" errorTitle="REMARQUE :" error="Sélectionner &quot;OK&quot; si l'affectation d'argent a été réalisée._x000a__x000a_Sélectionner &quot;EC&quot; si l'affectation a été partiellement réalisée." sqref="AT983071:AT983081 F65557:F65561 F131093:F131097 F196629:F196633 F262165:F262169 F327701:F327705 F393237:F393241 F458773:F458777 F524309:F524313 F589845:F589849 F655381:F655385 F720917:F720921 F786453:F786457 F851989:F851993 F917525:F917529 F983061:F983065 I10:I16 I65557:I65561 I131093:I131097 I196629:I196633 I262165:I262169 I327701:I327705 I393237:I393241 I458773:I458777 I524309:I524313 I589845:I589849 I655381:I655385 I720917:I720921 I786453:I786457 I851989:I851993 I917525:I917529 I983061:I983065 AT458783:AT458793 O65557:O65561 O131093:O131097 O196629:O196633 O262165:O262169 O327701:O327705 O393237:O393241 O458773:O458777 O524309:O524313 O589845:O589849 O655381:O655385 O720917:O720921 O786453:O786457 O851989:O851993 O917525:O917529 O983061:O983065 F22:F33 F65567:F65577 F131103:F131113 F196639:F196649 F262175:F262185 F327711:F327721 F393247:F393257 F458783:F458793 F524319:F524329 F589855:F589865 F655391:F655401 F720927:F720937 F786463:F786473 F851999:F852009 F917535:F917545 F983071:F983081 AT524319:AT524329 U65557:U65561 U131093:U131097 U196629:U196633 U262165:U262169 U327701:U327705 U393237:U393241 U458773:U458777 U524309:U524313 U589845:U589849 U655381:U655385 U720917:U720921 U786453:U786457 U851989:U851993 U917525:U917529 U983061:U983065 AT589855:AT589865 R65557:R65561 R131093:R131097 R196629:R196633 R262165:R262169 R327701:R327705 R393237:R393241 R458773:R458777 R524309:R524313 R589845:R589849 R655381:R655385 R720917:R720921 R786453:R786457 R851989:R851993 R917525:R917529 R983061:R983065 AT655391:AT655401 X65557:X65561 X131093:X131097 X196629:X196633 X262165:X262169 X327701:X327705 X393237:X393241 X458773:X458777 X524309:X524313 X589845:X589849 X655381:X655385 X720917:X720921 X786453:X786457 X851989:X851993 X917525:X917529 X983061:X983065 AT720927:AT720937 AD65557:AD65561 AD131093:AD131097 AD196629:AD196633 AD262165:AD262169 AD327701:AD327705 AD393237:AD393241 AD458773:AD458777 AD524309:AD524313 AD589845:AD589849 AD655381:AD655385 AD720917:AD720921 AD786453:AD786457 AD851989:AD851993 AD917525:AD917529 AD983061:AD983065 AT786463:AT786473 AA65557:AA65561 AA131093:AA131097 AA196629:AA196633 AA262165:AA262169 AA327701:AA327705 AA393237:AA393241 AA458773:AA458777 AA524309:AA524313 AA589845:AA589849 AA655381:AA655385 AA720917:AA720921 AA786453:AA786457 AA851989:AA851993 AA917525:AA917529 AA983061:AA983065 AM10:AO16 AG65557:AG65561 AG131093:AG131097 AG196629:AG196633 AG262165:AG262169 AG327701:AG327705 AG393237:AG393241 AG458773:AG458777 AG524309:AG524313 AG589845:AG589849 AG655381:AG655385 AG720917:AG720921 AG786453:AG786457 AG851989:AG851993 AG917525:AG917529 AG983061:AG983065 AT851999:AT852009 AM65557:AO65561 AM131093:AO131097 AM196629:AO196633 AM262165:AO262169 AM327701:AO327705 AM393237:AO393241 AM458773:AO458777 AM524309:AO524313 AM589845:AO589849 AM655381:AO655385 AM720917:AO720921 AM786453:AO786457 AM851989:AO851993 AM917525:AO917529 AM983061:AO983065 AT917535:AT917545 AJ65557:AJ65561 AJ131093:AJ131097 AJ196629:AJ196633 AJ262165:AJ262169 AJ327701:AJ327705 AJ393237:AJ393241 AJ458773:AJ458777 AJ524309:AJ524313 AJ589845:AJ589849 AJ655381:AJ655385 AJ720917:AJ720921 AJ786453:AJ786457 AJ851989:AJ851993 AJ917525:AJ917529 AJ983061:AJ983065 AT393247:AT393257 I65567:I65577 I131103:I131113 I196639:I196649 I262175:I262185 I327711:I327721 I393247:I393257 I458783:I458793 I524319:I524329 I589855:I589865 I655391:I655401 I720927:I720937 I786463:I786473 I851999:I852009 I917535:I917545 I983071:I983081 F11:F16 L65557:L65561 L131093:L131097 L196629:L196633 L262165:L262169 L327701:L327705 L393237:L393241 L458773:L458777 L524309:L524313 L589845:L589849 L655381:L655385 L720917:L720921 L786453:L786457 L851989:L851993 L917525:L917529 L983061:L983065 AM22:AO33 AJ65567:AJ65577 AJ131103:AJ131113 AJ196639:AJ196649 AJ262175:AJ262185 AJ327711:AJ327721 AJ393247:AJ393257 AJ458783:AJ458793 AJ524319:AJ524329 AJ589855:AJ589865 AJ655391:AJ655401 AJ720927:AJ720937 AJ786463:AJ786473 AJ851999:AJ852009 AJ917535:AJ917545 AJ983071:AJ983081 L10:L16 AM65567:AO65577 AM131103:AO131113 AM196639:AO196649 AM262175:AO262185 AM327711:AO327721 AM393247:AO393257 AM458783:AO458793 AM524319:AO524329 AM589855:AO589865 AM655391:AO655401 AM720927:AO720937 AM786463:AO786473 AM851999:AO852009 AM917535:AO917545 AM983071:AO983081 O10:O16 AG65567:AG65577 AG131103:AG131113 AG196639:AG196649 AG262175:AG262185 AG327711:AG327721 AG393247:AG393257 AG458783:AG458793 AG524319:AG524329 AG589855:AG589865 AG655391:AG655401 AG720927:AG720937 AG786463:AG786473 AG851999:AG852009 AG917535:AG917545 AG983071:AG983081 R10:R16 AA65567:AA65577 AA131103:AA131113 AA196639:AA196649 AA262175:AA262185 AA327711:AA327721 AA393247:AA393257 AA458783:AA458793 AA524319:AA524329 AA589855:AA589865 AA655391:AA655401 AA720927:AA720937 AA786463:AA786473 AA851999:AA852009 AA917535:AA917545 AA983071:AA983081 U10:U16 AD65567:AD65577 AD131103:AD131113 AD196639:AD196649 AD262175:AD262185 AD327711:AD327721 AD393247:AD393257 AD458783:AD458793 AD524319:AD524329 AD589855:AD589865 AD655391:AD655401 AD720927:AD720937 AD786463:AD786473 AD851999:AD852009 AD917535:AD917545 AD983071:AD983081 X10:X16 X65567:X65577 X131103:X131113 X196639:X196649 X262175:X262185 X327711:X327721 X393247:X393257 X458783:X458793 X524319:X524329 X589855:X589865 X655391:X655401 X720927:X720937 X786463:X786473 X851999:X852009 X917535:X917545 X983071:X983081 AA10:AA16 R65567:R65577 R131103:R131113 R196639:R196649 R262175:R262185 R327711:R327721 R393247:R393257 R458783:R458793 R524319:R524329 R589855:R589865 R655391:R655401 R720927:R720937 R786463:R786473 R851999:R852009 R917535:R917545 R983071:R983081 AD10:AD16 U65567:U65577 U131103:U131113 U196639:U196649 U262175:U262185 U327711:U327721 U393247:U393257 U458783:U458793 U524319:U524329 U589855:U589865 U655391:U655401 U720927:U720937 U786463:U786473 U851999:U852009 U917535:U917545 U983071:U983081 AG10:AG16 O65567:O65577 O131103:O131113 O196639:O196649 O262175:O262185 O327711:O327721 O393247:O393257 O458783:O458793 O524319:O524329 O589855:O589865 O655391:O655401 O720927:O720937 O786463:O786473 O851999:O852009 O917535:O917545 O983071:O983081 AJ10:AJ16 L65567:L65577 L131103:L131113 L196639:L196649 L262175:L262185 L327711:L327721 L393247:L393257 L458783:L458793 L524319:L524329 L589855:L589865 L655391:L655401 L720927:L720937 L786463:L786473 L851999:L852009 L917535:L917545 L983071:L983081 AT10:AT16 AT65557:AT65561 AT131093:AT131097 AT196629:AT196633 AT262165:AT262169 AT327701:AT327705 AT393237:AT393241 AT458773:AT458777 AT524309:AT524313 AT589845:AT589849 AT655381:AT655385 AT720917:AT720921 AT786453:AT786457 AT851989:AT851993 AT917525:AT917529 AT983061:AT983065 AT22:AT33 AT65567:AT65577 AT131103:AT131113 AT196639:AT196649 AT262175:AT262185 AT327711:AT327721 I22:I33 L22:L33 O22:O33 R22:R33 U22:U33 X22:X33 AA22:AA33 AD22:AD33 AG22:AG33 AJ22:AJ33" xr:uid="{00000000-0002-0000-0700-000000000000}">
      <formula1>OK</formula1>
    </dataValidation>
    <dataValidation type="list" allowBlank="1" showInputMessage="1" showErrorMessage="1" sqref="F10" xr:uid="{00000000-0002-0000-0700-000001000000}">
      <formula1>OK</formula1>
    </dataValidation>
  </dataValidations>
  <hyperlinks>
    <hyperlink ref="A3" location="'Budget Gold'!A1" tooltip="Accès au Budget Gold" display="Accès au Budget" xr:uid="{00000000-0004-0000-0700-000000000000}"/>
    <hyperlink ref="A4" location="Simulateur!A1" tooltip="Simulateur d'épargne" display="Simulateur d'épargne" xr:uid="{00000000-0004-0000-0700-000001000000}"/>
    <hyperlink ref="A2" location="Menu!A1" tooltip="Accès au Menu Général" display="Accès au MENU" xr:uid="{00000000-0004-0000-0700-000002000000}"/>
  </hyperlink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xr:uid="{00000000-0002-0000-0700-000002000000}">
          <x14:formula1>
            <xm:f>Données!$D$64:$D$72</xm:f>
          </x14:formula1>
          <xm:sqref>C11:C16</xm:sqref>
        </x14:dataValidation>
        <x14:dataValidation type="list" allowBlank="1" showInputMessage="1" xr:uid="{00000000-0002-0000-0700-000003000000}">
          <x14:formula1>
            <xm:f>Données!$F$64:$F$78</xm:f>
          </x14:formula1>
          <xm:sqref>C22:C33</xm:sqref>
        </x14:dataValidation>
        <x14:dataValidation type="list" allowBlank="1" xr:uid="{00000000-0002-0000-0700-000004000000}">
          <x14:formula1>
            <xm:f>Données!$D$64:$D$72</xm:f>
          </x14:formula1>
          <xm:sqref>C10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U274"/>
  <sheetViews>
    <sheetView workbookViewId="0">
      <selection activeCell="AC3" sqref="AC3"/>
    </sheetView>
  </sheetViews>
  <sheetFormatPr baseColWidth="10" defaultColWidth="10.6640625" defaultRowHeight="13"/>
  <cols>
    <col min="1" max="1" width="16.1640625" style="96" bestFit="1" customWidth="1"/>
    <col min="2" max="2" width="1" style="96" customWidth="1"/>
    <col min="3" max="3" width="30.6640625" style="148" bestFit="1" customWidth="1"/>
    <col min="4" max="4" width="11.1640625" style="148" bestFit="1" customWidth="1"/>
    <col min="5" max="5" width="14.6640625" style="148" bestFit="1" customWidth="1"/>
    <col min="6" max="6" width="2.6640625" style="149" bestFit="1" customWidth="1"/>
    <col min="7" max="7" width="10.6640625" style="148"/>
    <col min="8" max="8" width="14.6640625" style="148" bestFit="1" customWidth="1"/>
    <col min="9" max="9" width="2.6640625" style="148" bestFit="1" customWidth="1"/>
    <col min="10" max="10" width="10.6640625" style="148"/>
    <col min="11" max="11" width="13.33203125" style="148" bestFit="1" customWidth="1"/>
    <col min="12" max="12" width="2.6640625" style="148" bestFit="1" customWidth="1"/>
    <col min="13" max="13" width="11.1640625" style="148" bestFit="1" customWidth="1"/>
    <col min="14" max="14" width="14.6640625" style="148" bestFit="1" customWidth="1"/>
    <col min="15" max="15" width="2.6640625" style="149" bestFit="1" customWidth="1"/>
    <col min="16" max="16" width="10.6640625" style="148"/>
    <col min="17" max="17" width="14.6640625" style="148" bestFit="1" customWidth="1"/>
    <col min="18" max="18" width="2.6640625" style="148" bestFit="1" customWidth="1"/>
    <col min="19" max="19" width="10.6640625" style="148"/>
    <col min="20" max="20" width="14.6640625" style="148" bestFit="1" customWidth="1"/>
    <col min="21" max="21" width="2.6640625" style="148" bestFit="1" customWidth="1"/>
    <col min="22" max="22" width="11.1640625" style="148" bestFit="1" customWidth="1"/>
    <col min="23" max="23" width="14.6640625" style="148" bestFit="1" customWidth="1"/>
    <col min="24" max="24" width="2.6640625" style="149" bestFit="1" customWidth="1"/>
    <col min="25" max="25" width="10.6640625" style="148"/>
    <col min="26" max="26" width="14.6640625" style="148" bestFit="1" customWidth="1"/>
    <col min="27" max="27" width="2.6640625" style="148" bestFit="1" customWidth="1"/>
    <col min="28" max="28" width="10.6640625" style="148"/>
    <col min="29" max="29" width="14.6640625" style="148" bestFit="1" customWidth="1"/>
    <col min="30" max="30" width="2.6640625" style="148" bestFit="1" customWidth="1"/>
    <col min="31" max="31" width="11.1640625" style="148" bestFit="1" customWidth="1"/>
    <col min="32" max="32" width="14.6640625" style="148" bestFit="1" customWidth="1"/>
    <col min="33" max="33" width="2.6640625" style="149" bestFit="1" customWidth="1"/>
    <col min="34" max="34" width="10.6640625" style="148"/>
    <col min="35" max="35" width="14.6640625" style="148" bestFit="1" customWidth="1"/>
    <col min="36" max="36" width="2.6640625" style="148" bestFit="1" customWidth="1"/>
    <col min="37" max="37" width="10.6640625" style="148"/>
    <col min="38" max="38" width="14.6640625" style="148" bestFit="1" customWidth="1"/>
    <col min="39" max="39" width="2.6640625" style="148" bestFit="1" customWidth="1"/>
    <col min="40" max="40" width="4.6640625" style="96" customWidth="1"/>
    <col min="41" max="41" width="1.33203125" style="96" customWidth="1"/>
    <col min="42" max="42" width="34.33203125" style="148" bestFit="1" customWidth="1"/>
    <col min="43" max="45" width="10.6640625" style="148"/>
    <col min="46" max="46" width="1.33203125" style="96" customWidth="1"/>
    <col min="47" max="16384" width="10.6640625" style="96"/>
  </cols>
  <sheetData>
    <row r="1" spans="1:47">
      <c r="C1" s="96"/>
      <c r="D1" s="96"/>
      <c r="E1" s="96"/>
      <c r="F1" s="97"/>
      <c r="G1" s="96"/>
      <c r="H1" s="96"/>
      <c r="I1" s="96"/>
      <c r="J1" s="96"/>
      <c r="K1" s="96"/>
      <c r="L1" s="96"/>
      <c r="M1" s="96"/>
      <c r="N1" s="96"/>
      <c r="O1" s="97"/>
      <c r="P1" s="96"/>
      <c r="Q1" s="96"/>
      <c r="R1" s="96"/>
      <c r="S1" s="96"/>
      <c r="T1" s="96"/>
      <c r="U1" s="96"/>
      <c r="V1" s="96"/>
      <c r="W1" s="96"/>
      <c r="X1" s="97"/>
      <c r="Y1" s="96"/>
      <c r="Z1" s="96"/>
      <c r="AA1" s="96"/>
      <c r="AB1" s="96"/>
      <c r="AC1" s="96"/>
      <c r="AD1" s="96"/>
      <c r="AE1" s="96"/>
      <c r="AF1" s="96"/>
      <c r="AG1" s="97"/>
      <c r="AH1" s="96"/>
      <c r="AI1" s="96"/>
      <c r="AJ1" s="96"/>
      <c r="AK1" s="96"/>
      <c r="AL1" s="96"/>
      <c r="AM1" s="96"/>
      <c r="AP1" s="96"/>
      <c r="AQ1" s="96"/>
      <c r="AR1" s="96"/>
      <c r="AS1" s="96"/>
    </row>
    <row r="2" spans="1:47" ht="31">
      <c r="A2" s="98" t="s">
        <v>290</v>
      </c>
      <c r="C2" s="100" t="s">
        <v>403</v>
      </c>
      <c r="D2" s="99" t="s">
        <v>410</v>
      </c>
      <c r="E2" s="96"/>
      <c r="F2" s="97"/>
      <c r="G2" s="96"/>
      <c r="H2" s="96"/>
      <c r="I2" s="96"/>
      <c r="J2" s="96"/>
      <c r="K2" s="96"/>
      <c r="L2" s="96"/>
      <c r="M2" s="96"/>
      <c r="N2" s="96"/>
      <c r="O2" s="97"/>
      <c r="P2" s="96"/>
      <c r="Q2" s="96"/>
      <c r="R2" s="96"/>
      <c r="S2" s="96"/>
      <c r="T2" s="96"/>
      <c r="U2" s="96"/>
      <c r="V2" s="96"/>
      <c r="W2" s="96"/>
      <c r="X2" s="97"/>
      <c r="Y2" s="96"/>
      <c r="Z2" s="96"/>
      <c r="AA2" s="96"/>
      <c r="AB2" s="96"/>
      <c r="AC2" s="96"/>
      <c r="AD2" s="96"/>
      <c r="AE2" s="96"/>
      <c r="AF2" s="96"/>
      <c r="AG2" s="97"/>
      <c r="AH2" s="96"/>
      <c r="AI2" s="96"/>
      <c r="AJ2" s="96"/>
      <c r="AK2" s="96"/>
      <c r="AL2" s="96"/>
      <c r="AM2" s="96"/>
      <c r="AP2" s="783" t="s">
        <v>403</v>
      </c>
      <c r="AQ2" s="783"/>
      <c r="AR2" s="783"/>
      <c r="AS2" s="783"/>
    </row>
    <row r="3" spans="1:47">
      <c r="A3" s="101" t="s">
        <v>402</v>
      </c>
      <c r="C3" s="96"/>
      <c r="D3" s="96"/>
      <c r="E3" s="96"/>
      <c r="F3" s="97"/>
      <c r="G3" s="96"/>
      <c r="H3" s="96"/>
      <c r="I3" s="96"/>
      <c r="J3" s="96"/>
      <c r="K3" s="96"/>
      <c r="L3" s="96"/>
      <c r="M3" s="96"/>
      <c r="N3" s="96"/>
      <c r="O3" s="97"/>
      <c r="P3" s="96"/>
      <c r="Q3" s="96"/>
      <c r="R3" s="96"/>
      <c r="S3" s="96"/>
      <c r="T3" s="96"/>
      <c r="U3" s="96"/>
      <c r="V3" s="96"/>
      <c r="W3" s="96"/>
      <c r="X3" s="97"/>
      <c r="Y3" s="96"/>
      <c r="Z3" s="96"/>
      <c r="AA3" s="96"/>
      <c r="AB3" s="96"/>
      <c r="AC3" s="96"/>
      <c r="AD3" s="96"/>
      <c r="AE3" s="96"/>
      <c r="AF3" s="96"/>
      <c r="AG3" s="97"/>
      <c r="AH3" s="96"/>
      <c r="AI3" s="96"/>
      <c r="AJ3" s="96"/>
      <c r="AK3" s="96"/>
      <c r="AL3" s="96"/>
      <c r="AM3" s="96"/>
      <c r="AP3" s="96"/>
      <c r="AQ3" s="96"/>
      <c r="AR3" s="96"/>
      <c r="AS3" s="96"/>
    </row>
    <row r="4" spans="1:47" ht="16">
      <c r="A4" s="102" t="s">
        <v>351</v>
      </c>
      <c r="C4" s="150" t="s">
        <v>405</v>
      </c>
      <c r="D4" s="96"/>
      <c r="E4" s="96"/>
      <c r="F4" s="97"/>
      <c r="G4" s="96"/>
      <c r="H4" s="96"/>
      <c r="I4" s="96"/>
      <c r="J4" s="178" t="str">
        <f>Menu!I6</f>
        <v>Version 2026 Révision VMAX EUR</v>
      </c>
      <c r="K4" s="96"/>
      <c r="L4" s="96"/>
      <c r="M4" s="96"/>
      <c r="N4" s="96"/>
      <c r="O4" s="97"/>
      <c r="P4" s="96"/>
      <c r="Q4" s="96"/>
      <c r="R4" s="96"/>
      <c r="S4" s="96"/>
      <c r="T4" s="96"/>
      <c r="U4" s="96"/>
      <c r="V4" s="96"/>
      <c r="W4" s="96"/>
      <c r="X4" s="97"/>
      <c r="Y4" s="96"/>
      <c r="Z4" s="96"/>
      <c r="AA4" s="96"/>
      <c r="AB4" s="96"/>
      <c r="AC4" s="96"/>
      <c r="AD4" s="96"/>
      <c r="AE4" s="96"/>
      <c r="AF4" s="96"/>
      <c r="AG4" s="97"/>
      <c r="AH4" s="96"/>
      <c r="AI4" s="96"/>
      <c r="AJ4" s="96"/>
      <c r="AK4" s="96"/>
      <c r="AL4" s="96"/>
      <c r="AM4" s="96"/>
      <c r="AP4" s="103"/>
      <c r="AQ4" s="96"/>
      <c r="AR4" s="96"/>
      <c r="AS4" s="96"/>
    </row>
    <row r="5" spans="1:47">
      <c r="C5" s="151" t="s">
        <v>380</v>
      </c>
      <c r="D5" s="96"/>
      <c r="E5" s="96"/>
      <c r="F5" s="97"/>
      <c r="G5" s="96"/>
      <c r="H5" s="96"/>
      <c r="I5" s="96"/>
      <c r="J5" s="96"/>
      <c r="K5" s="96"/>
      <c r="L5" s="96"/>
      <c r="M5" s="96"/>
      <c r="N5" s="96"/>
      <c r="O5" s="97"/>
      <c r="P5" s="96"/>
      <c r="Q5" s="96"/>
      <c r="R5" s="96"/>
      <c r="S5" s="96"/>
      <c r="T5" s="96"/>
      <c r="U5" s="96"/>
      <c r="V5" s="96"/>
      <c r="W5" s="96"/>
      <c r="X5" s="97"/>
      <c r="Y5" s="96"/>
      <c r="Z5" s="96"/>
      <c r="AA5" s="96"/>
      <c r="AB5" s="96"/>
      <c r="AC5" s="96"/>
      <c r="AD5" s="96"/>
      <c r="AE5" s="96"/>
      <c r="AF5" s="96"/>
      <c r="AG5" s="97"/>
      <c r="AH5" s="96"/>
      <c r="AI5" s="96"/>
      <c r="AJ5" s="96"/>
      <c r="AK5" s="96"/>
      <c r="AL5" s="96"/>
      <c r="AM5" s="96"/>
      <c r="AP5" s="104"/>
      <c r="AQ5" s="96"/>
      <c r="AR5" s="96"/>
      <c r="AS5" s="96"/>
    </row>
    <row r="6" spans="1:47" ht="14" thickBot="1">
      <c r="C6" s="151" t="s">
        <v>388</v>
      </c>
      <c r="D6" s="96"/>
      <c r="E6" s="96"/>
      <c r="F6" s="97"/>
      <c r="G6" s="96"/>
      <c r="H6" s="96"/>
      <c r="I6" s="96"/>
      <c r="J6" s="96"/>
      <c r="K6" s="96"/>
      <c r="L6" s="96"/>
      <c r="M6" s="96"/>
      <c r="N6" s="96"/>
      <c r="O6" s="97"/>
      <c r="P6" s="96"/>
      <c r="Q6" s="96"/>
      <c r="R6" s="96"/>
      <c r="S6" s="96"/>
      <c r="T6" s="96"/>
      <c r="U6" s="96"/>
      <c r="V6" s="96"/>
      <c r="W6" s="96"/>
      <c r="X6" s="97"/>
      <c r="Y6" s="96"/>
      <c r="Z6" s="96"/>
      <c r="AA6" s="96"/>
      <c r="AB6" s="96"/>
      <c r="AC6" s="96"/>
      <c r="AD6" s="96"/>
      <c r="AE6" s="96"/>
      <c r="AF6" s="96"/>
      <c r="AG6" s="97"/>
      <c r="AH6" s="96"/>
      <c r="AI6" s="96"/>
      <c r="AJ6" s="96"/>
      <c r="AK6" s="96"/>
      <c r="AL6" s="96"/>
      <c r="AM6" s="96"/>
      <c r="AP6" s="104"/>
      <c r="AQ6" s="96"/>
      <c r="AR6" s="96"/>
      <c r="AS6" s="96"/>
    </row>
    <row r="7" spans="1:47" ht="14" thickBot="1">
      <c r="C7" s="96"/>
      <c r="D7" s="96"/>
      <c r="E7" s="96"/>
      <c r="F7" s="97"/>
      <c r="G7" s="96"/>
      <c r="H7" s="96"/>
      <c r="I7" s="96"/>
      <c r="J7" s="96"/>
      <c r="K7" s="96"/>
      <c r="L7" s="96"/>
      <c r="M7" s="96"/>
      <c r="N7" s="96"/>
      <c r="O7" s="97"/>
      <c r="P7" s="96"/>
      <c r="Q7" s="96"/>
      <c r="R7" s="96"/>
      <c r="S7" s="96"/>
      <c r="T7" s="96"/>
      <c r="U7" s="96"/>
      <c r="V7" s="96"/>
      <c r="W7" s="96"/>
      <c r="X7" s="97"/>
      <c r="Y7" s="96"/>
      <c r="Z7" s="96"/>
      <c r="AA7" s="96"/>
      <c r="AB7" s="96"/>
      <c r="AC7" s="96"/>
      <c r="AD7" s="96"/>
      <c r="AE7" s="96"/>
      <c r="AF7" s="96"/>
      <c r="AG7" s="97"/>
      <c r="AH7" s="96"/>
      <c r="AI7" s="96"/>
      <c r="AJ7" s="96"/>
      <c r="AK7" s="96"/>
      <c r="AL7" s="96"/>
      <c r="AM7" s="96"/>
      <c r="AO7" s="105"/>
      <c r="AP7" s="106"/>
      <c r="AQ7" s="106"/>
      <c r="AR7" s="106"/>
      <c r="AS7" s="106"/>
      <c r="AT7" s="107"/>
    </row>
    <row r="8" spans="1:47" ht="18" thickBot="1">
      <c r="C8" s="108" t="s">
        <v>353</v>
      </c>
      <c r="D8" s="793">
        <f>Menu!F22</f>
        <v>46174</v>
      </c>
      <c r="E8" s="793"/>
      <c r="F8" s="794"/>
      <c r="G8" s="793">
        <f t="shared" ref="G8" si="0">D8+32</f>
        <v>46206</v>
      </c>
      <c r="H8" s="793"/>
      <c r="I8" s="794"/>
      <c r="J8" s="793">
        <f t="shared" ref="J8" si="1">G8+32</f>
        <v>46238</v>
      </c>
      <c r="K8" s="793"/>
      <c r="L8" s="794"/>
      <c r="M8" s="793">
        <f t="shared" ref="M8" si="2">J8+32</f>
        <v>46270</v>
      </c>
      <c r="N8" s="793"/>
      <c r="O8" s="794"/>
      <c r="P8" s="793">
        <f t="shared" ref="P8" si="3">M8+32</f>
        <v>46302</v>
      </c>
      <c r="Q8" s="793"/>
      <c r="R8" s="794"/>
      <c r="S8" s="793">
        <f t="shared" ref="S8" si="4">P8+32</f>
        <v>46334</v>
      </c>
      <c r="T8" s="793"/>
      <c r="U8" s="794"/>
      <c r="V8" s="793">
        <f t="shared" ref="V8" si="5">S8+32</f>
        <v>46366</v>
      </c>
      <c r="W8" s="793"/>
      <c r="X8" s="794"/>
      <c r="Y8" s="793">
        <f t="shared" ref="Y8" si="6">V8+32</f>
        <v>46398</v>
      </c>
      <c r="Z8" s="793"/>
      <c r="AA8" s="794"/>
      <c r="AB8" s="793">
        <f t="shared" ref="AB8" si="7">Y8+32</f>
        <v>46430</v>
      </c>
      <c r="AC8" s="793"/>
      <c r="AD8" s="794"/>
      <c r="AE8" s="793">
        <f t="shared" ref="AE8" si="8">AB8+32</f>
        <v>46462</v>
      </c>
      <c r="AF8" s="793"/>
      <c r="AG8" s="794"/>
      <c r="AH8" s="793">
        <f t="shared" ref="AH8" si="9">AE8+32</f>
        <v>46494</v>
      </c>
      <c r="AI8" s="793"/>
      <c r="AJ8" s="794"/>
      <c r="AK8" s="793">
        <f t="shared" ref="AK8" si="10">AH8+32</f>
        <v>46526</v>
      </c>
      <c r="AL8" s="793"/>
      <c r="AM8" s="794"/>
      <c r="AO8" s="109"/>
      <c r="AP8" s="110" t="s">
        <v>353</v>
      </c>
      <c r="AQ8" s="810" t="s">
        <v>243</v>
      </c>
      <c r="AR8" s="811"/>
      <c r="AS8" s="812"/>
      <c r="AT8" s="111"/>
    </row>
    <row r="9" spans="1:47">
      <c r="B9" s="112"/>
      <c r="C9" s="112"/>
      <c r="D9" s="113" t="s">
        <v>58</v>
      </c>
      <c r="E9" s="113" t="s">
        <v>59</v>
      </c>
      <c r="F9" s="114"/>
      <c r="G9" s="113" t="s">
        <v>58</v>
      </c>
      <c r="H9" s="113" t="s">
        <v>59</v>
      </c>
      <c r="I9" s="114"/>
      <c r="J9" s="113" t="s">
        <v>58</v>
      </c>
      <c r="K9" s="113" t="s">
        <v>59</v>
      </c>
      <c r="L9" s="114"/>
      <c r="M9" s="113" t="s">
        <v>58</v>
      </c>
      <c r="N9" s="113" t="s">
        <v>59</v>
      </c>
      <c r="O9" s="114"/>
      <c r="P9" s="113" t="s">
        <v>58</v>
      </c>
      <c r="Q9" s="113" t="s">
        <v>59</v>
      </c>
      <c r="R9" s="114"/>
      <c r="S9" s="113" t="s">
        <v>58</v>
      </c>
      <c r="T9" s="113" t="s">
        <v>59</v>
      </c>
      <c r="U9" s="114"/>
      <c r="V9" s="113" t="s">
        <v>58</v>
      </c>
      <c r="W9" s="113" t="s">
        <v>59</v>
      </c>
      <c r="X9" s="114"/>
      <c r="Y9" s="113" t="s">
        <v>58</v>
      </c>
      <c r="Z9" s="113" t="s">
        <v>59</v>
      </c>
      <c r="AA9" s="114"/>
      <c r="AB9" s="113" t="s">
        <v>58</v>
      </c>
      <c r="AC9" s="113" t="s">
        <v>59</v>
      </c>
      <c r="AD9" s="114"/>
      <c r="AE9" s="113" t="s">
        <v>58</v>
      </c>
      <c r="AF9" s="113" t="s">
        <v>59</v>
      </c>
      <c r="AG9" s="114"/>
      <c r="AH9" s="113" t="s">
        <v>58</v>
      </c>
      <c r="AI9" s="113" t="s">
        <v>59</v>
      </c>
      <c r="AJ9" s="114"/>
      <c r="AK9" s="113" t="s">
        <v>58</v>
      </c>
      <c r="AL9" s="113" t="s">
        <v>59</v>
      </c>
      <c r="AM9" s="114"/>
      <c r="AN9" s="112"/>
      <c r="AO9" s="115"/>
      <c r="AP9" s="116"/>
      <c r="AQ9" s="116"/>
      <c r="AR9" s="116"/>
      <c r="AS9" s="116"/>
      <c r="AT9" s="117"/>
      <c r="AU9" s="112"/>
    </row>
    <row r="10" spans="1:47" ht="14">
      <c r="C10" s="333" t="s">
        <v>477</v>
      </c>
      <c r="D10" s="330"/>
      <c r="E10" s="331"/>
      <c r="F10" s="323"/>
      <c r="G10" s="330"/>
      <c r="H10" s="331"/>
      <c r="I10" s="323"/>
      <c r="J10" s="330"/>
      <c r="K10" s="331"/>
      <c r="L10" s="323"/>
      <c r="M10" s="330"/>
      <c r="N10" s="331"/>
      <c r="O10" s="323"/>
      <c r="P10" s="330"/>
      <c r="Q10" s="331"/>
      <c r="R10" s="323"/>
      <c r="S10" s="330"/>
      <c r="T10" s="331"/>
      <c r="U10" s="323"/>
      <c r="V10" s="330"/>
      <c r="W10" s="331"/>
      <c r="X10" s="323"/>
      <c r="Y10" s="330"/>
      <c r="Z10" s="331"/>
      <c r="AA10" s="323"/>
      <c r="AB10" s="330"/>
      <c r="AC10" s="331"/>
      <c r="AD10" s="323"/>
      <c r="AE10" s="330"/>
      <c r="AF10" s="331"/>
      <c r="AG10" s="323"/>
      <c r="AH10" s="330"/>
      <c r="AI10" s="331"/>
      <c r="AJ10" s="323"/>
      <c r="AK10" s="330"/>
      <c r="AL10" s="331"/>
      <c r="AM10" s="323"/>
      <c r="AO10" s="109"/>
      <c r="AP10" s="118" t="str">
        <f>C10</f>
        <v>Loyers</v>
      </c>
      <c r="AQ10" s="795">
        <f>SUM(MAX(D10:E10),MAX(G10:H10),MAX(J10:K10),MAX(M10,N10),MAX(P10:Q10),MAX(S10:T10),MAX(V10:W10),MAX(Y10:Z10),MAX(AB10:AC10),MAX(AE10,AF10),MAX(AH10:AI10),MAX(AK10:AL10))</f>
        <v>0</v>
      </c>
      <c r="AR10" s="796"/>
      <c r="AS10" s="797"/>
      <c r="AT10" s="111"/>
    </row>
    <row r="11" spans="1:47" ht="14">
      <c r="C11" s="333" t="s">
        <v>355</v>
      </c>
      <c r="D11" s="332"/>
      <c r="E11" s="331"/>
      <c r="F11" s="323"/>
      <c r="G11" s="330"/>
      <c r="H11" s="331"/>
      <c r="I11" s="323"/>
      <c r="J11" s="330"/>
      <c r="K11" s="331"/>
      <c r="L11" s="323"/>
      <c r="M11" s="330"/>
      <c r="N11" s="331"/>
      <c r="O11" s="323"/>
      <c r="P11" s="330"/>
      <c r="Q11" s="331"/>
      <c r="R11" s="323"/>
      <c r="S11" s="330"/>
      <c r="T11" s="331"/>
      <c r="U11" s="323"/>
      <c r="V11" s="330"/>
      <c r="W11" s="331"/>
      <c r="X11" s="323"/>
      <c r="Y11" s="330"/>
      <c r="Z11" s="331"/>
      <c r="AA11" s="323"/>
      <c r="AB11" s="330"/>
      <c r="AC11" s="331"/>
      <c r="AD11" s="323"/>
      <c r="AE11" s="330"/>
      <c r="AF11" s="331"/>
      <c r="AG11" s="323"/>
      <c r="AH11" s="330"/>
      <c r="AI11" s="331"/>
      <c r="AJ11" s="323"/>
      <c r="AK11" s="330"/>
      <c r="AL11" s="331"/>
      <c r="AM11" s="323"/>
      <c r="AO11" s="109"/>
      <c r="AP11" s="118" t="str">
        <f>C11</f>
        <v>Provisions pour charges</v>
      </c>
      <c r="AQ11" s="795">
        <f>SUM(MAX(D11:E11),MAX(G11:H11),MAX(J11:K11),MAX(M11,N11),MAX(P11:Q11),MAX(S11:T11),MAX(V11:W11),MAX(Y11:Z11),MAX(AB11:AC11),MAX(AE11,AF11),MAX(AH11:AI11),MAX(AK11:AL11))</f>
        <v>0</v>
      </c>
      <c r="AR11" s="796"/>
      <c r="AS11" s="797"/>
      <c r="AT11" s="111"/>
    </row>
    <row r="12" spans="1:47" ht="14">
      <c r="C12" s="333" t="s">
        <v>356</v>
      </c>
      <c r="D12" s="330"/>
      <c r="E12" s="331"/>
      <c r="F12" s="323"/>
      <c r="G12" s="330"/>
      <c r="H12" s="331"/>
      <c r="I12" s="323"/>
      <c r="J12" s="330"/>
      <c r="K12" s="331"/>
      <c r="L12" s="323"/>
      <c r="M12" s="330"/>
      <c r="N12" s="331"/>
      <c r="O12" s="323"/>
      <c r="P12" s="330"/>
      <c r="Q12" s="331"/>
      <c r="R12" s="323"/>
      <c r="S12" s="330"/>
      <c r="T12" s="331"/>
      <c r="U12" s="323"/>
      <c r="V12" s="330"/>
      <c r="W12" s="331"/>
      <c r="X12" s="323"/>
      <c r="Y12" s="330"/>
      <c r="Z12" s="331"/>
      <c r="AA12" s="323"/>
      <c r="AB12" s="330"/>
      <c r="AC12" s="331"/>
      <c r="AD12" s="323"/>
      <c r="AE12" s="330"/>
      <c r="AF12" s="331"/>
      <c r="AG12" s="323"/>
      <c r="AH12" s="330"/>
      <c r="AI12" s="331"/>
      <c r="AJ12" s="323"/>
      <c r="AK12" s="330"/>
      <c r="AL12" s="331"/>
      <c r="AM12" s="323"/>
      <c r="AO12" s="109"/>
      <c r="AP12" s="118" t="str">
        <f t="shared" ref="AP12:AP13" si="11">C12</f>
        <v>Dépots de garantie</v>
      </c>
      <c r="AQ12" s="795">
        <f t="shared" ref="AQ12:AQ13" si="12">SUM(MAX(D12:E12),MAX(G12:H12),MAX(J12:K12),MAX(M12,N12),MAX(P12:Q12),MAX(S12:T12),MAX(V12:W12),MAX(Y12:Z12),MAX(AB12:AC12),MAX(AE12,AF12),MAX(AH12:AI12),MAX(AK12:AL12))</f>
        <v>0</v>
      </c>
      <c r="AR12" s="796"/>
      <c r="AS12" s="797"/>
      <c r="AT12" s="111"/>
    </row>
    <row r="13" spans="1:47" ht="14">
      <c r="C13" s="333" t="s">
        <v>357</v>
      </c>
      <c r="D13" s="330"/>
      <c r="E13" s="331"/>
      <c r="F13" s="323"/>
      <c r="G13" s="330"/>
      <c r="H13" s="331"/>
      <c r="I13" s="323"/>
      <c r="J13" s="330"/>
      <c r="K13" s="331"/>
      <c r="L13" s="323"/>
      <c r="M13" s="330"/>
      <c r="N13" s="331"/>
      <c r="O13" s="323"/>
      <c r="P13" s="330"/>
      <c r="Q13" s="331"/>
      <c r="R13" s="323"/>
      <c r="S13" s="330"/>
      <c r="T13" s="331"/>
      <c r="U13" s="323"/>
      <c r="V13" s="330"/>
      <c r="W13" s="331"/>
      <c r="X13" s="323"/>
      <c r="Y13" s="330"/>
      <c r="Z13" s="331"/>
      <c r="AA13" s="323"/>
      <c r="AB13" s="330"/>
      <c r="AC13" s="331"/>
      <c r="AD13" s="323"/>
      <c r="AE13" s="330"/>
      <c r="AF13" s="331"/>
      <c r="AG13" s="323"/>
      <c r="AH13" s="330"/>
      <c r="AI13" s="331"/>
      <c r="AJ13" s="323"/>
      <c r="AK13" s="330"/>
      <c r="AL13" s="331"/>
      <c r="AM13" s="323"/>
      <c r="AO13" s="109"/>
      <c r="AP13" s="118" t="str">
        <f t="shared" si="11"/>
        <v>Apports personnels</v>
      </c>
      <c r="AQ13" s="795">
        <f t="shared" si="12"/>
        <v>0</v>
      </c>
      <c r="AR13" s="796"/>
      <c r="AS13" s="797"/>
      <c r="AT13" s="111"/>
    </row>
    <row r="14" spans="1:47" ht="14">
      <c r="C14" s="333" t="s">
        <v>394</v>
      </c>
      <c r="D14" s="330"/>
      <c r="E14" s="331"/>
      <c r="F14" s="323"/>
      <c r="G14" s="330"/>
      <c r="H14" s="331"/>
      <c r="I14" s="323"/>
      <c r="J14" s="330"/>
      <c r="K14" s="331"/>
      <c r="L14" s="323"/>
      <c r="M14" s="330"/>
      <c r="N14" s="331"/>
      <c r="O14" s="323"/>
      <c r="P14" s="330"/>
      <c r="Q14" s="331"/>
      <c r="R14" s="323"/>
      <c r="S14" s="330"/>
      <c r="T14" s="331"/>
      <c r="U14" s="323"/>
      <c r="V14" s="330"/>
      <c r="W14" s="331"/>
      <c r="X14" s="323"/>
      <c r="Y14" s="330"/>
      <c r="Z14" s="331"/>
      <c r="AA14" s="323"/>
      <c r="AB14" s="330"/>
      <c r="AC14" s="331"/>
      <c r="AD14" s="323"/>
      <c r="AE14" s="330"/>
      <c r="AF14" s="331"/>
      <c r="AG14" s="323"/>
      <c r="AH14" s="330"/>
      <c r="AI14" s="331"/>
      <c r="AJ14" s="323"/>
      <c r="AK14" s="330"/>
      <c r="AL14" s="331"/>
      <c r="AM14" s="323"/>
      <c r="AO14" s="109"/>
      <c r="AP14" s="118" t="str">
        <f>C14</f>
        <v>Financement</v>
      </c>
      <c r="AQ14" s="795">
        <f>SUM(MAX(D14:E14),MAX(G14:H14),MAX(J14:K14),MAX(M14,N14),MAX(P14:Q14),MAX(S14:T14),MAX(V14:W14),MAX(Y14:Z14),MAX(AB14:AC14),MAX(AE14,AF14),MAX(AH14:AI14),MAX(AK14:AL14))</f>
        <v>0</v>
      </c>
      <c r="AR14" s="796"/>
      <c r="AS14" s="797"/>
      <c r="AT14" s="111"/>
    </row>
    <row r="15" spans="1:47" ht="14">
      <c r="C15" s="333" t="s">
        <v>395</v>
      </c>
      <c r="D15" s="330"/>
      <c r="E15" s="331"/>
      <c r="F15" s="323"/>
      <c r="G15" s="330"/>
      <c r="H15" s="331"/>
      <c r="I15" s="323"/>
      <c r="J15" s="330"/>
      <c r="K15" s="331"/>
      <c r="L15" s="323"/>
      <c r="M15" s="330"/>
      <c r="N15" s="331"/>
      <c r="O15" s="323"/>
      <c r="P15" s="330"/>
      <c r="Q15" s="331"/>
      <c r="R15" s="323"/>
      <c r="S15" s="330"/>
      <c r="T15" s="331"/>
      <c r="U15" s="323"/>
      <c r="V15" s="330"/>
      <c r="W15" s="331"/>
      <c r="X15" s="323"/>
      <c r="Y15" s="330"/>
      <c r="Z15" s="331"/>
      <c r="AA15" s="323"/>
      <c r="AB15" s="330"/>
      <c r="AC15" s="331"/>
      <c r="AD15" s="323"/>
      <c r="AE15" s="330"/>
      <c r="AF15" s="331"/>
      <c r="AG15" s="323"/>
      <c r="AH15" s="330"/>
      <c r="AI15" s="331"/>
      <c r="AJ15" s="323"/>
      <c r="AK15" s="330"/>
      <c r="AL15" s="331"/>
      <c r="AM15" s="323"/>
      <c r="AO15" s="109"/>
      <c r="AP15" s="118" t="str">
        <f>C15</f>
        <v>Subventions</v>
      </c>
      <c r="AQ15" s="795">
        <f>SUM(MAX(D15:E15),MAX(G15:H15),MAX(J15:K15),MAX(M15,N15),MAX(P15:Q15),MAX(S15:T15),MAX(V15:W15),MAX(Y15:Z15),MAX(AB15:AC15),MAX(AE15,AF15),MAX(AH15:AI15),MAX(AK15:AL15))</f>
        <v>0</v>
      </c>
      <c r="AR15" s="796"/>
      <c r="AS15" s="797"/>
      <c r="AT15" s="111"/>
    </row>
    <row r="16" spans="1:47" ht="14">
      <c r="C16" s="333" t="s">
        <v>38</v>
      </c>
      <c r="D16" s="330"/>
      <c r="E16" s="331"/>
      <c r="F16" s="323"/>
      <c r="G16" s="330"/>
      <c r="H16" s="331"/>
      <c r="I16" s="323"/>
      <c r="J16" s="330"/>
      <c r="K16" s="331"/>
      <c r="L16" s="323"/>
      <c r="M16" s="330"/>
      <c r="N16" s="331"/>
      <c r="O16" s="323"/>
      <c r="P16" s="330"/>
      <c r="Q16" s="331"/>
      <c r="R16" s="323"/>
      <c r="S16" s="330"/>
      <c r="T16" s="331"/>
      <c r="U16" s="323"/>
      <c r="V16" s="330"/>
      <c r="W16" s="331"/>
      <c r="X16" s="323"/>
      <c r="Y16" s="330"/>
      <c r="Z16" s="331"/>
      <c r="AA16" s="323"/>
      <c r="AB16" s="330"/>
      <c r="AC16" s="331"/>
      <c r="AD16" s="323"/>
      <c r="AE16" s="330"/>
      <c r="AF16" s="331"/>
      <c r="AG16" s="323"/>
      <c r="AH16" s="330"/>
      <c r="AI16" s="331"/>
      <c r="AJ16" s="323"/>
      <c r="AK16" s="330"/>
      <c r="AL16" s="331"/>
      <c r="AM16" s="323"/>
      <c r="AO16" s="109"/>
      <c r="AP16" s="118" t="str">
        <f>C16</f>
        <v>Autres</v>
      </c>
      <c r="AQ16" s="795">
        <f>SUM(MAX(D16:E16),MAX(G16:H16),MAX(J16:K16),MAX(M16,N16),MAX(P16:Q16),MAX(S16:T16),MAX(V16:W16),MAX(Y16:Z16),MAX(AB16:AC16),MAX(AE16,AF16),MAX(AH16:AI16),MAX(AK16:AL16))</f>
        <v>0</v>
      </c>
      <c r="AR16" s="796"/>
      <c r="AS16" s="797"/>
      <c r="AT16" s="111"/>
    </row>
    <row r="17" spans="3:46" ht="17">
      <c r="C17" s="119" t="s">
        <v>358</v>
      </c>
      <c r="D17" s="120" t="str">
        <f>IF(SUM(D10:D16)=0,"",SUM(D10:D16))</f>
        <v/>
      </c>
      <c r="E17" s="121">
        <f>SUM(E10:E16)</f>
        <v>0</v>
      </c>
      <c r="F17" s="122"/>
      <c r="G17" s="120" t="str">
        <f>IF(SUM(G10:G16)=0,"",SUM(G10:G16))</f>
        <v/>
      </c>
      <c r="H17" s="121">
        <f>SUM(H10:H16)</f>
        <v>0</v>
      </c>
      <c r="I17" s="122"/>
      <c r="J17" s="120" t="str">
        <f>IF(SUM(J10:J16)=0,"",SUM(J10:J16))</f>
        <v/>
      </c>
      <c r="K17" s="121">
        <f>SUM(K10:K16)</f>
        <v>0</v>
      </c>
      <c r="L17" s="122"/>
      <c r="M17" s="120" t="str">
        <f>IF(SUM(M10:M16)=0,"",SUM(M10:M16))</f>
        <v/>
      </c>
      <c r="N17" s="121">
        <f>SUM(N10:N16)</f>
        <v>0</v>
      </c>
      <c r="O17" s="122"/>
      <c r="P17" s="120" t="str">
        <f>IF(SUM(P10:P16)=0,"",SUM(P10:P16))</f>
        <v/>
      </c>
      <c r="Q17" s="121">
        <f>SUM(Q10:Q16)</f>
        <v>0</v>
      </c>
      <c r="R17" s="122"/>
      <c r="S17" s="120" t="str">
        <f>IF(SUM(S10:S16)=0,"",SUM(S10:S16))</f>
        <v/>
      </c>
      <c r="T17" s="121">
        <f>SUM(T10:T16)</f>
        <v>0</v>
      </c>
      <c r="U17" s="122"/>
      <c r="V17" s="120" t="str">
        <f>IF(SUM(V10:V16)=0,"",SUM(V10:V16))</f>
        <v/>
      </c>
      <c r="W17" s="121">
        <f>SUM(W10:W16)</f>
        <v>0</v>
      </c>
      <c r="X17" s="122"/>
      <c r="Y17" s="120" t="str">
        <f>IF(SUM(Y10:Y16)=0,"",SUM(Y10:Y16))</f>
        <v/>
      </c>
      <c r="Z17" s="121">
        <f>SUM(Z10:Z16)</f>
        <v>0</v>
      </c>
      <c r="AA17" s="122"/>
      <c r="AB17" s="120" t="str">
        <f>IF(SUM(AB10:AB16)=0,"",SUM(AB10:AB16))</f>
        <v/>
      </c>
      <c r="AC17" s="121">
        <f>SUM(AC10:AC16)</f>
        <v>0</v>
      </c>
      <c r="AD17" s="122"/>
      <c r="AE17" s="120" t="str">
        <f>IF(SUM(AE10:AE16)=0,"",SUM(AE10:AE16))</f>
        <v/>
      </c>
      <c r="AF17" s="121">
        <f>SUM(AF10:AF16)</f>
        <v>0</v>
      </c>
      <c r="AG17" s="122"/>
      <c r="AH17" s="120" t="str">
        <f>IF(SUM(AH10:AH16)=0,"",SUM(AH10:AH16))</f>
        <v/>
      </c>
      <c r="AI17" s="121">
        <f>SUM(AI10:AI16)</f>
        <v>0</v>
      </c>
      <c r="AJ17" s="122"/>
      <c r="AK17" s="120" t="str">
        <f>IF(SUM(AK10:AK16)=0,"",SUM(AK10:AK16))</f>
        <v/>
      </c>
      <c r="AL17" s="121">
        <f>SUM(AL10:AL16)</f>
        <v>0</v>
      </c>
      <c r="AM17" s="122"/>
      <c r="AO17" s="109"/>
      <c r="AP17" s="123" t="s">
        <v>359</v>
      </c>
      <c r="AQ17" s="807">
        <f>SUM(AQ10:AS16)</f>
        <v>0</v>
      </c>
      <c r="AR17" s="808"/>
      <c r="AS17" s="809"/>
      <c r="AT17" s="111"/>
    </row>
    <row r="18" spans="3:46">
      <c r="C18" s="119" t="s">
        <v>360</v>
      </c>
      <c r="D18" s="801" t="str">
        <f>IF(D17="","",D17-E17)</f>
        <v/>
      </c>
      <c r="E18" s="802"/>
      <c r="F18" s="803"/>
      <c r="G18" s="801" t="str">
        <f>IF(G17="","",G17-H17)</f>
        <v/>
      </c>
      <c r="H18" s="802"/>
      <c r="I18" s="803"/>
      <c r="J18" s="801" t="str">
        <f>IF(J17="","",J17-K17)</f>
        <v/>
      </c>
      <c r="K18" s="802"/>
      <c r="L18" s="803"/>
      <c r="M18" s="801" t="str">
        <f>IF(M17="","",M17-N17)</f>
        <v/>
      </c>
      <c r="N18" s="802"/>
      <c r="O18" s="803"/>
      <c r="P18" s="801" t="str">
        <f>IF(P17="","",P17-Q17)</f>
        <v/>
      </c>
      <c r="Q18" s="802"/>
      <c r="R18" s="803"/>
      <c r="S18" s="801" t="str">
        <f>IF(S17="","",S17-T17)</f>
        <v/>
      </c>
      <c r="T18" s="802"/>
      <c r="U18" s="803"/>
      <c r="V18" s="801" t="str">
        <f>IF(V17="","",V17-W17)</f>
        <v/>
      </c>
      <c r="W18" s="802"/>
      <c r="X18" s="803"/>
      <c r="Y18" s="801" t="str">
        <f>IF(Y17="","",Y17-Z17)</f>
        <v/>
      </c>
      <c r="Z18" s="802"/>
      <c r="AA18" s="803"/>
      <c r="AB18" s="801" t="str">
        <f>IF(AB17="","",AB17-AC17)</f>
        <v/>
      </c>
      <c r="AC18" s="802"/>
      <c r="AD18" s="803"/>
      <c r="AE18" s="801" t="str">
        <f>IF(AE17="","",AE17-AF17)</f>
        <v/>
      </c>
      <c r="AF18" s="802"/>
      <c r="AG18" s="803"/>
      <c r="AH18" s="801" t="str">
        <f>IF(AH17="","",AH17-AI17)</f>
        <v/>
      </c>
      <c r="AI18" s="802"/>
      <c r="AJ18" s="803"/>
      <c r="AK18" s="801" t="str">
        <f>IF(AK17="","",AK17-AL17)</f>
        <v/>
      </c>
      <c r="AL18" s="802"/>
      <c r="AM18" s="803"/>
      <c r="AO18" s="109"/>
      <c r="AP18" s="123"/>
      <c r="AQ18" s="124"/>
      <c r="AR18" s="124"/>
      <c r="AS18" s="124"/>
      <c r="AT18" s="111"/>
    </row>
    <row r="19" spans="3:46">
      <c r="C19" s="108"/>
      <c r="D19" s="96"/>
      <c r="E19" s="96"/>
      <c r="F19" s="97"/>
      <c r="G19" s="96"/>
      <c r="H19" s="96"/>
      <c r="I19" s="96"/>
      <c r="J19" s="96"/>
      <c r="K19" s="96"/>
      <c r="L19" s="96"/>
      <c r="M19" s="96"/>
      <c r="N19" s="96"/>
      <c r="O19" s="97"/>
      <c r="P19" s="96"/>
      <c r="Q19" s="96"/>
      <c r="R19" s="96"/>
      <c r="S19" s="96"/>
      <c r="T19" s="96"/>
      <c r="U19" s="96"/>
      <c r="V19" s="96"/>
      <c r="W19" s="96"/>
      <c r="X19" s="97"/>
      <c r="Y19" s="96"/>
      <c r="Z19" s="96"/>
      <c r="AA19" s="96"/>
      <c r="AB19" s="96"/>
      <c r="AC19" s="96"/>
      <c r="AD19" s="96"/>
      <c r="AE19" s="96"/>
      <c r="AF19" s="96"/>
      <c r="AG19" s="97"/>
      <c r="AH19" s="96"/>
      <c r="AI19" s="96"/>
      <c r="AJ19" s="96"/>
      <c r="AK19" s="96"/>
      <c r="AL19" s="96"/>
      <c r="AM19" s="96"/>
      <c r="AO19" s="109"/>
      <c r="AP19" s="110"/>
      <c r="AQ19" s="124"/>
      <c r="AR19" s="124"/>
      <c r="AS19" s="124"/>
      <c r="AT19" s="111"/>
    </row>
    <row r="20" spans="3:46">
      <c r="C20" s="108" t="s">
        <v>361</v>
      </c>
      <c r="D20" s="793">
        <f>Menu!F22</f>
        <v>46174</v>
      </c>
      <c r="E20" s="793"/>
      <c r="F20" s="794"/>
      <c r="G20" s="793">
        <f>32+D20</f>
        <v>46206</v>
      </c>
      <c r="H20" s="793"/>
      <c r="I20" s="794"/>
      <c r="J20" s="793">
        <f t="shared" ref="J20" si="13">32+G20</f>
        <v>46238</v>
      </c>
      <c r="K20" s="793"/>
      <c r="L20" s="794"/>
      <c r="M20" s="793">
        <f t="shared" ref="M20" si="14">32+J20</f>
        <v>46270</v>
      </c>
      <c r="N20" s="793"/>
      <c r="O20" s="794"/>
      <c r="P20" s="793">
        <f t="shared" ref="P20" si="15">32+M20</f>
        <v>46302</v>
      </c>
      <c r="Q20" s="793"/>
      <c r="R20" s="794"/>
      <c r="S20" s="793">
        <f t="shared" ref="S20" si="16">32+P20</f>
        <v>46334</v>
      </c>
      <c r="T20" s="793"/>
      <c r="U20" s="794"/>
      <c r="V20" s="793">
        <f t="shared" ref="V20" si="17">32+S20</f>
        <v>46366</v>
      </c>
      <c r="W20" s="793"/>
      <c r="X20" s="794"/>
      <c r="Y20" s="793">
        <f t="shared" ref="Y20" si="18">32+V20</f>
        <v>46398</v>
      </c>
      <c r="Z20" s="793"/>
      <c r="AA20" s="794"/>
      <c r="AB20" s="793">
        <f t="shared" ref="AB20" si="19">32+Y20</f>
        <v>46430</v>
      </c>
      <c r="AC20" s="793"/>
      <c r="AD20" s="794"/>
      <c r="AE20" s="793">
        <f t="shared" ref="AE20" si="20">32+AB20</f>
        <v>46462</v>
      </c>
      <c r="AF20" s="793"/>
      <c r="AG20" s="794"/>
      <c r="AH20" s="793">
        <f t="shared" ref="AH20" si="21">32+AE20</f>
        <v>46494</v>
      </c>
      <c r="AI20" s="793"/>
      <c r="AJ20" s="794"/>
      <c r="AK20" s="793">
        <f t="shared" ref="AK20" si="22">32+AH20</f>
        <v>46526</v>
      </c>
      <c r="AL20" s="793"/>
      <c r="AM20" s="794"/>
      <c r="AO20" s="109"/>
      <c r="AP20" s="110" t="s">
        <v>361</v>
      </c>
      <c r="AQ20" s="124"/>
      <c r="AR20" s="124"/>
      <c r="AS20" s="124"/>
      <c r="AT20" s="111"/>
    </row>
    <row r="21" spans="3:46">
      <c r="C21" s="108"/>
      <c r="D21" s="113" t="s">
        <v>58</v>
      </c>
      <c r="E21" s="113" t="s">
        <v>59</v>
      </c>
      <c r="F21" s="114"/>
      <c r="G21" s="113" t="s">
        <v>58</v>
      </c>
      <c r="H21" s="113" t="s">
        <v>59</v>
      </c>
      <c r="I21" s="114"/>
      <c r="J21" s="113" t="s">
        <v>58</v>
      </c>
      <c r="K21" s="113" t="s">
        <v>59</v>
      </c>
      <c r="L21" s="114"/>
      <c r="M21" s="113" t="s">
        <v>58</v>
      </c>
      <c r="N21" s="113" t="s">
        <v>59</v>
      </c>
      <c r="O21" s="114"/>
      <c r="P21" s="113" t="s">
        <v>58</v>
      </c>
      <c r="Q21" s="113" t="s">
        <v>59</v>
      </c>
      <c r="R21" s="114"/>
      <c r="S21" s="113" t="s">
        <v>58</v>
      </c>
      <c r="T21" s="113" t="s">
        <v>59</v>
      </c>
      <c r="U21" s="114"/>
      <c r="V21" s="113" t="s">
        <v>58</v>
      </c>
      <c r="W21" s="113" t="s">
        <v>59</v>
      </c>
      <c r="X21" s="114"/>
      <c r="Y21" s="113" t="s">
        <v>58</v>
      </c>
      <c r="Z21" s="113" t="s">
        <v>59</v>
      </c>
      <c r="AA21" s="114"/>
      <c r="AB21" s="113" t="s">
        <v>58</v>
      </c>
      <c r="AC21" s="113" t="s">
        <v>59</v>
      </c>
      <c r="AD21" s="114"/>
      <c r="AE21" s="113" t="s">
        <v>58</v>
      </c>
      <c r="AF21" s="113" t="s">
        <v>59</v>
      </c>
      <c r="AG21" s="114"/>
      <c r="AH21" s="113" t="s">
        <v>58</v>
      </c>
      <c r="AI21" s="113" t="s">
        <v>59</v>
      </c>
      <c r="AJ21" s="114"/>
      <c r="AK21" s="113" t="s">
        <v>58</v>
      </c>
      <c r="AL21" s="113" t="s">
        <v>59</v>
      </c>
      <c r="AM21" s="114"/>
      <c r="AO21" s="109"/>
      <c r="AP21" s="110"/>
      <c r="AQ21" s="124"/>
      <c r="AR21" s="124"/>
      <c r="AS21" s="124"/>
      <c r="AT21" s="111"/>
    </row>
    <row r="22" spans="3:46" ht="14">
      <c r="C22" s="333" t="s">
        <v>362</v>
      </c>
      <c r="D22" s="330"/>
      <c r="E22" s="331"/>
      <c r="F22" s="323"/>
      <c r="G22" s="330"/>
      <c r="H22" s="331"/>
      <c r="I22" s="323"/>
      <c r="J22" s="330"/>
      <c r="K22" s="331"/>
      <c r="L22" s="323"/>
      <c r="M22" s="330"/>
      <c r="N22" s="331"/>
      <c r="O22" s="323"/>
      <c r="P22" s="330"/>
      <c r="Q22" s="331"/>
      <c r="R22" s="323"/>
      <c r="S22" s="330"/>
      <c r="T22" s="331"/>
      <c r="U22" s="323"/>
      <c r="V22" s="330"/>
      <c r="W22" s="331"/>
      <c r="X22" s="323"/>
      <c r="Y22" s="330"/>
      <c r="Z22" s="331"/>
      <c r="AA22" s="323"/>
      <c r="AB22" s="330"/>
      <c r="AC22" s="331"/>
      <c r="AD22" s="323"/>
      <c r="AE22" s="330"/>
      <c r="AF22" s="331"/>
      <c r="AG22" s="323"/>
      <c r="AH22" s="330"/>
      <c r="AI22" s="331"/>
      <c r="AJ22" s="323"/>
      <c r="AK22" s="330"/>
      <c r="AL22" s="331"/>
      <c r="AM22" s="323"/>
      <c r="AO22" s="109"/>
      <c r="AP22" s="118" t="str">
        <f t="shared" ref="AP22:AP33" si="23">C22</f>
        <v>Frais de gérance</v>
      </c>
      <c r="AQ22" s="795">
        <f t="shared" ref="AQ22:AQ33" si="24">SUM(MAX(D22:E22),MAX(G22:H22),MAX(J22:K22),MAX(M22,N22),MAX(P22:Q22),MAX(S22:T22),MAX(V22:W22),MAX(Y22:Z22),MAX(AB22:AC22),MAX(AE22,AF22),MAX(AH22:AI22),MAX(AK22:AL22))</f>
        <v>0</v>
      </c>
      <c r="AR22" s="796"/>
      <c r="AS22" s="797"/>
      <c r="AT22" s="111"/>
    </row>
    <row r="23" spans="3:46" ht="14">
      <c r="C23" s="333" t="s">
        <v>363</v>
      </c>
      <c r="D23" s="330"/>
      <c r="E23" s="331"/>
      <c r="F23" s="323"/>
      <c r="G23" s="330"/>
      <c r="H23" s="331"/>
      <c r="I23" s="323"/>
      <c r="J23" s="330"/>
      <c r="K23" s="331"/>
      <c r="L23" s="323"/>
      <c r="M23" s="330"/>
      <c r="N23" s="331"/>
      <c r="O23" s="323"/>
      <c r="P23" s="330"/>
      <c r="Q23" s="331"/>
      <c r="R23" s="323"/>
      <c r="S23" s="330"/>
      <c r="T23" s="331"/>
      <c r="U23" s="323"/>
      <c r="V23" s="330"/>
      <c r="W23" s="331"/>
      <c r="X23" s="323"/>
      <c r="Y23" s="330"/>
      <c r="Z23" s="331"/>
      <c r="AA23" s="323"/>
      <c r="AB23" s="330"/>
      <c r="AC23" s="331"/>
      <c r="AD23" s="323"/>
      <c r="AE23" s="330"/>
      <c r="AF23" s="331"/>
      <c r="AG23" s="323"/>
      <c r="AH23" s="330"/>
      <c r="AI23" s="331"/>
      <c r="AJ23" s="323"/>
      <c r="AK23" s="330"/>
      <c r="AL23" s="331"/>
      <c r="AM23" s="323"/>
      <c r="AO23" s="109"/>
      <c r="AP23" s="118" t="str">
        <f t="shared" si="23"/>
        <v>Assurances</v>
      </c>
      <c r="AQ23" s="795">
        <f t="shared" si="24"/>
        <v>0</v>
      </c>
      <c r="AR23" s="796"/>
      <c r="AS23" s="797"/>
      <c r="AT23" s="111"/>
    </row>
    <row r="24" spans="3:46" ht="14">
      <c r="C24" s="333" t="s">
        <v>389</v>
      </c>
      <c r="D24" s="330"/>
      <c r="E24" s="331"/>
      <c r="F24" s="323"/>
      <c r="G24" s="330"/>
      <c r="H24" s="331"/>
      <c r="I24" s="323"/>
      <c r="J24" s="330"/>
      <c r="K24" s="331"/>
      <c r="L24" s="323"/>
      <c r="M24" s="330"/>
      <c r="N24" s="331"/>
      <c r="O24" s="323"/>
      <c r="P24" s="330"/>
      <c r="Q24" s="331"/>
      <c r="R24" s="323"/>
      <c r="S24" s="330"/>
      <c r="T24" s="331"/>
      <c r="U24" s="323"/>
      <c r="V24" s="330"/>
      <c r="W24" s="331"/>
      <c r="X24" s="323"/>
      <c r="Y24" s="330"/>
      <c r="Z24" s="331"/>
      <c r="AA24" s="323"/>
      <c r="AB24" s="330"/>
      <c r="AC24" s="331"/>
      <c r="AD24" s="323"/>
      <c r="AE24" s="330"/>
      <c r="AF24" s="331"/>
      <c r="AG24" s="323"/>
      <c r="AH24" s="330"/>
      <c r="AI24" s="331"/>
      <c r="AJ24" s="323"/>
      <c r="AK24" s="330"/>
      <c r="AL24" s="331"/>
      <c r="AM24" s="323"/>
      <c r="AO24" s="109"/>
      <c r="AP24" s="118" t="str">
        <f t="shared" si="23"/>
        <v>Eau</v>
      </c>
      <c r="AQ24" s="795">
        <f t="shared" si="24"/>
        <v>0</v>
      </c>
      <c r="AR24" s="796"/>
      <c r="AS24" s="797"/>
      <c r="AT24" s="111"/>
    </row>
    <row r="25" spans="3:46" ht="14">
      <c r="C25" s="333" t="s">
        <v>480</v>
      </c>
      <c r="D25" s="330"/>
      <c r="E25" s="331"/>
      <c r="F25" s="323"/>
      <c r="G25" s="330"/>
      <c r="H25" s="331"/>
      <c r="I25" s="323"/>
      <c r="J25" s="330"/>
      <c r="K25" s="331"/>
      <c r="L25" s="323"/>
      <c r="M25" s="330"/>
      <c r="N25" s="331"/>
      <c r="O25" s="323"/>
      <c r="P25" s="330"/>
      <c r="Q25" s="331"/>
      <c r="R25" s="323"/>
      <c r="S25" s="330"/>
      <c r="T25" s="331"/>
      <c r="U25" s="323"/>
      <c r="V25" s="330"/>
      <c r="W25" s="331"/>
      <c r="X25" s="323"/>
      <c r="Y25" s="330"/>
      <c r="Z25" s="331"/>
      <c r="AA25" s="323"/>
      <c r="AB25" s="330"/>
      <c r="AC25" s="331"/>
      <c r="AD25" s="323"/>
      <c r="AE25" s="330"/>
      <c r="AF25" s="331"/>
      <c r="AG25" s="323"/>
      <c r="AH25" s="330"/>
      <c r="AI25" s="331"/>
      <c r="AJ25" s="323"/>
      <c r="AK25" s="330"/>
      <c r="AL25" s="331"/>
      <c r="AM25" s="323"/>
      <c r="AO25" s="109"/>
      <c r="AP25" s="118" t="str">
        <f t="shared" si="23"/>
        <v>Electricité/Gaz</v>
      </c>
      <c r="AQ25" s="795">
        <f t="shared" si="24"/>
        <v>0</v>
      </c>
      <c r="AR25" s="796"/>
      <c r="AS25" s="797"/>
      <c r="AT25" s="111"/>
    </row>
    <row r="26" spans="3:46" ht="14">
      <c r="C26" s="333" t="s">
        <v>483</v>
      </c>
      <c r="D26" s="330"/>
      <c r="E26" s="331"/>
      <c r="F26" s="323"/>
      <c r="G26" s="330"/>
      <c r="H26" s="331"/>
      <c r="I26" s="323"/>
      <c r="J26" s="330"/>
      <c r="K26" s="331"/>
      <c r="L26" s="323"/>
      <c r="M26" s="330"/>
      <c r="N26" s="331"/>
      <c r="O26" s="323"/>
      <c r="P26" s="330"/>
      <c r="Q26" s="331"/>
      <c r="R26" s="323"/>
      <c r="S26" s="330"/>
      <c r="T26" s="331"/>
      <c r="U26" s="323"/>
      <c r="V26" s="330"/>
      <c r="W26" s="331"/>
      <c r="X26" s="323"/>
      <c r="Y26" s="330"/>
      <c r="Z26" s="331"/>
      <c r="AA26" s="323"/>
      <c r="AB26" s="330"/>
      <c r="AC26" s="331"/>
      <c r="AD26" s="323"/>
      <c r="AE26" s="330"/>
      <c r="AF26" s="331"/>
      <c r="AG26" s="323"/>
      <c r="AH26" s="330"/>
      <c r="AI26" s="331"/>
      <c r="AJ26" s="323"/>
      <c r="AK26" s="330"/>
      <c r="AL26" s="331"/>
      <c r="AM26" s="323"/>
      <c r="AO26" s="109"/>
      <c r="AP26" s="118" t="str">
        <f t="shared" si="23"/>
        <v>Crédit immobilier principal</v>
      </c>
      <c r="AQ26" s="795">
        <f t="shared" si="24"/>
        <v>0</v>
      </c>
      <c r="AR26" s="796"/>
      <c r="AS26" s="797"/>
      <c r="AT26" s="111"/>
    </row>
    <row r="27" spans="3:46" ht="14">
      <c r="C27" s="333" t="s">
        <v>398</v>
      </c>
      <c r="D27" s="330"/>
      <c r="E27" s="331"/>
      <c r="F27" s="323"/>
      <c r="G27" s="330"/>
      <c r="H27" s="331"/>
      <c r="I27" s="323"/>
      <c r="J27" s="330"/>
      <c r="K27" s="331"/>
      <c r="L27" s="323"/>
      <c r="M27" s="330"/>
      <c r="N27" s="331"/>
      <c r="O27" s="323"/>
      <c r="P27" s="330"/>
      <c r="Q27" s="331"/>
      <c r="R27" s="323"/>
      <c r="S27" s="330"/>
      <c r="T27" s="331"/>
      <c r="U27" s="323"/>
      <c r="V27" s="330"/>
      <c r="W27" s="331"/>
      <c r="X27" s="323"/>
      <c r="Y27" s="330"/>
      <c r="Z27" s="331"/>
      <c r="AA27" s="323"/>
      <c r="AB27" s="330"/>
      <c r="AC27" s="331"/>
      <c r="AD27" s="323"/>
      <c r="AE27" s="330"/>
      <c r="AF27" s="331"/>
      <c r="AG27" s="323"/>
      <c r="AH27" s="330"/>
      <c r="AI27" s="331"/>
      <c r="AJ27" s="323"/>
      <c r="AK27" s="330"/>
      <c r="AL27" s="331"/>
      <c r="AM27" s="323"/>
      <c r="AO27" s="109"/>
      <c r="AP27" s="118" t="str">
        <f t="shared" si="23"/>
        <v>Crédit secondaire</v>
      </c>
      <c r="AQ27" s="795">
        <f t="shared" si="24"/>
        <v>0</v>
      </c>
      <c r="AR27" s="796"/>
      <c r="AS27" s="797"/>
      <c r="AT27" s="111"/>
    </row>
    <row r="28" spans="3:46" ht="14">
      <c r="C28" s="333" t="s">
        <v>365</v>
      </c>
      <c r="D28" s="330"/>
      <c r="E28" s="331"/>
      <c r="F28" s="323"/>
      <c r="G28" s="330"/>
      <c r="H28" s="331"/>
      <c r="I28" s="323"/>
      <c r="J28" s="330"/>
      <c r="K28" s="331"/>
      <c r="L28" s="323"/>
      <c r="M28" s="330"/>
      <c r="N28" s="331"/>
      <c r="O28" s="323"/>
      <c r="P28" s="330"/>
      <c r="Q28" s="331"/>
      <c r="R28" s="323"/>
      <c r="S28" s="330"/>
      <c r="T28" s="331"/>
      <c r="U28" s="323"/>
      <c r="V28" s="330"/>
      <c r="W28" s="331"/>
      <c r="X28" s="323"/>
      <c r="Y28" s="330"/>
      <c r="Z28" s="331"/>
      <c r="AA28" s="323"/>
      <c r="AB28" s="330"/>
      <c r="AC28" s="331"/>
      <c r="AD28" s="323"/>
      <c r="AE28" s="330"/>
      <c r="AF28" s="331"/>
      <c r="AG28" s="323"/>
      <c r="AH28" s="330"/>
      <c r="AI28" s="331"/>
      <c r="AJ28" s="323"/>
      <c r="AK28" s="330"/>
      <c r="AL28" s="331"/>
      <c r="AM28" s="323"/>
      <c r="AO28" s="109"/>
      <c r="AP28" s="118" t="str">
        <f t="shared" si="23"/>
        <v>Frais bancaires</v>
      </c>
      <c r="AQ28" s="795">
        <f t="shared" si="24"/>
        <v>0</v>
      </c>
      <c r="AR28" s="796"/>
      <c r="AS28" s="797"/>
      <c r="AT28" s="111"/>
    </row>
    <row r="29" spans="3:46" ht="14">
      <c r="C29" s="333" t="s">
        <v>366</v>
      </c>
      <c r="D29" s="330"/>
      <c r="E29" s="331"/>
      <c r="F29" s="323"/>
      <c r="G29" s="330"/>
      <c r="H29" s="331"/>
      <c r="I29" s="323"/>
      <c r="J29" s="330"/>
      <c r="K29" s="331"/>
      <c r="L29" s="323"/>
      <c r="M29" s="330"/>
      <c r="N29" s="331"/>
      <c r="O29" s="323"/>
      <c r="P29" s="330"/>
      <c r="Q29" s="331"/>
      <c r="R29" s="323"/>
      <c r="S29" s="330"/>
      <c r="T29" s="331"/>
      <c r="U29" s="323"/>
      <c r="V29" s="330"/>
      <c r="W29" s="331"/>
      <c r="X29" s="323"/>
      <c r="Y29" s="330"/>
      <c r="Z29" s="331"/>
      <c r="AA29" s="323"/>
      <c r="AB29" s="330"/>
      <c r="AC29" s="331"/>
      <c r="AD29" s="323"/>
      <c r="AE29" s="330"/>
      <c r="AF29" s="331"/>
      <c r="AG29" s="323"/>
      <c r="AH29" s="330"/>
      <c r="AI29" s="331"/>
      <c r="AJ29" s="323"/>
      <c r="AK29" s="330"/>
      <c r="AL29" s="331"/>
      <c r="AM29" s="323"/>
      <c r="AO29" s="109"/>
      <c r="AP29" s="118" t="str">
        <f t="shared" si="23"/>
        <v>Taxe foncière</v>
      </c>
      <c r="AQ29" s="795">
        <f t="shared" si="24"/>
        <v>0</v>
      </c>
      <c r="AR29" s="796"/>
      <c r="AS29" s="797"/>
      <c r="AT29" s="111"/>
    </row>
    <row r="30" spans="3:46" ht="14">
      <c r="C30" s="333" t="s">
        <v>367</v>
      </c>
      <c r="D30" s="330"/>
      <c r="E30" s="331"/>
      <c r="F30" s="323"/>
      <c r="G30" s="330"/>
      <c r="H30" s="331"/>
      <c r="I30" s="323"/>
      <c r="J30" s="330"/>
      <c r="K30" s="331"/>
      <c r="L30" s="323"/>
      <c r="M30" s="330"/>
      <c r="N30" s="331"/>
      <c r="O30" s="323"/>
      <c r="P30" s="330"/>
      <c r="Q30" s="331"/>
      <c r="R30" s="323"/>
      <c r="S30" s="330"/>
      <c r="T30" s="331"/>
      <c r="U30" s="323"/>
      <c r="V30" s="330"/>
      <c r="W30" s="331"/>
      <c r="X30" s="323"/>
      <c r="Y30" s="330"/>
      <c r="Z30" s="331"/>
      <c r="AA30" s="323"/>
      <c r="AB30" s="330"/>
      <c r="AC30" s="331"/>
      <c r="AD30" s="323"/>
      <c r="AE30" s="330"/>
      <c r="AF30" s="331"/>
      <c r="AG30" s="323"/>
      <c r="AH30" s="330"/>
      <c r="AI30" s="331"/>
      <c r="AJ30" s="323"/>
      <c r="AK30" s="330"/>
      <c r="AL30" s="331"/>
      <c r="AM30" s="323"/>
      <c r="AO30" s="109"/>
      <c r="AP30" s="118" t="str">
        <f t="shared" si="23"/>
        <v>Divers (travaux etc.)</v>
      </c>
      <c r="AQ30" s="795">
        <f t="shared" si="24"/>
        <v>0</v>
      </c>
      <c r="AR30" s="796"/>
      <c r="AS30" s="797"/>
      <c r="AT30" s="111"/>
    </row>
    <row r="31" spans="3:46" ht="14">
      <c r="C31" s="333" t="s">
        <v>482</v>
      </c>
      <c r="D31" s="330"/>
      <c r="E31" s="331"/>
      <c r="F31" s="323"/>
      <c r="G31" s="330"/>
      <c r="H31" s="331"/>
      <c r="I31" s="323"/>
      <c r="J31" s="330"/>
      <c r="K31" s="331"/>
      <c r="L31" s="323"/>
      <c r="M31" s="330"/>
      <c r="N31" s="331"/>
      <c r="O31" s="323"/>
      <c r="P31" s="330"/>
      <c r="Q31" s="331"/>
      <c r="R31" s="323"/>
      <c r="S31" s="330"/>
      <c r="T31" s="331"/>
      <c r="U31" s="323"/>
      <c r="V31" s="330"/>
      <c r="W31" s="331"/>
      <c r="X31" s="323"/>
      <c r="Y31" s="330"/>
      <c r="Z31" s="331"/>
      <c r="AA31" s="323"/>
      <c r="AB31" s="330"/>
      <c r="AC31" s="331"/>
      <c r="AD31" s="323"/>
      <c r="AE31" s="330"/>
      <c r="AF31" s="331"/>
      <c r="AG31" s="323"/>
      <c r="AH31" s="330"/>
      <c r="AI31" s="331"/>
      <c r="AJ31" s="323"/>
      <c r="AK31" s="330"/>
      <c r="AL31" s="331"/>
      <c r="AM31" s="323"/>
      <c r="AO31" s="109"/>
      <c r="AP31" s="118" t="str">
        <f t="shared" si="23"/>
        <v>Entretien / Nettoyage</v>
      </c>
      <c r="AQ31" s="795">
        <f t="shared" si="24"/>
        <v>0</v>
      </c>
      <c r="AR31" s="796"/>
      <c r="AS31" s="797"/>
      <c r="AT31" s="111"/>
    </row>
    <row r="32" spans="3:46" ht="14">
      <c r="C32" s="333" t="s">
        <v>369</v>
      </c>
      <c r="D32" s="330"/>
      <c r="E32" s="331"/>
      <c r="F32" s="323"/>
      <c r="G32" s="330"/>
      <c r="H32" s="331"/>
      <c r="I32" s="323"/>
      <c r="J32" s="330"/>
      <c r="K32" s="331"/>
      <c r="L32" s="323"/>
      <c r="M32" s="330"/>
      <c r="N32" s="331"/>
      <c r="O32" s="323"/>
      <c r="P32" s="330"/>
      <c r="Q32" s="331"/>
      <c r="R32" s="323"/>
      <c r="S32" s="330"/>
      <c r="T32" s="331"/>
      <c r="U32" s="323"/>
      <c r="V32" s="330"/>
      <c r="W32" s="331"/>
      <c r="X32" s="323"/>
      <c r="Y32" s="330"/>
      <c r="Z32" s="331"/>
      <c r="AA32" s="323"/>
      <c r="AB32" s="330"/>
      <c r="AC32" s="331"/>
      <c r="AD32" s="323"/>
      <c r="AE32" s="330"/>
      <c r="AF32" s="331"/>
      <c r="AG32" s="323"/>
      <c r="AH32" s="330"/>
      <c r="AI32" s="331"/>
      <c r="AJ32" s="323"/>
      <c r="AK32" s="330"/>
      <c r="AL32" s="331"/>
      <c r="AM32" s="323"/>
      <c r="AO32" s="109"/>
      <c r="AP32" s="118" t="str">
        <f t="shared" si="23"/>
        <v>Retraits ponctuels</v>
      </c>
      <c r="AQ32" s="795">
        <f t="shared" si="24"/>
        <v>0</v>
      </c>
      <c r="AR32" s="796"/>
      <c r="AS32" s="797"/>
      <c r="AT32" s="111"/>
    </row>
    <row r="33" spans="1:46" ht="14">
      <c r="C33" s="333" t="s">
        <v>38</v>
      </c>
      <c r="D33" s="330"/>
      <c r="E33" s="331"/>
      <c r="F33" s="323"/>
      <c r="G33" s="330"/>
      <c r="H33" s="331"/>
      <c r="I33" s="323"/>
      <c r="J33" s="330"/>
      <c r="K33" s="331"/>
      <c r="L33" s="323"/>
      <c r="M33" s="330"/>
      <c r="N33" s="331"/>
      <c r="O33" s="323"/>
      <c r="P33" s="330"/>
      <c r="Q33" s="331"/>
      <c r="R33" s="323"/>
      <c r="S33" s="330"/>
      <c r="T33" s="331"/>
      <c r="U33" s="323"/>
      <c r="V33" s="330"/>
      <c r="W33" s="331"/>
      <c r="X33" s="323"/>
      <c r="Y33" s="330"/>
      <c r="Z33" s="331"/>
      <c r="AA33" s="323"/>
      <c r="AB33" s="330"/>
      <c r="AC33" s="331"/>
      <c r="AD33" s="323"/>
      <c r="AE33" s="330"/>
      <c r="AF33" s="331"/>
      <c r="AG33" s="323"/>
      <c r="AH33" s="330"/>
      <c r="AI33" s="331"/>
      <c r="AJ33" s="323"/>
      <c r="AK33" s="330"/>
      <c r="AL33" s="331"/>
      <c r="AM33" s="323"/>
      <c r="AO33" s="109"/>
      <c r="AP33" s="118" t="str">
        <f t="shared" si="23"/>
        <v>Autres</v>
      </c>
      <c r="AQ33" s="795">
        <f t="shared" si="24"/>
        <v>0</v>
      </c>
      <c r="AR33" s="796"/>
      <c r="AS33" s="797"/>
      <c r="AT33" s="111"/>
    </row>
    <row r="34" spans="1:46" ht="17">
      <c r="C34" s="119" t="s">
        <v>370</v>
      </c>
      <c r="D34" s="125" t="str">
        <f>IF(SUM(D22:D33)=0,"",SUM(D22:D33))</f>
        <v/>
      </c>
      <c r="E34" s="126">
        <f>SUM(E22:E33)</f>
        <v>0</v>
      </c>
      <c r="F34" s="127"/>
      <c r="G34" s="125" t="str">
        <f>IF(SUM(G22:G33)=0,"",SUM(G22:G33))</f>
        <v/>
      </c>
      <c r="H34" s="126">
        <f>SUM(H22:H33)</f>
        <v>0</v>
      </c>
      <c r="I34" s="127"/>
      <c r="J34" s="125" t="str">
        <f>IF(SUM(J22:J33)=0,"",SUM(J22:J33))</f>
        <v/>
      </c>
      <c r="K34" s="126">
        <f>SUM(K22:K33)</f>
        <v>0</v>
      </c>
      <c r="L34" s="127"/>
      <c r="M34" s="125" t="str">
        <f>IF(SUM(M22:M33)=0,"",SUM(M22:M33))</f>
        <v/>
      </c>
      <c r="N34" s="126">
        <f>SUM(N22:N33)</f>
        <v>0</v>
      </c>
      <c r="O34" s="127"/>
      <c r="P34" s="125" t="str">
        <f>IF(SUM(P22:P33)=0,"",SUM(P22:P33))</f>
        <v/>
      </c>
      <c r="Q34" s="126">
        <f>SUM(Q22:Q33)</f>
        <v>0</v>
      </c>
      <c r="R34" s="127"/>
      <c r="S34" s="125" t="str">
        <f>IF(SUM(S22:S33)=0,"",SUM(S22:S33))</f>
        <v/>
      </c>
      <c r="T34" s="126">
        <f>SUM(T22:T33)</f>
        <v>0</v>
      </c>
      <c r="U34" s="127"/>
      <c r="V34" s="125" t="str">
        <f>IF(SUM(V22:V33)=0,"",SUM(V22:V33))</f>
        <v/>
      </c>
      <c r="W34" s="126">
        <f>SUM(W22:W33)</f>
        <v>0</v>
      </c>
      <c r="X34" s="127"/>
      <c r="Y34" s="125" t="str">
        <f>IF(SUM(Y22:Y33)=0,"",SUM(Y22:Y33))</f>
        <v/>
      </c>
      <c r="Z34" s="126">
        <f>SUM(Z22:Z33)</f>
        <v>0</v>
      </c>
      <c r="AA34" s="127"/>
      <c r="AB34" s="125" t="str">
        <f>IF(SUM(AB22:AB33)=0,"",SUM(AB22:AB33))</f>
        <v/>
      </c>
      <c r="AC34" s="126">
        <f>SUM(AC22:AC33)</f>
        <v>0</v>
      </c>
      <c r="AD34" s="127"/>
      <c r="AE34" s="125" t="str">
        <f>IF(SUM(AE22:AE33)=0,"",SUM(AE22:AE33))</f>
        <v/>
      </c>
      <c r="AF34" s="126">
        <f>SUM(AF22:AF33)</f>
        <v>0</v>
      </c>
      <c r="AG34" s="127"/>
      <c r="AH34" s="125" t="str">
        <f>IF(SUM(AH22:AH33)=0,"",SUM(AH22:AH33))</f>
        <v/>
      </c>
      <c r="AI34" s="126">
        <f>SUM(AI22:AI33)</f>
        <v>0</v>
      </c>
      <c r="AJ34" s="127"/>
      <c r="AK34" s="125" t="str">
        <f>IF(SUM(AK22:AK33)=0,"",SUM(AK22:AK33))</f>
        <v/>
      </c>
      <c r="AL34" s="126">
        <f>SUM(AL22:AL33)</f>
        <v>0</v>
      </c>
      <c r="AM34" s="127"/>
      <c r="AO34" s="109"/>
      <c r="AP34" s="123" t="s">
        <v>371</v>
      </c>
      <c r="AQ34" s="804">
        <f>SUM(AQ22:AS33)</f>
        <v>0</v>
      </c>
      <c r="AR34" s="805"/>
      <c r="AS34" s="806"/>
      <c r="AT34" s="111"/>
    </row>
    <row r="35" spans="1:46">
      <c r="C35" s="119" t="s">
        <v>360</v>
      </c>
      <c r="D35" s="798" t="str">
        <f>IF(D34="","",E34-D34)</f>
        <v/>
      </c>
      <c r="E35" s="799"/>
      <c r="F35" s="800"/>
      <c r="G35" s="798" t="str">
        <f>IF(G34="","",H34-G34)</f>
        <v/>
      </c>
      <c r="H35" s="799"/>
      <c r="I35" s="800"/>
      <c r="J35" s="798" t="str">
        <f>IF(J34="","",K34-J34)</f>
        <v/>
      </c>
      <c r="K35" s="799"/>
      <c r="L35" s="800"/>
      <c r="M35" s="798" t="str">
        <f>IF(M34="","",N34-M34)</f>
        <v/>
      </c>
      <c r="N35" s="799"/>
      <c r="O35" s="800"/>
      <c r="P35" s="798" t="str">
        <f>IF(P34="","",Q34-P34)</f>
        <v/>
      </c>
      <c r="Q35" s="799"/>
      <c r="R35" s="800"/>
      <c r="S35" s="798" t="str">
        <f>IF(S34="","",T34-S34)</f>
        <v/>
      </c>
      <c r="T35" s="799"/>
      <c r="U35" s="800"/>
      <c r="V35" s="798" t="str">
        <f>IF(V34="","",W34-V34)</f>
        <v/>
      </c>
      <c r="W35" s="799"/>
      <c r="X35" s="800"/>
      <c r="Y35" s="798" t="str">
        <f>IF(Y34="","",Z34-Y34)</f>
        <v/>
      </c>
      <c r="Z35" s="799"/>
      <c r="AA35" s="800"/>
      <c r="AB35" s="798" t="str">
        <f>IF(AB34="","",AC34-AB34)</f>
        <v/>
      </c>
      <c r="AC35" s="799"/>
      <c r="AD35" s="800"/>
      <c r="AE35" s="798" t="str">
        <f>IF(AE34="","",AF34-AE34)</f>
        <v/>
      </c>
      <c r="AF35" s="799"/>
      <c r="AG35" s="800"/>
      <c r="AH35" s="798" t="str">
        <f>IF(AH34="","",AI34-AH34)</f>
        <v/>
      </c>
      <c r="AI35" s="799"/>
      <c r="AJ35" s="800"/>
      <c r="AK35" s="798" t="str">
        <f>IF(AK34="","",AL34-AK34)</f>
        <v/>
      </c>
      <c r="AL35" s="799"/>
      <c r="AM35" s="800"/>
      <c r="AO35" s="109"/>
      <c r="AP35" s="123"/>
      <c r="AQ35" s="124"/>
      <c r="AR35" s="124"/>
      <c r="AS35" s="124"/>
      <c r="AT35" s="111"/>
    </row>
    <row r="36" spans="1:46">
      <c r="C36" s="96"/>
      <c r="D36" s="96"/>
      <c r="E36" s="96"/>
      <c r="F36" s="97"/>
      <c r="G36" s="96"/>
      <c r="H36" s="96"/>
      <c r="I36" s="96"/>
      <c r="J36" s="96"/>
      <c r="K36" s="96"/>
      <c r="L36" s="96"/>
      <c r="M36" s="96"/>
      <c r="N36" s="96"/>
      <c r="O36" s="97"/>
      <c r="P36" s="96"/>
      <c r="Q36" s="96"/>
      <c r="R36" s="96"/>
      <c r="S36" s="96"/>
      <c r="T36" s="96"/>
      <c r="U36" s="96"/>
      <c r="V36" s="96"/>
      <c r="W36" s="96"/>
      <c r="X36" s="97"/>
      <c r="Y36" s="96"/>
      <c r="Z36" s="96"/>
      <c r="AA36" s="96"/>
      <c r="AB36" s="96"/>
      <c r="AC36" s="96"/>
      <c r="AD36" s="96"/>
      <c r="AE36" s="96"/>
      <c r="AF36" s="96"/>
      <c r="AG36" s="97"/>
      <c r="AH36" s="96"/>
      <c r="AI36" s="96"/>
      <c r="AJ36" s="96"/>
      <c r="AK36" s="96"/>
      <c r="AL36" s="96"/>
      <c r="AM36" s="96"/>
      <c r="AO36" s="109"/>
      <c r="AP36" s="124"/>
      <c r="AQ36" s="124"/>
      <c r="AR36" s="124"/>
      <c r="AS36" s="124"/>
      <c r="AT36" s="111"/>
    </row>
    <row r="37" spans="1:46">
      <c r="C37" s="108"/>
      <c r="D37" s="793">
        <f>Menu!F22</f>
        <v>46174</v>
      </c>
      <c r="E37" s="793"/>
      <c r="F37" s="794"/>
      <c r="G37" s="793">
        <f t="shared" ref="G37" si="25">D37+32</f>
        <v>46206</v>
      </c>
      <c r="H37" s="793"/>
      <c r="I37" s="794"/>
      <c r="J37" s="793">
        <f t="shared" ref="J37" si="26">G37+32</f>
        <v>46238</v>
      </c>
      <c r="K37" s="793"/>
      <c r="L37" s="794"/>
      <c r="M37" s="793">
        <f t="shared" ref="M37" si="27">J37+32</f>
        <v>46270</v>
      </c>
      <c r="N37" s="793"/>
      <c r="O37" s="794"/>
      <c r="P37" s="793">
        <f t="shared" ref="P37" si="28">M37+32</f>
        <v>46302</v>
      </c>
      <c r="Q37" s="793"/>
      <c r="R37" s="794"/>
      <c r="S37" s="793">
        <f t="shared" ref="S37" si="29">P37+32</f>
        <v>46334</v>
      </c>
      <c r="T37" s="793"/>
      <c r="U37" s="794"/>
      <c r="V37" s="793">
        <f t="shared" ref="V37" si="30">S37+32</f>
        <v>46366</v>
      </c>
      <c r="W37" s="793"/>
      <c r="X37" s="794"/>
      <c r="Y37" s="793">
        <f t="shared" ref="Y37" si="31">V37+32</f>
        <v>46398</v>
      </c>
      <c r="Z37" s="793"/>
      <c r="AA37" s="794"/>
      <c r="AB37" s="793">
        <f t="shared" ref="AB37" si="32">Y37+32</f>
        <v>46430</v>
      </c>
      <c r="AC37" s="793"/>
      <c r="AD37" s="794"/>
      <c r="AE37" s="793">
        <f t="shared" ref="AE37" si="33">AB37+32</f>
        <v>46462</v>
      </c>
      <c r="AF37" s="793"/>
      <c r="AG37" s="794"/>
      <c r="AH37" s="793">
        <f t="shared" ref="AH37" si="34">AE37+32</f>
        <v>46494</v>
      </c>
      <c r="AI37" s="793"/>
      <c r="AJ37" s="794"/>
      <c r="AK37" s="793">
        <f t="shared" ref="AK37" si="35">AH37+32</f>
        <v>46526</v>
      </c>
      <c r="AL37" s="793"/>
      <c r="AM37" s="794"/>
      <c r="AO37" s="109"/>
      <c r="AP37" s="110"/>
      <c r="AQ37" s="124"/>
      <c r="AR37" s="124"/>
      <c r="AS37" s="124"/>
      <c r="AT37" s="111"/>
    </row>
    <row r="38" spans="1:46">
      <c r="C38" s="96"/>
      <c r="D38" s="113" t="s">
        <v>58</v>
      </c>
      <c r="E38" s="113" t="s">
        <v>59</v>
      </c>
      <c r="F38" s="114"/>
      <c r="G38" s="113" t="s">
        <v>58</v>
      </c>
      <c r="H38" s="113" t="s">
        <v>59</v>
      </c>
      <c r="I38" s="114"/>
      <c r="J38" s="113" t="s">
        <v>58</v>
      </c>
      <c r="K38" s="113" t="s">
        <v>59</v>
      </c>
      <c r="L38" s="114"/>
      <c r="M38" s="113" t="s">
        <v>58</v>
      </c>
      <c r="N38" s="113" t="s">
        <v>59</v>
      </c>
      <c r="O38" s="114"/>
      <c r="P38" s="113" t="s">
        <v>58</v>
      </c>
      <c r="Q38" s="113" t="s">
        <v>59</v>
      </c>
      <c r="R38" s="114"/>
      <c r="S38" s="113" t="s">
        <v>58</v>
      </c>
      <c r="T38" s="113" t="s">
        <v>59</v>
      </c>
      <c r="U38" s="114"/>
      <c r="V38" s="113" t="s">
        <v>58</v>
      </c>
      <c r="W38" s="113" t="s">
        <v>59</v>
      </c>
      <c r="X38" s="114"/>
      <c r="Y38" s="113" t="s">
        <v>58</v>
      </c>
      <c r="Z38" s="113" t="s">
        <v>59</v>
      </c>
      <c r="AA38" s="114"/>
      <c r="AB38" s="113" t="s">
        <v>58</v>
      </c>
      <c r="AC38" s="113" t="s">
        <v>59</v>
      </c>
      <c r="AD38" s="114"/>
      <c r="AE38" s="113" t="s">
        <v>58</v>
      </c>
      <c r="AF38" s="113" t="s">
        <v>59</v>
      </c>
      <c r="AG38" s="114"/>
      <c r="AH38" s="113" t="s">
        <v>58</v>
      </c>
      <c r="AI38" s="113" t="s">
        <v>59</v>
      </c>
      <c r="AJ38" s="114"/>
      <c r="AK38" s="113" t="s">
        <v>58</v>
      </c>
      <c r="AL38" s="113" t="s">
        <v>59</v>
      </c>
      <c r="AM38" s="114"/>
      <c r="AO38" s="109"/>
      <c r="AP38" s="124"/>
      <c r="AQ38" s="124"/>
      <c r="AR38" s="124"/>
      <c r="AS38" s="124"/>
      <c r="AT38" s="111"/>
    </row>
    <row r="39" spans="1:46" ht="17">
      <c r="C39" s="128" t="s">
        <v>372</v>
      </c>
      <c r="D39" s="129" t="str">
        <f>IF(OR(D17="",D34=""),"",D17-D34)</f>
        <v/>
      </c>
      <c r="E39" s="130">
        <f>E17-E34</f>
        <v>0</v>
      </c>
      <c r="F39" s="131"/>
      <c r="G39" s="129" t="str">
        <f>IF(OR(G17="",G34=""),"",G17-G34)</f>
        <v/>
      </c>
      <c r="H39" s="130">
        <f>H17-H34</f>
        <v>0</v>
      </c>
      <c r="I39" s="131"/>
      <c r="J39" s="129" t="str">
        <f>IF(OR(J17="",J34=""),"",J17-J34)</f>
        <v/>
      </c>
      <c r="K39" s="130">
        <f>K17-K34</f>
        <v>0</v>
      </c>
      <c r="L39" s="131"/>
      <c r="M39" s="129" t="str">
        <f>IF(OR(M17="",M34=""),"",M17-M34)</f>
        <v/>
      </c>
      <c r="N39" s="130">
        <f>N17-N34</f>
        <v>0</v>
      </c>
      <c r="O39" s="131"/>
      <c r="P39" s="129" t="str">
        <f>IF(OR(P17="",P34=""),"",P17-P34)</f>
        <v/>
      </c>
      <c r="Q39" s="130">
        <f>Q17-Q34</f>
        <v>0</v>
      </c>
      <c r="R39" s="131"/>
      <c r="S39" s="129" t="str">
        <f>IF(OR(S17="",S34=""),"",S17-S34)</f>
        <v/>
      </c>
      <c r="T39" s="130">
        <f>T17-T34</f>
        <v>0</v>
      </c>
      <c r="U39" s="131"/>
      <c r="V39" s="129" t="str">
        <f>IF(OR(V17="",V34=""),"",V17-V34)</f>
        <v/>
      </c>
      <c r="W39" s="130">
        <f>W17-W34</f>
        <v>0</v>
      </c>
      <c r="X39" s="131"/>
      <c r="Y39" s="129" t="str">
        <f>IF(OR(Y17="",Y34=""),"",Y17-Y34)</f>
        <v/>
      </c>
      <c r="Z39" s="130">
        <f>Z17-Z34</f>
        <v>0</v>
      </c>
      <c r="AA39" s="131"/>
      <c r="AB39" s="129" t="str">
        <f>IF(OR(AB17="",AB34=""),"",AB17-AB34)</f>
        <v/>
      </c>
      <c r="AC39" s="130">
        <f>AC17-AC34</f>
        <v>0</v>
      </c>
      <c r="AD39" s="131"/>
      <c r="AE39" s="129" t="str">
        <f>IF(OR(AE17="",AE34=""),"",AE17-AE34)</f>
        <v/>
      </c>
      <c r="AF39" s="130">
        <f>AF17-AF34</f>
        <v>0</v>
      </c>
      <c r="AG39" s="131"/>
      <c r="AH39" s="129" t="str">
        <f>IF(OR(AH17="",AH34=""),"",AH17-AH34)</f>
        <v/>
      </c>
      <c r="AI39" s="130">
        <f>AI17-AI34</f>
        <v>0</v>
      </c>
      <c r="AJ39" s="131"/>
      <c r="AK39" s="129" t="str">
        <f>IF(OR(AK17="",AK34=""),"",AK17-AK34)</f>
        <v/>
      </c>
      <c r="AL39" s="130">
        <f>AL17-AL34</f>
        <v>0</v>
      </c>
      <c r="AM39" s="131"/>
      <c r="AO39" s="109"/>
      <c r="AP39" s="132" t="s">
        <v>373</v>
      </c>
      <c r="AQ39" s="787">
        <f>AQ17-AQ34</f>
        <v>0</v>
      </c>
      <c r="AR39" s="788"/>
      <c r="AS39" s="789"/>
      <c r="AT39" s="111"/>
    </row>
    <row r="40" spans="1:46">
      <c r="C40" s="96"/>
      <c r="D40" s="96"/>
      <c r="E40" s="96"/>
      <c r="F40" s="97"/>
      <c r="G40" s="96"/>
      <c r="H40" s="96"/>
      <c r="I40" s="96"/>
      <c r="J40" s="96"/>
      <c r="K40" s="96"/>
      <c r="L40" s="96"/>
      <c r="M40" s="96"/>
      <c r="N40" s="96"/>
      <c r="O40" s="97"/>
      <c r="P40" s="96"/>
      <c r="Q40" s="96"/>
      <c r="R40" s="96"/>
      <c r="S40" s="96"/>
      <c r="T40" s="96"/>
      <c r="U40" s="96"/>
      <c r="V40" s="96"/>
      <c r="W40" s="96"/>
      <c r="X40" s="97"/>
      <c r="Y40" s="96"/>
      <c r="Z40" s="96"/>
      <c r="AA40" s="96"/>
      <c r="AB40" s="96"/>
      <c r="AC40" s="96"/>
      <c r="AD40" s="96"/>
      <c r="AE40" s="96"/>
      <c r="AF40" s="96"/>
      <c r="AG40" s="97"/>
      <c r="AH40" s="96"/>
      <c r="AI40" s="96"/>
      <c r="AJ40" s="96"/>
      <c r="AK40" s="96"/>
      <c r="AL40" s="96"/>
      <c r="AM40" s="96"/>
      <c r="AO40" s="109"/>
      <c r="AP40" s="124"/>
      <c r="AQ40" s="124"/>
      <c r="AR40" s="124"/>
      <c r="AS40" s="124"/>
      <c r="AT40" s="111"/>
    </row>
    <row r="41" spans="1:46">
      <c r="A41" s="133"/>
      <c r="C41" s="96"/>
      <c r="D41" s="96"/>
      <c r="E41" s="96"/>
      <c r="F41" s="97"/>
      <c r="G41" s="96"/>
      <c r="H41" s="96"/>
      <c r="I41" s="96"/>
      <c r="J41" s="96"/>
      <c r="K41" s="96"/>
      <c r="L41" s="96"/>
      <c r="M41" s="96"/>
      <c r="N41" s="96"/>
      <c r="O41" s="97"/>
      <c r="P41" s="96"/>
      <c r="Q41" s="96"/>
      <c r="R41" s="96"/>
      <c r="S41" s="96"/>
      <c r="T41" s="96"/>
      <c r="U41" s="96"/>
      <c r="V41" s="96"/>
      <c r="W41" s="96"/>
      <c r="X41" s="97"/>
      <c r="Y41" s="96"/>
      <c r="Z41" s="96"/>
      <c r="AA41" s="96"/>
      <c r="AB41" s="96"/>
      <c r="AC41" s="96"/>
      <c r="AD41" s="96"/>
      <c r="AE41" s="96"/>
      <c r="AF41" s="96"/>
      <c r="AG41" s="97"/>
      <c r="AH41" s="96"/>
      <c r="AI41" s="96"/>
      <c r="AJ41" s="96"/>
      <c r="AK41" s="96"/>
      <c r="AL41" s="96"/>
      <c r="AM41" s="96"/>
      <c r="AO41" s="109"/>
      <c r="AP41" s="124"/>
      <c r="AQ41" s="124"/>
      <c r="AR41" s="124"/>
      <c r="AS41" s="124"/>
      <c r="AT41" s="111"/>
    </row>
    <row r="42" spans="1:46" ht="17">
      <c r="A42" s="134" t="s">
        <v>390</v>
      </c>
      <c r="C42" s="135" t="s">
        <v>404</v>
      </c>
      <c r="D42" s="790">
        <f>A43+E39</f>
        <v>0</v>
      </c>
      <c r="E42" s="791"/>
      <c r="F42" s="792"/>
      <c r="G42" s="790">
        <f>D42+H39</f>
        <v>0</v>
      </c>
      <c r="H42" s="791"/>
      <c r="I42" s="792"/>
      <c r="J42" s="790">
        <f>G42+K39</f>
        <v>0</v>
      </c>
      <c r="K42" s="791"/>
      <c r="L42" s="792"/>
      <c r="M42" s="790">
        <f>J42+N39</f>
        <v>0</v>
      </c>
      <c r="N42" s="791"/>
      <c r="O42" s="792"/>
      <c r="P42" s="790">
        <f>M42+Q39</f>
        <v>0</v>
      </c>
      <c r="Q42" s="791"/>
      <c r="R42" s="792"/>
      <c r="S42" s="790">
        <f>P42+T39</f>
        <v>0</v>
      </c>
      <c r="T42" s="791"/>
      <c r="U42" s="792"/>
      <c r="V42" s="790">
        <f>S42+W39</f>
        <v>0</v>
      </c>
      <c r="W42" s="791"/>
      <c r="X42" s="792"/>
      <c r="Y42" s="790">
        <f>V42+Z39</f>
        <v>0</v>
      </c>
      <c r="Z42" s="791"/>
      <c r="AA42" s="792"/>
      <c r="AB42" s="790">
        <f>Y42+AC39</f>
        <v>0</v>
      </c>
      <c r="AC42" s="791"/>
      <c r="AD42" s="792"/>
      <c r="AE42" s="790">
        <f>AB42+AF39</f>
        <v>0</v>
      </c>
      <c r="AF42" s="791"/>
      <c r="AG42" s="792"/>
      <c r="AH42" s="790">
        <f>AE42+AI39</f>
        <v>0</v>
      </c>
      <c r="AI42" s="791"/>
      <c r="AJ42" s="792"/>
      <c r="AK42" s="790">
        <f>AH42+AL39</f>
        <v>0</v>
      </c>
      <c r="AL42" s="791"/>
      <c r="AM42" s="792"/>
      <c r="AO42" s="109"/>
      <c r="AP42" s="136" t="s">
        <v>374</v>
      </c>
      <c r="AQ42" s="787">
        <f>AK42</f>
        <v>0</v>
      </c>
      <c r="AR42" s="788"/>
      <c r="AS42" s="789"/>
      <c r="AT42" s="111"/>
    </row>
    <row r="43" spans="1:46" ht="14" thickBot="1">
      <c r="A43" s="152">
        <v>0</v>
      </c>
      <c r="C43" s="96"/>
      <c r="D43" s="96"/>
      <c r="E43" s="96"/>
      <c r="F43" s="97"/>
      <c r="G43" s="96"/>
      <c r="H43" s="96"/>
      <c r="I43" s="96"/>
      <c r="J43" s="96"/>
      <c r="K43" s="96"/>
      <c r="L43" s="96"/>
      <c r="M43" s="96"/>
      <c r="N43" s="96"/>
      <c r="O43" s="97"/>
      <c r="P43" s="96"/>
      <c r="Q43" s="96"/>
      <c r="R43" s="96"/>
      <c r="S43" s="96"/>
      <c r="T43" s="96"/>
      <c r="U43" s="96"/>
      <c r="V43" s="96"/>
      <c r="W43" s="96"/>
      <c r="X43" s="97"/>
      <c r="Y43" s="96"/>
      <c r="Z43" s="96"/>
      <c r="AA43" s="96"/>
      <c r="AB43" s="96"/>
      <c r="AC43" s="96"/>
      <c r="AD43" s="96"/>
      <c r="AE43" s="96"/>
      <c r="AF43" s="96"/>
      <c r="AG43" s="97"/>
      <c r="AH43" s="96"/>
      <c r="AI43" s="96"/>
      <c r="AJ43" s="96"/>
      <c r="AK43" s="96"/>
      <c r="AL43" s="96"/>
      <c r="AM43" s="96"/>
      <c r="AO43" s="137"/>
      <c r="AP43" s="138"/>
      <c r="AQ43" s="138"/>
      <c r="AR43" s="138"/>
      <c r="AS43" s="138"/>
      <c r="AT43" s="139"/>
    </row>
    <row r="44" spans="1:46">
      <c r="C44" s="96"/>
      <c r="D44" s="96"/>
      <c r="E44" s="96"/>
      <c r="F44" s="97"/>
      <c r="G44" s="96"/>
      <c r="H44" s="96"/>
      <c r="I44" s="96"/>
      <c r="J44" s="96"/>
      <c r="K44" s="96"/>
      <c r="L44" s="96"/>
      <c r="M44" s="96"/>
      <c r="N44" s="96"/>
      <c r="O44" s="97"/>
      <c r="P44" s="96"/>
      <c r="Q44" s="96"/>
      <c r="R44" s="96"/>
      <c r="S44" s="96"/>
      <c r="T44" s="96"/>
      <c r="U44" s="96"/>
      <c r="V44" s="96"/>
      <c r="W44" s="96"/>
      <c r="X44" s="97"/>
      <c r="Y44" s="96"/>
      <c r="Z44" s="96"/>
      <c r="AA44" s="96"/>
      <c r="AB44" s="96"/>
      <c r="AC44" s="96"/>
      <c r="AD44" s="96"/>
      <c r="AE44" s="96"/>
      <c r="AF44" s="96"/>
      <c r="AG44" s="97"/>
      <c r="AH44" s="96"/>
      <c r="AI44" s="96"/>
      <c r="AJ44" s="96"/>
      <c r="AK44" s="96"/>
      <c r="AL44" s="96"/>
      <c r="AM44" s="96"/>
      <c r="AP44" s="96"/>
      <c r="AQ44" s="96"/>
      <c r="AR44" s="96"/>
      <c r="AS44" s="96"/>
    </row>
    <row r="45" spans="1:46">
      <c r="C45" s="140" t="s">
        <v>375</v>
      </c>
      <c r="D45" s="96"/>
      <c r="E45" s="96"/>
      <c r="F45" s="97"/>
      <c r="G45" s="96"/>
      <c r="H45" s="96"/>
      <c r="I45" s="96"/>
      <c r="J45" s="96"/>
      <c r="K45" s="96"/>
      <c r="L45" s="96"/>
      <c r="M45" s="96"/>
      <c r="N45" s="96"/>
      <c r="O45" s="97"/>
      <c r="P45" s="96"/>
      <c r="Q45" s="96"/>
      <c r="R45" s="96"/>
      <c r="S45" s="96"/>
      <c r="T45" s="96"/>
      <c r="U45" s="96"/>
      <c r="V45" s="96"/>
      <c r="W45" s="96"/>
      <c r="X45" s="97"/>
      <c r="Y45" s="96"/>
      <c r="Z45" s="96"/>
      <c r="AA45" s="96"/>
      <c r="AB45" s="96"/>
      <c r="AC45" s="96"/>
      <c r="AD45" s="96"/>
      <c r="AE45" s="96"/>
      <c r="AF45" s="96"/>
      <c r="AG45" s="97"/>
      <c r="AH45" s="96"/>
      <c r="AI45" s="96"/>
      <c r="AJ45" s="96"/>
      <c r="AK45" s="96"/>
      <c r="AL45" s="96"/>
      <c r="AM45" s="96"/>
      <c r="AP45" s="140"/>
      <c r="AQ45" s="96"/>
      <c r="AR45" s="96"/>
      <c r="AS45" s="96"/>
    </row>
    <row r="46" spans="1:46">
      <c r="C46" s="108"/>
      <c r="D46" s="141"/>
      <c r="E46" s="141"/>
      <c r="F46" s="142"/>
      <c r="G46" s="141"/>
      <c r="H46" s="141"/>
      <c r="I46" s="141"/>
      <c r="J46" s="141"/>
      <c r="K46" s="141"/>
      <c r="L46" s="141"/>
      <c r="M46" s="141"/>
      <c r="N46" s="141"/>
      <c r="O46" s="142"/>
      <c r="P46" s="96"/>
      <c r="Q46" s="96"/>
      <c r="R46" s="96"/>
      <c r="S46" s="96"/>
      <c r="T46" s="96"/>
      <c r="U46" s="96"/>
      <c r="V46" s="96"/>
      <c r="W46" s="96"/>
      <c r="X46" s="97"/>
      <c r="Y46" s="96"/>
      <c r="Z46" s="96"/>
      <c r="AA46" s="96"/>
      <c r="AB46" s="96"/>
      <c r="AC46" s="96"/>
      <c r="AD46" s="96"/>
      <c r="AE46" s="96"/>
      <c r="AF46" s="96"/>
      <c r="AG46" s="97"/>
      <c r="AH46" s="96"/>
      <c r="AI46" s="96"/>
      <c r="AJ46" s="96"/>
      <c r="AK46" s="96"/>
      <c r="AL46" s="96"/>
      <c r="AM46" s="96"/>
      <c r="AP46" s="108"/>
      <c r="AQ46" s="96"/>
      <c r="AR46" s="96"/>
      <c r="AS46" s="96"/>
    </row>
    <row r="47" spans="1:46">
      <c r="C47" s="143" t="s">
        <v>383</v>
      </c>
      <c r="D47" s="141"/>
      <c r="E47" s="141"/>
      <c r="F47" s="142"/>
      <c r="G47" s="141"/>
      <c r="H47" s="141"/>
      <c r="I47" s="96"/>
      <c r="J47" s="96"/>
      <c r="K47" s="96"/>
      <c r="L47" s="96"/>
      <c r="M47" s="96"/>
      <c r="N47" s="96"/>
      <c r="O47" s="97"/>
      <c r="P47" s="96"/>
      <c r="Q47" s="96"/>
      <c r="R47" s="96"/>
      <c r="S47" s="96"/>
      <c r="T47" s="96"/>
      <c r="U47" s="96"/>
      <c r="V47" s="96"/>
      <c r="W47" s="96"/>
      <c r="X47" s="97"/>
      <c r="Y47" s="96"/>
      <c r="Z47" s="96"/>
      <c r="AA47" s="96"/>
      <c r="AB47" s="96"/>
      <c r="AC47" s="96"/>
      <c r="AD47" s="96"/>
      <c r="AE47" s="96"/>
      <c r="AF47" s="96"/>
      <c r="AG47" s="97"/>
      <c r="AH47" s="96"/>
      <c r="AI47" s="96"/>
      <c r="AJ47" s="96"/>
      <c r="AK47" s="96"/>
      <c r="AL47" s="96"/>
      <c r="AM47" s="96"/>
      <c r="AP47" s="143"/>
      <c r="AQ47" s="96"/>
      <c r="AR47" s="96"/>
      <c r="AS47" s="96"/>
    </row>
    <row r="48" spans="1:46">
      <c r="C48" s="144" t="s">
        <v>0</v>
      </c>
      <c r="D48" s="784"/>
      <c r="E48" s="785"/>
      <c r="F48" s="785"/>
      <c r="G48" s="785"/>
      <c r="H48" s="785"/>
      <c r="I48" s="302"/>
      <c r="J48" s="784"/>
      <c r="K48" s="785"/>
      <c r="L48" s="785"/>
      <c r="M48" s="785"/>
      <c r="N48" s="785"/>
      <c r="O48" s="97"/>
      <c r="P48" s="96"/>
      <c r="Q48" s="96"/>
      <c r="R48" s="96"/>
      <c r="S48" s="96"/>
      <c r="T48" s="96"/>
      <c r="U48" s="96"/>
      <c r="V48" s="96"/>
      <c r="W48" s="96"/>
      <c r="X48" s="97"/>
      <c r="Y48" s="96"/>
      <c r="Z48" s="96"/>
      <c r="AA48" s="96"/>
      <c r="AB48" s="96"/>
      <c r="AC48" s="96"/>
      <c r="AD48" s="96"/>
      <c r="AE48" s="96"/>
      <c r="AF48" s="96"/>
      <c r="AG48" s="97"/>
      <c r="AH48" s="96"/>
      <c r="AI48" s="96"/>
      <c r="AJ48" s="96"/>
      <c r="AK48" s="96"/>
      <c r="AL48" s="96"/>
      <c r="AM48" s="96"/>
      <c r="AP48" s="96"/>
      <c r="AQ48" s="96"/>
      <c r="AR48" s="96"/>
      <c r="AS48" s="96"/>
    </row>
    <row r="49" spans="3:45">
      <c r="C49" s="144" t="s">
        <v>384</v>
      </c>
      <c r="D49" s="784"/>
      <c r="E49" s="785"/>
      <c r="F49" s="785"/>
      <c r="G49" s="785"/>
      <c r="H49" s="785"/>
      <c r="I49" s="303"/>
      <c r="J49" s="784"/>
      <c r="K49" s="785"/>
      <c r="L49" s="785"/>
      <c r="M49" s="785"/>
      <c r="N49" s="785"/>
      <c r="O49" s="97"/>
      <c r="P49" s="96"/>
      <c r="Q49" s="96"/>
      <c r="R49" s="96"/>
      <c r="S49" s="96"/>
      <c r="T49" s="96"/>
      <c r="U49" s="96"/>
      <c r="V49" s="96"/>
      <c r="W49" s="96"/>
      <c r="X49" s="97"/>
      <c r="Y49" s="96"/>
      <c r="Z49" s="96"/>
      <c r="AA49" s="96"/>
      <c r="AB49" s="96"/>
      <c r="AC49" s="96"/>
      <c r="AD49" s="96"/>
      <c r="AE49" s="96"/>
      <c r="AF49" s="96"/>
      <c r="AG49" s="97"/>
      <c r="AH49" s="96"/>
      <c r="AI49" s="96"/>
      <c r="AJ49" s="96"/>
      <c r="AK49" s="96"/>
      <c r="AL49" s="96"/>
      <c r="AM49" s="96"/>
      <c r="AP49" s="96"/>
      <c r="AQ49" s="96"/>
      <c r="AR49" s="96"/>
      <c r="AS49" s="96"/>
    </row>
    <row r="50" spans="3:45">
      <c r="C50" s="144" t="s">
        <v>385</v>
      </c>
      <c r="D50" s="784"/>
      <c r="E50" s="785"/>
      <c r="F50" s="785"/>
      <c r="G50" s="785"/>
      <c r="H50" s="785"/>
      <c r="I50" s="302"/>
      <c r="J50" s="784"/>
      <c r="K50" s="785"/>
      <c r="L50" s="785"/>
      <c r="M50" s="785"/>
      <c r="N50" s="785"/>
      <c r="O50" s="97"/>
      <c r="P50" s="96"/>
      <c r="Q50" s="96"/>
      <c r="R50" s="96"/>
      <c r="S50" s="96"/>
      <c r="T50" s="96"/>
      <c r="U50" s="96"/>
      <c r="V50" s="96"/>
      <c r="W50" s="96"/>
      <c r="X50" s="97"/>
      <c r="Y50" s="96"/>
      <c r="Z50" s="96"/>
      <c r="AA50" s="96"/>
      <c r="AB50" s="96"/>
      <c r="AC50" s="96"/>
      <c r="AD50" s="96"/>
      <c r="AE50" s="96"/>
      <c r="AF50" s="96"/>
      <c r="AG50" s="97"/>
      <c r="AH50" s="96"/>
      <c r="AI50" s="96"/>
      <c r="AJ50" s="96"/>
      <c r="AK50" s="96"/>
      <c r="AL50" s="96"/>
      <c r="AM50" s="96"/>
      <c r="AP50" s="96"/>
      <c r="AQ50" s="96"/>
      <c r="AR50" s="96"/>
      <c r="AS50" s="96"/>
    </row>
    <row r="51" spans="3:45">
      <c r="C51" s="144" t="s">
        <v>386</v>
      </c>
      <c r="D51" s="784"/>
      <c r="E51" s="785"/>
      <c r="F51" s="785"/>
      <c r="G51" s="785"/>
      <c r="H51" s="785"/>
      <c r="I51" s="302"/>
      <c r="J51" s="784"/>
      <c r="K51" s="785"/>
      <c r="L51" s="785"/>
      <c r="M51" s="785"/>
      <c r="N51" s="785"/>
      <c r="O51" s="97"/>
      <c r="P51" s="96"/>
      <c r="Q51" s="96"/>
      <c r="R51" s="96"/>
      <c r="S51" s="96"/>
      <c r="T51" s="96"/>
      <c r="U51" s="96"/>
      <c r="V51" s="96"/>
      <c r="W51" s="96"/>
      <c r="X51" s="97"/>
      <c r="Y51" s="96"/>
      <c r="Z51" s="96"/>
      <c r="AA51" s="96"/>
      <c r="AB51" s="96"/>
      <c r="AC51" s="96"/>
      <c r="AD51" s="96"/>
      <c r="AE51" s="96"/>
      <c r="AF51" s="96"/>
      <c r="AG51" s="97"/>
      <c r="AH51" s="96"/>
      <c r="AI51" s="96"/>
      <c r="AJ51" s="96"/>
      <c r="AK51" s="96"/>
      <c r="AL51" s="96"/>
      <c r="AM51" s="96"/>
      <c r="AP51" s="96"/>
      <c r="AQ51" s="96"/>
      <c r="AR51" s="96"/>
      <c r="AS51" s="96"/>
    </row>
    <row r="52" spans="3:45" ht="34.5" customHeight="1">
      <c r="C52" s="145" t="s">
        <v>387</v>
      </c>
      <c r="D52" s="781"/>
      <c r="E52" s="782"/>
      <c r="F52" s="782"/>
      <c r="G52" s="782"/>
      <c r="H52" s="782"/>
      <c r="I52" s="302"/>
      <c r="J52" s="781"/>
      <c r="K52" s="782"/>
      <c r="L52" s="782"/>
      <c r="M52" s="782"/>
      <c r="N52" s="782"/>
      <c r="O52" s="97"/>
      <c r="P52" s="96"/>
      <c r="Q52" s="96"/>
      <c r="R52" s="96"/>
      <c r="S52" s="96"/>
      <c r="T52" s="96"/>
      <c r="U52" s="96"/>
      <c r="V52" s="96"/>
      <c r="W52" s="96"/>
      <c r="X52" s="97"/>
      <c r="Y52" s="96"/>
      <c r="Z52" s="96"/>
      <c r="AA52" s="96"/>
      <c r="AB52" s="96"/>
      <c r="AC52" s="96"/>
      <c r="AD52" s="96"/>
      <c r="AE52" s="96"/>
      <c r="AF52" s="96"/>
      <c r="AG52" s="97"/>
      <c r="AH52" s="96"/>
      <c r="AI52" s="96"/>
      <c r="AJ52" s="96"/>
      <c r="AK52" s="96"/>
      <c r="AL52" s="96"/>
      <c r="AM52" s="96"/>
      <c r="AP52" s="96"/>
      <c r="AQ52" s="96"/>
      <c r="AR52" s="96"/>
      <c r="AS52" s="96"/>
    </row>
    <row r="53" spans="3:45">
      <c r="C53" s="146"/>
      <c r="D53" s="302"/>
      <c r="E53" s="302"/>
      <c r="F53" s="304"/>
      <c r="G53" s="302"/>
      <c r="H53" s="302"/>
      <c r="I53" s="302"/>
      <c r="J53" s="302"/>
      <c r="K53" s="302"/>
      <c r="L53" s="302"/>
      <c r="M53" s="302"/>
      <c r="N53" s="302"/>
      <c r="O53" s="97"/>
      <c r="P53" s="96"/>
      <c r="Q53" s="96"/>
      <c r="R53" s="96"/>
      <c r="S53" s="96"/>
      <c r="T53" s="96"/>
      <c r="U53" s="96"/>
      <c r="V53" s="96"/>
      <c r="W53" s="96"/>
      <c r="X53" s="97"/>
      <c r="Y53" s="96"/>
      <c r="Z53" s="96"/>
      <c r="AA53" s="96"/>
      <c r="AB53" s="96"/>
      <c r="AC53" s="96"/>
      <c r="AD53" s="96"/>
      <c r="AE53" s="96"/>
      <c r="AF53" s="96"/>
      <c r="AG53" s="97"/>
      <c r="AH53" s="96"/>
      <c r="AI53" s="96"/>
      <c r="AJ53" s="96"/>
      <c r="AK53" s="96"/>
      <c r="AL53" s="96"/>
      <c r="AM53" s="96"/>
      <c r="AP53" s="96"/>
      <c r="AQ53" s="96"/>
      <c r="AR53" s="96"/>
      <c r="AS53" s="96"/>
    </row>
    <row r="54" spans="3:45">
      <c r="C54" s="143" t="s">
        <v>376</v>
      </c>
      <c r="D54" s="302"/>
      <c r="E54" s="302"/>
      <c r="F54" s="304"/>
      <c r="G54" s="302"/>
      <c r="H54" s="302"/>
      <c r="I54" s="153"/>
      <c r="J54" s="153"/>
      <c r="K54" s="153"/>
      <c r="L54" s="153"/>
      <c r="M54" s="153"/>
      <c r="N54" s="153"/>
      <c r="O54" s="147"/>
      <c r="P54" s="96"/>
      <c r="Q54" s="96"/>
      <c r="R54" s="96"/>
      <c r="S54" s="96"/>
      <c r="T54" s="96"/>
      <c r="U54" s="96"/>
      <c r="V54" s="96"/>
      <c r="W54" s="96"/>
      <c r="X54" s="97"/>
      <c r="Y54" s="96"/>
      <c r="Z54" s="96"/>
      <c r="AA54" s="96"/>
      <c r="AB54" s="96"/>
      <c r="AC54" s="96"/>
      <c r="AD54" s="96"/>
      <c r="AE54" s="96"/>
      <c r="AF54" s="96"/>
      <c r="AG54" s="97"/>
      <c r="AH54" s="96"/>
      <c r="AI54" s="96"/>
      <c r="AJ54" s="96"/>
      <c r="AK54" s="96"/>
      <c r="AL54" s="96"/>
      <c r="AM54" s="96"/>
      <c r="AP54" s="143"/>
      <c r="AQ54" s="96"/>
      <c r="AR54" s="96"/>
      <c r="AS54" s="96"/>
    </row>
    <row r="55" spans="3:45">
      <c r="C55" s="144" t="s">
        <v>399</v>
      </c>
      <c r="D55" s="305"/>
      <c r="E55" s="305"/>
      <c r="F55" s="306"/>
      <c r="G55" s="305"/>
      <c r="H55" s="305"/>
      <c r="I55" s="153"/>
      <c r="J55" s="305"/>
      <c r="K55" s="305"/>
      <c r="L55" s="306"/>
      <c r="M55" s="305"/>
      <c r="N55" s="305"/>
      <c r="O55" s="147"/>
      <c r="P55" s="96"/>
      <c r="Q55" s="96"/>
      <c r="R55" s="96"/>
      <c r="S55" s="96"/>
      <c r="T55" s="96"/>
      <c r="U55" s="96"/>
      <c r="V55" s="96"/>
      <c r="W55" s="96"/>
      <c r="X55" s="97"/>
      <c r="Y55" s="96"/>
      <c r="Z55" s="96"/>
      <c r="AA55" s="96"/>
      <c r="AB55" s="96"/>
      <c r="AC55" s="96"/>
      <c r="AD55" s="96"/>
      <c r="AE55" s="96"/>
      <c r="AF55" s="96"/>
      <c r="AG55" s="97"/>
      <c r="AH55" s="96"/>
      <c r="AI55" s="96"/>
      <c r="AJ55" s="96"/>
      <c r="AK55" s="96"/>
      <c r="AL55" s="96"/>
      <c r="AM55" s="96"/>
      <c r="AP55" s="143"/>
      <c r="AQ55" s="96"/>
      <c r="AR55" s="96"/>
      <c r="AS55" s="96"/>
    </row>
    <row r="56" spans="3:45">
      <c r="C56" s="144" t="s">
        <v>380</v>
      </c>
      <c r="D56" s="305"/>
      <c r="E56" s="305"/>
      <c r="F56" s="306"/>
      <c r="G56" s="305"/>
      <c r="H56" s="305"/>
      <c r="I56" s="153"/>
      <c r="J56" s="305"/>
      <c r="K56" s="305"/>
      <c r="L56" s="306"/>
      <c r="M56" s="305"/>
      <c r="N56" s="305"/>
      <c r="O56" s="141"/>
      <c r="P56" s="96"/>
      <c r="Q56" s="96"/>
      <c r="R56" s="96"/>
      <c r="S56" s="96"/>
      <c r="T56" s="96"/>
      <c r="U56" s="96"/>
      <c r="V56" s="96"/>
      <c r="W56" s="96"/>
      <c r="X56" s="97"/>
      <c r="Y56" s="96"/>
      <c r="Z56" s="96"/>
      <c r="AA56" s="96"/>
      <c r="AB56" s="96"/>
      <c r="AC56" s="96"/>
      <c r="AD56" s="96"/>
      <c r="AE56" s="96"/>
      <c r="AF56" s="96"/>
      <c r="AG56" s="97"/>
      <c r="AH56" s="96"/>
      <c r="AI56" s="96"/>
      <c r="AJ56" s="96"/>
      <c r="AK56" s="96"/>
      <c r="AL56" s="96"/>
      <c r="AM56" s="96"/>
      <c r="AP56" s="143"/>
      <c r="AQ56" s="96"/>
      <c r="AR56" s="96"/>
      <c r="AS56" s="96"/>
    </row>
    <row r="57" spans="3:45">
      <c r="C57" s="144" t="s">
        <v>385</v>
      </c>
      <c r="D57" s="305"/>
      <c r="E57" s="305"/>
      <c r="F57" s="306"/>
      <c r="G57" s="305"/>
      <c r="H57" s="305"/>
      <c r="I57" s="153"/>
      <c r="J57" s="305"/>
      <c r="K57" s="305"/>
      <c r="L57" s="306"/>
      <c r="M57" s="305"/>
      <c r="N57" s="305"/>
      <c r="O57" s="141"/>
      <c r="P57" s="96"/>
      <c r="Q57" s="96"/>
      <c r="R57" s="96"/>
      <c r="S57" s="96"/>
      <c r="T57" s="96"/>
      <c r="U57" s="96"/>
      <c r="V57" s="96"/>
      <c r="W57" s="96"/>
      <c r="X57" s="97"/>
      <c r="Y57" s="96"/>
      <c r="Z57" s="96"/>
      <c r="AA57" s="96"/>
      <c r="AB57" s="96"/>
      <c r="AC57" s="96"/>
      <c r="AD57" s="96"/>
      <c r="AE57" s="96"/>
      <c r="AF57" s="96"/>
      <c r="AG57" s="97"/>
      <c r="AH57" s="96"/>
      <c r="AI57" s="96"/>
      <c r="AJ57" s="96"/>
      <c r="AK57" s="96"/>
      <c r="AL57" s="96"/>
      <c r="AM57" s="96"/>
      <c r="AP57" s="143"/>
      <c r="AQ57" s="96"/>
      <c r="AR57" s="96"/>
      <c r="AS57" s="96"/>
    </row>
    <row r="58" spans="3:45">
      <c r="C58" s="144" t="s">
        <v>386</v>
      </c>
      <c r="D58" s="305"/>
      <c r="E58" s="305"/>
      <c r="F58" s="306"/>
      <c r="G58" s="305"/>
      <c r="H58" s="305"/>
      <c r="I58" s="153"/>
      <c r="J58" s="305"/>
      <c r="K58" s="305"/>
      <c r="L58" s="306"/>
      <c r="M58" s="305"/>
      <c r="N58" s="305"/>
      <c r="O58" s="142"/>
      <c r="P58" s="96"/>
      <c r="Q58" s="96"/>
      <c r="R58" s="96"/>
      <c r="S58" s="96"/>
      <c r="T58" s="96"/>
      <c r="U58" s="96"/>
      <c r="V58" s="96"/>
      <c r="W58" s="96"/>
      <c r="X58" s="97"/>
      <c r="Y58" s="96"/>
      <c r="Z58" s="96"/>
      <c r="AA58" s="96"/>
      <c r="AB58" s="96"/>
      <c r="AC58" s="96"/>
      <c r="AD58" s="96"/>
      <c r="AE58" s="96"/>
      <c r="AF58" s="96"/>
      <c r="AG58" s="97"/>
      <c r="AH58" s="96"/>
      <c r="AI58" s="96"/>
      <c r="AJ58" s="96"/>
      <c r="AK58" s="96"/>
      <c r="AL58" s="96"/>
      <c r="AM58" s="96"/>
      <c r="AP58" s="143"/>
      <c r="AQ58" s="96"/>
      <c r="AR58" s="96"/>
      <c r="AS58" s="96"/>
    </row>
    <row r="59" spans="3:45">
      <c r="C59" s="144" t="s">
        <v>381</v>
      </c>
      <c r="D59" s="305"/>
      <c r="E59" s="305"/>
      <c r="F59" s="306"/>
      <c r="G59" s="305"/>
      <c r="H59" s="305"/>
      <c r="I59" s="153"/>
      <c r="J59" s="305"/>
      <c r="K59" s="305"/>
      <c r="L59" s="306"/>
      <c r="M59" s="305"/>
      <c r="N59" s="305"/>
      <c r="O59" s="142"/>
      <c r="P59" s="96"/>
      <c r="Q59" s="96"/>
      <c r="R59" s="96"/>
      <c r="S59" s="96"/>
      <c r="T59" s="96"/>
      <c r="U59" s="96"/>
      <c r="V59" s="96"/>
      <c r="W59" s="96"/>
      <c r="X59" s="97"/>
      <c r="Y59" s="96"/>
      <c r="Z59" s="96"/>
      <c r="AA59" s="96"/>
      <c r="AB59" s="96"/>
      <c r="AC59" s="96"/>
      <c r="AD59" s="96"/>
      <c r="AE59" s="96"/>
      <c r="AF59" s="96"/>
      <c r="AG59" s="97"/>
      <c r="AH59" s="96"/>
      <c r="AI59" s="96"/>
      <c r="AJ59" s="96"/>
      <c r="AK59" s="96"/>
      <c r="AL59" s="96"/>
      <c r="AM59" s="96"/>
      <c r="AP59" s="143"/>
      <c r="AQ59" s="96"/>
      <c r="AR59" s="96"/>
      <c r="AS59" s="96"/>
    </row>
    <row r="60" spans="3:45" ht="34.5" customHeight="1">
      <c r="C60" s="145" t="s">
        <v>387</v>
      </c>
      <c r="D60" s="781"/>
      <c r="E60" s="782"/>
      <c r="F60" s="782"/>
      <c r="G60" s="782"/>
      <c r="H60" s="782"/>
      <c r="I60" s="302"/>
      <c r="J60" s="781"/>
      <c r="K60" s="782"/>
      <c r="L60" s="782"/>
      <c r="M60" s="782"/>
      <c r="N60" s="782"/>
      <c r="O60" s="97"/>
      <c r="P60" s="96"/>
      <c r="Q60" s="96"/>
      <c r="R60" s="96"/>
      <c r="S60" s="96"/>
      <c r="T60" s="96"/>
      <c r="U60" s="96"/>
      <c r="V60" s="96"/>
      <c r="W60" s="96"/>
      <c r="X60" s="97"/>
      <c r="Y60" s="96"/>
      <c r="Z60" s="96"/>
      <c r="AA60" s="96"/>
      <c r="AB60" s="96"/>
      <c r="AC60" s="96"/>
      <c r="AD60" s="96"/>
      <c r="AE60" s="96"/>
      <c r="AF60" s="96"/>
      <c r="AG60" s="97"/>
      <c r="AH60" s="96"/>
      <c r="AI60" s="96"/>
      <c r="AJ60" s="96"/>
      <c r="AK60" s="96"/>
      <c r="AL60" s="96"/>
      <c r="AM60" s="96"/>
      <c r="AP60" s="96"/>
      <c r="AQ60" s="96"/>
      <c r="AR60" s="96"/>
      <c r="AS60" s="96"/>
    </row>
    <row r="61" spans="3:45">
      <c r="C61" s="146"/>
      <c r="D61" s="302"/>
      <c r="E61" s="302"/>
      <c r="F61" s="304"/>
      <c r="G61" s="302"/>
      <c r="H61" s="302"/>
      <c r="I61" s="153"/>
      <c r="J61" s="302"/>
      <c r="K61" s="302"/>
      <c r="L61" s="304"/>
      <c r="M61" s="302"/>
      <c r="N61" s="302"/>
      <c r="O61" s="142"/>
      <c r="P61" s="96"/>
      <c r="Q61" s="96"/>
      <c r="R61" s="96"/>
      <c r="S61" s="96"/>
      <c r="T61" s="96"/>
      <c r="U61" s="96"/>
      <c r="V61" s="96"/>
      <c r="W61" s="96"/>
      <c r="X61" s="97"/>
      <c r="Y61" s="96"/>
      <c r="Z61" s="96"/>
      <c r="AA61" s="96"/>
      <c r="AB61" s="96"/>
      <c r="AC61" s="96"/>
      <c r="AD61" s="96"/>
      <c r="AE61" s="96"/>
      <c r="AF61" s="96"/>
      <c r="AG61" s="97"/>
      <c r="AH61" s="96"/>
      <c r="AI61" s="96"/>
      <c r="AJ61" s="96"/>
      <c r="AK61" s="96"/>
      <c r="AL61" s="96"/>
      <c r="AM61" s="96"/>
      <c r="AP61" s="143"/>
      <c r="AQ61" s="96"/>
      <c r="AR61" s="96"/>
      <c r="AS61" s="96"/>
    </row>
    <row r="62" spans="3:45">
      <c r="C62" s="143" t="s">
        <v>382</v>
      </c>
      <c r="D62" s="302"/>
      <c r="E62" s="302"/>
      <c r="F62" s="304"/>
      <c r="G62" s="302"/>
      <c r="H62" s="302"/>
      <c r="I62" s="153"/>
      <c r="J62" s="302"/>
      <c r="K62" s="302"/>
      <c r="L62" s="304"/>
      <c r="M62" s="302"/>
      <c r="N62" s="302"/>
      <c r="O62" s="147"/>
      <c r="P62" s="96"/>
      <c r="Q62" s="96"/>
      <c r="R62" s="96"/>
      <c r="S62" s="96"/>
      <c r="T62" s="96"/>
      <c r="U62" s="96"/>
      <c r="V62" s="96"/>
      <c r="W62" s="96"/>
      <c r="X62" s="97"/>
      <c r="Y62" s="96"/>
      <c r="Z62" s="96"/>
      <c r="AA62" s="96"/>
      <c r="AB62" s="96"/>
      <c r="AC62" s="96"/>
      <c r="AD62" s="96"/>
      <c r="AE62" s="96"/>
      <c r="AF62" s="96"/>
      <c r="AG62" s="97"/>
      <c r="AH62" s="96"/>
      <c r="AI62" s="96"/>
      <c r="AJ62" s="96"/>
      <c r="AK62" s="96"/>
      <c r="AL62" s="96"/>
      <c r="AM62" s="96"/>
      <c r="AP62" s="143"/>
      <c r="AQ62" s="96"/>
      <c r="AR62" s="96"/>
      <c r="AS62" s="96"/>
    </row>
    <row r="63" spans="3:45">
      <c r="C63" s="144" t="s">
        <v>399</v>
      </c>
      <c r="D63" s="305"/>
      <c r="E63" s="305"/>
      <c r="F63" s="306"/>
      <c r="G63" s="305"/>
      <c r="H63" s="305"/>
      <c r="I63" s="153"/>
      <c r="J63" s="305"/>
      <c r="K63" s="305"/>
      <c r="L63" s="306"/>
      <c r="M63" s="305"/>
      <c r="N63" s="305"/>
      <c r="O63" s="147"/>
      <c r="P63" s="96"/>
      <c r="Q63" s="96"/>
      <c r="R63" s="96"/>
      <c r="S63" s="96"/>
      <c r="T63" s="96"/>
      <c r="U63" s="96"/>
      <c r="V63" s="96"/>
      <c r="W63" s="96"/>
      <c r="X63" s="97"/>
      <c r="Y63" s="96"/>
      <c r="Z63" s="96"/>
      <c r="AA63" s="96"/>
      <c r="AB63" s="96"/>
      <c r="AC63" s="96"/>
      <c r="AD63" s="96"/>
      <c r="AE63" s="96"/>
      <c r="AF63" s="96"/>
      <c r="AG63" s="97"/>
      <c r="AH63" s="96"/>
      <c r="AI63" s="96"/>
      <c r="AJ63" s="96"/>
      <c r="AK63" s="96"/>
      <c r="AL63" s="96"/>
      <c r="AM63" s="96"/>
      <c r="AP63" s="143"/>
      <c r="AQ63" s="96"/>
      <c r="AR63" s="96"/>
      <c r="AS63" s="96"/>
    </row>
    <row r="64" spans="3:45">
      <c r="C64" s="144" t="s">
        <v>380</v>
      </c>
      <c r="D64" s="305"/>
      <c r="E64" s="305"/>
      <c r="F64" s="306"/>
      <c r="G64" s="305"/>
      <c r="H64" s="305"/>
      <c r="I64" s="153"/>
      <c r="J64" s="305"/>
      <c r="K64" s="305"/>
      <c r="L64" s="306"/>
      <c r="M64" s="305"/>
      <c r="N64" s="305"/>
      <c r="O64" s="141"/>
      <c r="P64" s="96"/>
      <c r="Q64" s="96"/>
      <c r="R64" s="96"/>
      <c r="S64" s="96"/>
      <c r="T64" s="96"/>
      <c r="U64" s="96"/>
      <c r="V64" s="96"/>
      <c r="W64" s="96"/>
      <c r="X64" s="97"/>
      <c r="Y64" s="96"/>
      <c r="Z64" s="96"/>
      <c r="AA64" s="96"/>
      <c r="AB64" s="96"/>
      <c r="AC64" s="96"/>
      <c r="AD64" s="96"/>
      <c r="AE64" s="96"/>
      <c r="AF64" s="96"/>
      <c r="AG64" s="97"/>
      <c r="AH64" s="96"/>
      <c r="AI64" s="96"/>
      <c r="AJ64" s="96"/>
      <c r="AK64" s="96"/>
      <c r="AL64" s="96"/>
      <c r="AM64" s="96"/>
      <c r="AP64" s="143"/>
      <c r="AQ64" s="96"/>
      <c r="AR64" s="96"/>
      <c r="AS64" s="96"/>
    </row>
    <row r="65" spans="3:45">
      <c r="C65" s="144" t="s">
        <v>385</v>
      </c>
      <c r="D65" s="305"/>
      <c r="E65" s="305"/>
      <c r="F65" s="306"/>
      <c r="G65" s="305"/>
      <c r="H65" s="305"/>
      <c r="I65" s="153"/>
      <c r="J65" s="305"/>
      <c r="K65" s="305"/>
      <c r="L65" s="306"/>
      <c r="M65" s="305"/>
      <c r="N65" s="305"/>
      <c r="O65" s="141"/>
      <c r="P65" s="96"/>
      <c r="Q65" s="96"/>
      <c r="R65" s="96"/>
      <c r="S65" s="96"/>
      <c r="T65" s="96"/>
      <c r="U65" s="96"/>
      <c r="V65" s="96"/>
      <c r="W65" s="96"/>
      <c r="X65" s="97"/>
      <c r="Y65" s="96"/>
      <c r="Z65" s="96"/>
      <c r="AA65" s="96"/>
      <c r="AB65" s="96"/>
      <c r="AC65" s="96"/>
      <c r="AD65" s="96"/>
      <c r="AE65" s="96"/>
      <c r="AF65" s="96"/>
      <c r="AG65" s="97"/>
      <c r="AH65" s="96"/>
      <c r="AI65" s="96"/>
      <c r="AJ65" s="96"/>
      <c r="AK65" s="96"/>
      <c r="AL65" s="96"/>
      <c r="AM65" s="96"/>
      <c r="AP65" s="143"/>
      <c r="AQ65" s="96"/>
      <c r="AR65" s="96"/>
      <c r="AS65" s="96"/>
    </row>
    <row r="66" spans="3:45">
      <c r="C66" s="144" t="s">
        <v>386</v>
      </c>
      <c r="D66" s="305"/>
      <c r="E66" s="305"/>
      <c r="F66" s="306"/>
      <c r="G66" s="305"/>
      <c r="H66" s="305"/>
      <c r="I66" s="153"/>
      <c r="J66" s="305"/>
      <c r="K66" s="305"/>
      <c r="L66" s="306"/>
      <c r="M66" s="305"/>
      <c r="N66" s="305"/>
      <c r="O66" s="142"/>
      <c r="P66" s="96"/>
      <c r="Q66" s="96"/>
      <c r="R66" s="96"/>
      <c r="S66" s="96"/>
      <c r="T66" s="96"/>
      <c r="U66" s="96"/>
      <c r="V66" s="96"/>
      <c r="W66" s="96"/>
      <c r="X66" s="97"/>
      <c r="Y66" s="96"/>
      <c r="Z66" s="96"/>
      <c r="AA66" s="96"/>
      <c r="AB66" s="96"/>
      <c r="AC66" s="96"/>
      <c r="AD66" s="96"/>
      <c r="AE66" s="96"/>
      <c r="AF66" s="96"/>
      <c r="AG66" s="97"/>
      <c r="AH66" s="96"/>
      <c r="AI66" s="96"/>
      <c r="AJ66" s="96"/>
      <c r="AK66" s="96"/>
      <c r="AL66" s="96"/>
      <c r="AM66" s="96"/>
      <c r="AP66" s="143"/>
      <c r="AQ66" s="96"/>
      <c r="AR66" s="96"/>
      <c r="AS66" s="96"/>
    </row>
    <row r="67" spans="3:45">
      <c r="C67" s="144" t="s">
        <v>381</v>
      </c>
      <c r="D67" s="305"/>
      <c r="E67" s="305"/>
      <c r="F67" s="306"/>
      <c r="G67" s="305"/>
      <c r="H67" s="305"/>
      <c r="I67" s="153"/>
      <c r="J67" s="305"/>
      <c r="K67" s="305"/>
      <c r="L67" s="306"/>
      <c r="M67" s="305"/>
      <c r="N67" s="305"/>
      <c r="O67" s="142"/>
      <c r="P67" s="96"/>
      <c r="Q67" s="96"/>
      <c r="R67" s="96"/>
      <c r="S67" s="96"/>
      <c r="T67" s="96"/>
      <c r="U67" s="96"/>
      <c r="V67" s="96"/>
      <c r="W67" s="96"/>
      <c r="X67" s="97"/>
      <c r="Y67" s="96"/>
      <c r="Z67" s="96"/>
      <c r="AA67" s="96"/>
      <c r="AB67" s="96"/>
      <c r="AC67" s="96"/>
      <c r="AD67" s="96"/>
      <c r="AE67" s="96"/>
      <c r="AF67" s="96"/>
      <c r="AG67" s="97"/>
      <c r="AH67" s="96"/>
      <c r="AI67" s="96"/>
      <c r="AJ67" s="96"/>
      <c r="AK67" s="96"/>
      <c r="AL67" s="96"/>
      <c r="AM67" s="96"/>
      <c r="AP67" s="143"/>
      <c r="AQ67" s="96"/>
      <c r="AR67" s="96"/>
      <c r="AS67" s="96"/>
    </row>
    <row r="68" spans="3:45" ht="34.5" customHeight="1">
      <c r="C68" s="145" t="s">
        <v>387</v>
      </c>
      <c r="D68" s="781"/>
      <c r="E68" s="782"/>
      <c r="F68" s="782"/>
      <c r="G68" s="782"/>
      <c r="H68" s="782"/>
      <c r="I68" s="302"/>
      <c r="J68" s="781"/>
      <c r="K68" s="782"/>
      <c r="L68" s="782"/>
      <c r="M68" s="782"/>
      <c r="N68" s="782"/>
      <c r="O68" s="97"/>
      <c r="P68" s="96"/>
      <c r="Q68" s="96"/>
      <c r="R68" s="96"/>
      <c r="S68" s="96"/>
      <c r="T68" s="96"/>
      <c r="U68" s="96"/>
      <c r="V68" s="96"/>
      <c r="W68" s="96"/>
      <c r="X68" s="97"/>
      <c r="Y68" s="96"/>
      <c r="Z68" s="96"/>
      <c r="AA68" s="96"/>
      <c r="AB68" s="96"/>
      <c r="AC68" s="96"/>
      <c r="AD68" s="96"/>
      <c r="AE68" s="96"/>
      <c r="AF68" s="96"/>
      <c r="AG68" s="97"/>
      <c r="AH68" s="96"/>
      <c r="AI68" s="96"/>
      <c r="AJ68" s="96"/>
      <c r="AK68" s="96"/>
      <c r="AL68" s="96"/>
      <c r="AM68" s="96"/>
      <c r="AP68" s="96"/>
      <c r="AQ68" s="96"/>
      <c r="AR68" s="96"/>
      <c r="AS68" s="96"/>
    </row>
    <row r="69" spans="3:45">
      <c r="C69" s="143"/>
      <c r="D69" s="153"/>
      <c r="E69" s="153"/>
      <c r="F69" s="154"/>
      <c r="G69" s="153"/>
      <c r="H69" s="153"/>
      <c r="I69" s="153"/>
      <c r="J69" s="153"/>
      <c r="K69" s="153"/>
      <c r="L69" s="153"/>
      <c r="M69" s="153"/>
      <c r="N69" s="153"/>
      <c r="O69" s="142"/>
      <c r="P69" s="96"/>
      <c r="Q69" s="96"/>
      <c r="R69" s="96"/>
      <c r="S69" s="96"/>
      <c r="T69" s="96"/>
      <c r="U69" s="96"/>
      <c r="V69" s="96"/>
      <c r="W69" s="96"/>
      <c r="X69" s="97"/>
      <c r="Y69" s="96"/>
      <c r="Z69" s="96"/>
      <c r="AA69" s="96"/>
      <c r="AB69" s="96"/>
      <c r="AC69" s="96"/>
      <c r="AD69" s="96"/>
      <c r="AE69" s="96"/>
      <c r="AF69" s="96"/>
      <c r="AG69" s="97"/>
      <c r="AH69" s="96"/>
      <c r="AI69" s="96"/>
      <c r="AJ69" s="96"/>
      <c r="AK69" s="96"/>
      <c r="AL69" s="96"/>
      <c r="AM69" s="96"/>
      <c r="AP69" s="143"/>
      <c r="AQ69" s="96"/>
      <c r="AR69" s="96"/>
      <c r="AS69" s="96"/>
    </row>
    <row r="70" spans="3:45">
      <c r="C70" s="143" t="s">
        <v>379</v>
      </c>
      <c r="D70" s="302"/>
      <c r="E70" s="302"/>
      <c r="F70" s="304"/>
      <c r="G70" s="302"/>
      <c r="H70" s="302"/>
      <c r="I70" s="153"/>
      <c r="J70" s="153"/>
      <c r="K70" s="153"/>
      <c r="L70" s="153"/>
      <c r="M70" s="153"/>
      <c r="N70" s="153"/>
      <c r="O70" s="142"/>
      <c r="P70" s="96"/>
      <c r="Q70" s="96"/>
      <c r="R70" s="96"/>
      <c r="S70" s="96"/>
      <c r="T70" s="96"/>
      <c r="U70" s="96"/>
      <c r="V70" s="96"/>
      <c r="W70" s="96"/>
      <c r="X70" s="97"/>
      <c r="Y70" s="96"/>
      <c r="Z70" s="96"/>
      <c r="AA70" s="96"/>
      <c r="AB70" s="96"/>
      <c r="AC70" s="96"/>
      <c r="AD70" s="96"/>
      <c r="AE70" s="96"/>
      <c r="AF70" s="96"/>
      <c r="AG70" s="97"/>
      <c r="AH70" s="96"/>
      <c r="AI70" s="96"/>
      <c r="AJ70" s="96"/>
      <c r="AK70" s="96"/>
      <c r="AL70" s="96"/>
      <c r="AM70" s="96"/>
      <c r="AP70" s="96"/>
      <c r="AQ70" s="96"/>
      <c r="AR70" s="96"/>
      <c r="AS70" s="96"/>
    </row>
    <row r="71" spans="3:45">
      <c r="C71" s="144" t="s">
        <v>400</v>
      </c>
      <c r="D71" s="305"/>
      <c r="E71" s="305"/>
      <c r="F71" s="306"/>
      <c r="G71" s="305"/>
      <c r="H71" s="305"/>
      <c r="I71" s="153"/>
      <c r="J71" s="305"/>
      <c r="K71" s="305"/>
      <c r="L71" s="306"/>
      <c r="M71" s="305"/>
      <c r="N71" s="305"/>
      <c r="O71" s="147"/>
      <c r="P71" s="96"/>
      <c r="Q71" s="96"/>
      <c r="R71" s="96"/>
      <c r="S71" s="96"/>
      <c r="T71" s="96"/>
      <c r="U71" s="96"/>
      <c r="V71" s="96"/>
      <c r="W71" s="96"/>
      <c r="X71" s="97"/>
      <c r="Y71" s="96"/>
      <c r="Z71" s="96"/>
      <c r="AA71" s="96"/>
      <c r="AB71" s="96"/>
      <c r="AC71" s="96"/>
      <c r="AD71" s="96"/>
      <c r="AE71" s="96"/>
      <c r="AF71" s="96"/>
      <c r="AG71" s="97"/>
      <c r="AH71" s="96"/>
      <c r="AI71" s="96"/>
      <c r="AJ71" s="96"/>
      <c r="AK71" s="96"/>
      <c r="AL71" s="96"/>
      <c r="AM71" s="96"/>
      <c r="AP71" s="143"/>
      <c r="AQ71" s="96"/>
      <c r="AR71" s="96"/>
      <c r="AS71" s="96"/>
    </row>
    <row r="72" spans="3:45">
      <c r="C72" s="144" t="s">
        <v>380</v>
      </c>
      <c r="D72" s="305"/>
      <c r="E72" s="305"/>
      <c r="F72" s="306"/>
      <c r="G72" s="305"/>
      <c r="H72" s="305"/>
      <c r="I72" s="153"/>
      <c r="J72" s="305"/>
      <c r="K72" s="305"/>
      <c r="L72" s="306"/>
      <c r="M72" s="305"/>
      <c r="N72" s="305"/>
      <c r="O72" s="141"/>
      <c r="P72" s="96"/>
      <c r="Q72" s="96"/>
      <c r="R72" s="96"/>
      <c r="S72" s="96"/>
      <c r="T72" s="96"/>
      <c r="U72" s="96"/>
      <c r="V72" s="96"/>
      <c r="W72" s="96"/>
      <c r="X72" s="97"/>
      <c r="Y72" s="96"/>
      <c r="Z72" s="96"/>
      <c r="AA72" s="96"/>
      <c r="AB72" s="96"/>
      <c r="AC72" s="96"/>
      <c r="AD72" s="96"/>
      <c r="AE72" s="96"/>
      <c r="AF72" s="96"/>
      <c r="AG72" s="97"/>
      <c r="AH72" s="96"/>
      <c r="AI72" s="96"/>
      <c r="AJ72" s="96"/>
      <c r="AK72" s="96"/>
      <c r="AL72" s="96"/>
      <c r="AM72" s="96"/>
      <c r="AP72" s="143"/>
      <c r="AQ72" s="96"/>
      <c r="AR72" s="96"/>
      <c r="AS72" s="96"/>
    </row>
    <row r="73" spans="3:45">
      <c r="C73" s="144" t="s">
        <v>385</v>
      </c>
      <c r="D73" s="305"/>
      <c r="E73" s="305"/>
      <c r="F73" s="306"/>
      <c r="G73" s="305"/>
      <c r="H73" s="305"/>
      <c r="I73" s="153"/>
      <c r="J73" s="305"/>
      <c r="K73" s="305"/>
      <c r="L73" s="306"/>
      <c r="M73" s="305"/>
      <c r="N73" s="305"/>
      <c r="O73" s="141"/>
      <c r="P73" s="96"/>
      <c r="Q73" s="96"/>
      <c r="R73" s="96"/>
      <c r="S73" s="96"/>
      <c r="T73" s="96"/>
      <c r="U73" s="96"/>
      <c r="V73" s="96"/>
      <c r="W73" s="96"/>
      <c r="X73" s="97"/>
      <c r="Y73" s="96"/>
      <c r="Z73" s="96"/>
      <c r="AA73" s="96"/>
      <c r="AB73" s="96"/>
      <c r="AC73" s="96"/>
      <c r="AD73" s="96"/>
      <c r="AE73" s="96"/>
      <c r="AF73" s="96"/>
      <c r="AG73" s="97"/>
      <c r="AH73" s="96"/>
      <c r="AI73" s="96"/>
      <c r="AJ73" s="96"/>
      <c r="AK73" s="96"/>
      <c r="AL73" s="96"/>
      <c r="AM73" s="96"/>
      <c r="AP73" s="143"/>
      <c r="AQ73" s="96"/>
      <c r="AR73" s="96"/>
      <c r="AS73" s="96"/>
    </row>
    <row r="74" spans="3:45">
      <c r="C74" s="144" t="s">
        <v>386</v>
      </c>
      <c r="D74" s="305"/>
      <c r="E74" s="305"/>
      <c r="F74" s="306"/>
      <c r="G74" s="305"/>
      <c r="H74" s="305"/>
      <c r="I74" s="153"/>
      <c r="J74" s="305"/>
      <c r="K74" s="305"/>
      <c r="L74" s="306"/>
      <c r="M74" s="305"/>
      <c r="N74" s="305"/>
      <c r="O74" s="142"/>
      <c r="P74" s="96"/>
      <c r="Q74" s="96"/>
      <c r="R74" s="96"/>
      <c r="S74" s="96"/>
      <c r="T74" s="96"/>
      <c r="U74" s="96"/>
      <c r="V74" s="96"/>
      <c r="W74" s="96"/>
      <c r="X74" s="97"/>
      <c r="Y74" s="96"/>
      <c r="Z74" s="96"/>
      <c r="AA74" s="96"/>
      <c r="AB74" s="96"/>
      <c r="AC74" s="96"/>
      <c r="AD74" s="96"/>
      <c r="AE74" s="96"/>
      <c r="AF74" s="96"/>
      <c r="AG74" s="97"/>
      <c r="AH74" s="96"/>
      <c r="AI74" s="96"/>
      <c r="AJ74" s="96"/>
      <c r="AK74" s="96"/>
      <c r="AL74" s="96"/>
      <c r="AM74" s="96"/>
      <c r="AP74" s="143"/>
      <c r="AQ74" s="96"/>
      <c r="AR74" s="96"/>
      <c r="AS74" s="96"/>
    </row>
    <row r="75" spans="3:45">
      <c r="C75" s="144" t="s">
        <v>381</v>
      </c>
      <c r="D75" s="305"/>
      <c r="E75" s="305"/>
      <c r="F75" s="306"/>
      <c r="G75" s="305"/>
      <c r="H75" s="305"/>
      <c r="I75" s="153"/>
      <c r="J75" s="305"/>
      <c r="K75" s="305"/>
      <c r="L75" s="306"/>
      <c r="M75" s="305"/>
      <c r="N75" s="305"/>
      <c r="O75" s="142"/>
      <c r="P75" s="96"/>
      <c r="Q75" s="96"/>
      <c r="R75" s="96"/>
      <c r="S75" s="96"/>
      <c r="T75" s="96"/>
      <c r="U75" s="96"/>
      <c r="V75" s="96"/>
      <c r="W75" s="96"/>
      <c r="X75" s="97"/>
      <c r="Y75" s="96"/>
      <c r="Z75" s="96"/>
      <c r="AA75" s="96"/>
      <c r="AB75" s="96"/>
      <c r="AC75" s="96"/>
      <c r="AD75" s="96"/>
      <c r="AE75" s="96"/>
      <c r="AF75" s="96"/>
      <c r="AG75" s="97"/>
      <c r="AH75" s="96"/>
      <c r="AI75" s="96"/>
      <c r="AJ75" s="96"/>
      <c r="AK75" s="96"/>
      <c r="AL75" s="96"/>
      <c r="AM75" s="96"/>
      <c r="AP75" s="143"/>
      <c r="AQ75" s="96"/>
      <c r="AR75" s="96"/>
      <c r="AS75" s="96"/>
    </row>
    <row r="76" spans="3:45" ht="34.5" customHeight="1">
      <c r="C76" s="145" t="s">
        <v>387</v>
      </c>
      <c r="D76" s="781"/>
      <c r="E76" s="782"/>
      <c r="F76" s="782"/>
      <c r="G76" s="782"/>
      <c r="H76" s="782"/>
      <c r="I76" s="302"/>
      <c r="J76" s="781"/>
      <c r="K76" s="782"/>
      <c r="L76" s="782"/>
      <c r="M76" s="782"/>
      <c r="N76" s="782"/>
      <c r="O76" s="97"/>
      <c r="P76" s="96"/>
      <c r="Q76" s="96"/>
      <c r="R76" s="96"/>
      <c r="S76" s="96"/>
      <c r="T76" s="96"/>
      <c r="U76" s="96"/>
      <c r="V76" s="96"/>
      <c r="W76" s="96"/>
      <c r="X76" s="97"/>
      <c r="Y76" s="96"/>
      <c r="Z76" s="96"/>
      <c r="AA76" s="96"/>
      <c r="AB76" s="96"/>
      <c r="AC76" s="96"/>
      <c r="AD76" s="96"/>
      <c r="AE76" s="96"/>
      <c r="AF76" s="96"/>
      <c r="AG76" s="97"/>
      <c r="AH76" s="96"/>
      <c r="AI76" s="96"/>
      <c r="AJ76" s="96"/>
      <c r="AK76" s="96"/>
      <c r="AL76" s="96"/>
      <c r="AM76" s="96"/>
      <c r="AP76" s="96"/>
      <c r="AQ76" s="96"/>
      <c r="AR76" s="96"/>
      <c r="AS76" s="96"/>
    </row>
    <row r="77" spans="3:45">
      <c r="C77" s="96"/>
      <c r="D77" s="302"/>
      <c r="E77" s="302"/>
      <c r="F77" s="304"/>
      <c r="G77" s="302"/>
      <c r="H77" s="302"/>
      <c r="I77" s="302"/>
      <c r="J77" s="302"/>
      <c r="K77" s="302"/>
      <c r="L77" s="302"/>
      <c r="M77" s="302"/>
      <c r="N77" s="302"/>
      <c r="O77" s="97"/>
      <c r="P77" s="96"/>
      <c r="Q77" s="96"/>
      <c r="R77" s="96"/>
      <c r="S77" s="96"/>
      <c r="T77" s="96"/>
      <c r="U77" s="96"/>
      <c r="V77" s="96"/>
      <c r="W77" s="96"/>
      <c r="X77" s="97"/>
      <c r="Y77" s="96"/>
      <c r="Z77" s="96"/>
      <c r="AA77" s="96"/>
      <c r="AB77" s="96"/>
      <c r="AC77" s="96"/>
      <c r="AD77" s="96"/>
      <c r="AE77" s="96"/>
      <c r="AF77" s="96"/>
      <c r="AG77" s="97"/>
      <c r="AH77" s="96"/>
      <c r="AI77" s="96"/>
      <c r="AJ77" s="96"/>
      <c r="AK77" s="96"/>
      <c r="AL77" s="96"/>
      <c r="AM77" s="96"/>
      <c r="AP77" s="96"/>
      <c r="AQ77" s="96"/>
      <c r="AR77" s="96"/>
      <c r="AS77" s="96"/>
    </row>
    <row r="78" spans="3:45">
      <c r="C78" s="143" t="s">
        <v>378</v>
      </c>
      <c r="D78" s="302"/>
      <c r="E78" s="302"/>
      <c r="F78" s="304"/>
      <c r="G78" s="302"/>
      <c r="H78" s="302"/>
      <c r="I78" s="153"/>
      <c r="J78" s="153"/>
      <c r="K78" s="153"/>
      <c r="L78" s="153"/>
      <c r="M78" s="153"/>
      <c r="N78" s="153"/>
      <c r="O78" s="97"/>
      <c r="P78" s="96"/>
      <c r="Q78" s="96"/>
      <c r="R78" s="96"/>
      <c r="S78" s="96"/>
      <c r="T78" s="96"/>
      <c r="U78" s="96"/>
      <c r="V78" s="96"/>
      <c r="W78" s="96"/>
      <c r="X78" s="97"/>
      <c r="Y78" s="96"/>
      <c r="Z78" s="96"/>
      <c r="AA78" s="96"/>
      <c r="AB78" s="96"/>
      <c r="AC78" s="96"/>
      <c r="AD78" s="96"/>
      <c r="AE78" s="96"/>
      <c r="AF78" s="96"/>
      <c r="AG78" s="97"/>
      <c r="AH78" s="96"/>
      <c r="AI78" s="96"/>
      <c r="AJ78" s="96"/>
      <c r="AK78" s="96"/>
      <c r="AL78" s="96"/>
      <c r="AM78" s="96"/>
      <c r="AP78" s="96"/>
      <c r="AQ78" s="96"/>
      <c r="AR78" s="96"/>
      <c r="AS78" s="96"/>
    </row>
    <row r="79" spans="3:45">
      <c r="C79" s="144" t="s">
        <v>399</v>
      </c>
      <c r="D79" s="305"/>
      <c r="E79" s="305"/>
      <c r="F79" s="306"/>
      <c r="G79" s="305"/>
      <c r="H79" s="305"/>
      <c r="I79" s="153"/>
      <c r="J79" s="305"/>
      <c r="K79" s="305"/>
      <c r="L79" s="306"/>
      <c r="M79" s="305"/>
      <c r="N79" s="305"/>
      <c r="O79" s="147"/>
      <c r="P79" s="96"/>
      <c r="Q79" s="96"/>
      <c r="R79" s="96"/>
      <c r="S79" s="96"/>
      <c r="T79" s="96"/>
      <c r="U79" s="96"/>
      <c r="V79" s="96"/>
      <c r="W79" s="96"/>
      <c r="X79" s="97"/>
      <c r="Y79" s="96"/>
      <c r="Z79" s="96"/>
      <c r="AA79" s="96"/>
      <c r="AB79" s="96"/>
      <c r="AC79" s="96"/>
      <c r="AD79" s="96"/>
      <c r="AE79" s="96"/>
      <c r="AF79" s="96"/>
      <c r="AG79" s="97"/>
      <c r="AH79" s="96"/>
      <c r="AI79" s="96"/>
      <c r="AJ79" s="96"/>
      <c r="AK79" s="96"/>
      <c r="AL79" s="96"/>
      <c r="AM79" s="96"/>
      <c r="AP79" s="143"/>
      <c r="AQ79" s="96"/>
      <c r="AR79" s="96"/>
      <c r="AS79" s="96"/>
    </row>
    <row r="80" spans="3:45">
      <c r="C80" s="144" t="s">
        <v>380</v>
      </c>
      <c r="D80" s="305"/>
      <c r="E80" s="305"/>
      <c r="F80" s="306"/>
      <c r="G80" s="305"/>
      <c r="H80" s="305"/>
      <c r="I80" s="153"/>
      <c r="J80" s="305"/>
      <c r="K80" s="305"/>
      <c r="L80" s="306"/>
      <c r="M80" s="305"/>
      <c r="N80" s="305"/>
      <c r="O80" s="141"/>
      <c r="P80" s="96"/>
      <c r="Q80" s="96"/>
      <c r="R80" s="96"/>
      <c r="S80" s="96"/>
      <c r="T80" s="96"/>
      <c r="U80" s="96"/>
      <c r="V80" s="96"/>
      <c r="W80" s="96"/>
      <c r="X80" s="97"/>
      <c r="Y80" s="96"/>
      <c r="Z80" s="96"/>
      <c r="AA80" s="96"/>
      <c r="AB80" s="96"/>
      <c r="AC80" s="96"/>
      <c r="AD80" s="96"/>
      <c r="AE80" s="96"/>
      <c r="AF80" s="96"/>
      <c r="AG80" s="97"/>
      <c r="AH80" s="96"/>
      <c r="AI80" s="96"/>
      <c r="AJ80" s="96"/>
      <c r="AK80" s="96"/>
      <c r="AL80" s="96"/>
      <c r="AM80" s="96"/>
      <c r="AP80" s="143"/>
      <c r="AQ80" s="96"/>
      <c r="AR80" s="96"/>
      <c r="AS80" s="96"/>
    </row>
    <row r="81" spans="3:45">
      <c r="C81" s="144" t="s">
        <v>385</v>
      </c>
      <c r="D81" s="305"/>
      <c r="E81" s="305"/>
      <c r="F81" s="306"/>
      <c r="G81" s="305"/>
      <c r="H81" s="305"/>
      <c r="I81" s="153"/>
      <c r="J81" s="305"/>
      <c r="K81" s="305"/>
      <c r="L81" s="306"/>
      <c r="M81" s="305"/>
      <c r="N81" s="305"/>
      <c r="O81" s="141"/>
      <c r="P81" s="96"/>
      <c r="Q81" s="96"/>
      <c r="R81" s="96"/>
      <c r="S81" s="96"/>
      <c r="T81" s="96"/>
      <c r="U81" s="96"/>
      <c r="V81" s="96"/>
      <c r="W81" s="96"/>
      <c r="X81" s="97"/>
      <c r="Y81" s="96"/>
      <c r="Z81" s="96"/>
      <c r="AA81" s="96"/>
      <c r="AB81" s="96"/>
      <c r="AC81" s="96"/>
      <c r="AD81" s="96"/>
      <c r="AE81" s="96"/>
      <c r="AF81" s="96"/>
      <c r="AG81" s="97"/>
      <c r="AH81" s="96"/>
      <c r="AI81" s="96"/>
      <c r="AJ81" s="96"/>
      <c r="AK81" s="96"/>
      <c r="AL81" s="96"/>
      <c r="AM81" s="96"/>
      <c r="AP81" s="143"/>
      <c r="AQ81" s="96"/>
      <c r="AR81" s="96"/>
      <c r="AS81" s="96"/>
    </row>
    <row r="82" spans="3:45">
      <c r="C82" s="144" t="s">
        <v>386</v>
      </c>
      <c r="D82" s="305"/>
      <c r="E82" s="305"/>
      <c r="F82" s="306"/>
      <c r="G82" s="305"/>
      <c r="H82" s="305"/>
      <c r="I82" s="153"/>
      <c r="J82" s="305"/>
      <c r="K82" s="305"/>
      <c r="L82" s="306"/>
      <c r="M82" s="305"/>
      <c r="N82" s="305"/>
      <c r="O82" s="142"/>
      <c r="P82" s="96"/>
      <c r="Q82" s="96"/>
      <c r="R82" s="96"/>
      <c r="S82" s="96"/>
      <c r="T82" s="96"/>
      <c r="U82" s="96"/>
      <c r="V82" s="96"/>
      <c r="W82" s="96"/>
      <c r="X82" s="97"/>
      <c r="Y82" s="96"/>
      <c r="Z82" s="96"/>
      <c r="AA82" s="96"/>
      <c r="AB82" s="96"/>
      <c r="AC82" s="96"/>
      <c r="AD82" s="96"/>
      <c r="AE82" s="96"/>
      <c r="AF82" s="96"/>
      <c r="AG82" s="97"/>
      <c r="AH82" s="96"/>
      <c r="AI82" s="96"/>
      <c r="AJ82" s="96"/>
      <c r="AK82" s="96"/>
      <c r="AL82" s="96"/>
      <c r="AM82" s="96"/>
      <c r="AP82" s="143"/>
      <c r="AQ82" s="96"/>
      <c r="AR82" s="96"/>
      <c r="AS82" s="96"/>
    </row>
    <row r="83" spans="3:45">
      <c r="C83" s="144" t="s">
        <v>381</v>
      </c>
      <c r="D83" s="305"/>
      <c r="E83" s="305"/>
      <c r="F83" s="306"/>
      <c r="G83" s="305"/>
      <c r="H83" s="305"/>
      <c r="I83" s="153"/>
      <c r="J83" s="305"/>
      <c r="K83" s="305"/>
      <c r="L83" s="306"/>
      <c r="M83" s="305"/>
      <c r="N83" s="305"/>
      <c r="O83" s="142"/>
      <c r="P83" s="96"/>
      <c r="Q83" s="96"/>
      <c r="R83" s="96"/>
      <c r="S83" s="96"/>
      <c r="T83" s="96"/>
      <c r="U83" s="96"/>
      <c r="V83" s="96"/>
      <c r="W83" s="96"/>
      <c r="X83" s="97"/>
      <c r="Y83" s="96"/>
      <c r="Z83" s="96"/>
      <c r="AA83" s="96"/>
      <c r="AB83" s="96"/>
      <c r="AC83" s="96"/>
      <c r="AD83" s="96"/>
      <c r="AE83" s="96"/>
      <c r="AF83" s="96"/>
      <c r="AG83" s="97"/>
      <c r="AH83" s="96"/>
      <c r="AI83" s="96"/>
      <c r="AJ83" s="96"/>
      <c r="AK83" s="96"/>
      <c r="AL83" s="96"/>
      <c r="AM83" s="96"/>
      <c r="AP83" s="143"/>
      <c r="AQ83" s="96"/>
      <c r="AR83" s="96"/>
      <c r="AS83" s="96"/>
    </row>
    <row r="84" spans="3:45" ht="34.5" customHeight="1">
      <c r="C84" s="145" t="s">
        <v>387</v>
      </c>
      <c r="D84" s="781"/>
      <c r="E84" s="782"/>
      <c r="F84" s="782"/>
      <c r="G84" s="782"/>
      <c r="H84" s="782"/>
      <c r="I84" s="302"/>
      <c r="J84" s="781"/>
      <c r="K84" s="782"/>
      <c r="L84" s="782"/>
      <c r="M84" s="782"/>
      <c r="N84" s="782"/>
      <c r="O84" s="97"/>
      <c r="P84" s="96"/>
      <c r="Q84" s="96"/>
      <c r="R84" s="96"/>
      <c r="S84" s="96"/>
      <c r="T84" s="96"/>
      <c r="U84" s="96"/>
      <c r="V84" s="96"/>
      <c r="W84" s="96"/>
      <c r="X84" s="97"/>
      <c r="Y84" s="96"/>
      <c r="Z84" s="96"/>
      <c r="AA84" s="96"/>
      <c r="AB84" s="96"/>
      <c r="AC84" s="96"/>
      <c r="AD84" s="96"/>
      <c r="AE84" s="96"/>
      <c r="AF84" s="96"/>
      <c r="AG84" s="97"/>
      <c r="AH84" s="96"/>
      <c r="AI84" s="96"/>
      <c r="AJ84" s="96"/>
      <c r="AK84" s="96"/>
      <c r="AL84" s="96"/>
      <c r="AM84" s="96"/>
      <c r="AP84" s="96"/>
      <c r="AQ84" s="96"/>
      <c r="AR84" s="96"/>
      <c r="AS84" s="96"/>
    </row>
    <row r="85" spans="3:45">
      <c r="C85" s="96"/>
      <c r="D85" s="302"/>
      <c r="E85" s="302"/>
      <c r="F85" s="304"/>
      <c r="G85" s="302"/>
      <c r="H85" s="302"/>
      <c r="I85" s="302"/>
      <c r="J85" s="302"/>
      <c r="K85" s="302"/>
      <c r="L85" s="302"/>
      <c r="M85" s="302"/>
      <c r="N85" s="302"/>
      <c r="O85" s="97"/>
      <c r="P85" s="96"/>
      <c r="Q85" s="96"/>
      <c r="R85" s="96"/>
      <c r="S85" s="96"/>
      <c r="T85" s="96"/>
      <c r="U85" s="96"/>
      <c r="V85" s="96"/>
      <c r="W85" s="96"/>
      <c r="X85" s="97"/>
      <c r="Y85" s="96"/>
      <c r="Z85" s="96"/>
      <c r="AA85" s="96"/>
      <c r="AB85" s="96"/>
      <c r="AC85" s="96"/>
      <c r="AD85" s="96"/>
      <c r="AE85" s="96"/>
      <c r="AF85" s="96"/>
      <c r="AG85" s="97"/>
      <c r="AH85" s="96"/>
      <c r="AI85" s="96"/>
      <c r="AJ85" s="96"/>
      <c r="AK85" s="96"/>
      <c r="AL85" s="96"/>
      <c r="AM85" s="96"/>
      <c r="AP85" s="96"/>
      <c r="AQ85" s="96"/>
      <c r="AR85" s="96"/>
      <c r="AS85" s="96"/>
    </row>
    <row r="86" spans="3:45">
      <c r="C86" s="143" t="s">
        <v>377</v>
      </c>
      <c r="D86" s="302"/>
      <c r="E86" s="302"/>
      <c r="F86" s="304"/>
      <c r="G86" s="302"/>
      <c r="H86" s="302"/>
      <c r="I86" s="153"/>
      <c r="J86" s="153"/>
      <c r="K86" s="153"/>
      <c r="L86" s="153"/>
      <c r="M86" s="153"/>
      <c r="N86" s="153"/>
      <c r="O86" s="97"/>
      <c r="P86" s="96"/>
      <c r="Q86" s="96"/>
      <c r="R86" s="96"/>
      <c r="S86" s="96"/>
      <c r="T86" s="96"/>
      <c r="U86" s="96"/>
      <c r="V86" s="96"/>
      <c r="W86" s="96"/>
      <c r="X86" s="97"/>
      <c r="Y86" s="96"/>
      <c r="Z86" s="96"/>
      <c r="AA86" s="96"/>
      <c r="AB86" s="96"/>
      <c r="AC86" s="96"/>
      <c r="AD86" s="96"/>
      <c r="AE86" s="96"/>
      <c r="AF86" s="96"/>
      <c r="AG86" s="97"/>
      <c r="AH86" s="96"/>
      <c r="AI86" s="96"/>
      <c r="AJ86" s="96"/>
      <c r="AK86" s="96"/>
      <c r="AL86" s="96"/>
      <c r="AM86" s="96"/>
      <c r="AP86" s="96"/>
      <c r="AQ86" s="96"/>
      <c r="AR86" s="96"/>
      <c r="AS86" s="96"/>
    </row>
    <row r="87" spans="3:45">
      <c r="C87" s="144" t="s">
        <v>401</v>
      </c>
      <c r="D87" s="305"/>
      <c r="E87" s="305"/>
      <c r="F87" s="306"/>
      <c r="G87" s="305"/>
      <c r="H87" s="305"/>
      <c r="I87" s="153"/>
      <c r="J87" s="305"/>
      <c r="K87" s="305"/>
      <c r="L87" s="306"/>
      <c r="M87" s="305"/>
      <c r="N87" s="305"/>
      <c r="O87" s="147"/>
      <c r="P87" s="96"/>
      <c r="Q87" s="96"/>
      <c r="R87" s="96"/>
      <c r="S87" s="96"/>
      <c r="T87" s="96"/>
      <c r="U87" s="96"/>
      <c r="V87" s="96"/>
      <c r="W87" s="96"/>
      <c r="X87" s="97"/>
      <c r="Y87" s="96"/>
      <c r="Z87" s="96"/>
      <c r="AA87" s="96"/>
      <c r="AB87" s="96"/>
      <c r="AC87" s="96"/>
      <c r="AD87" s="96"/>
      <c r="AE87" s="96"/>
      <c r="AF87" s="96"/>
      <c r="AG87" s="97"/>
      <c r="AH87" s="96"/>
      <c r="AI87" s="96"/>
      <c r="AJ87" s="96"/>
      <c r="AK87" s="96"/>
      <c r="AL87" s="96"/>
      <c r="AM87" s="96"/>
      <c r="AP87" s="143"/>
      <c r="AQ87" s="96"/>
      <c r="AR87" s="96"/>
      <c r="AS87" s="96"/>
    </row>
    <row r="88" spans="3:45">
      <c r="C88" s="144" t="s">
        <v>380</v>
      </c>
      <c r="D88" s="305"/>
      <c r="E88" s="305"/>
      <c r="F88" s="306"/>
      <c r="G88" s="305"/>
      <c r="H88" s="305"/>
      <c r="I88" s="153"/>
      <c r="J88" s="305"/>
      <c r="K88" s="305"/>
      <c r="L88" s="306"/>
      <c r="M88" s="305"/>
      <c r="N88" s="305"/>
      <c r="O88" s="141"/>
      <c r="P88" s="96"/>
      <c r="Q88" s="96"/>
      <c r="R88" s="96"/>
      <c r="S88" s="96"/>
      <c r="T88" s="96"/>
      <c r="U88" s="96"/>
      <c r="V88" s="96"/>
      <c r="W88" s="96"/>
      <c r="X88" s="97"/>
      <c r="Y88" s="96"/>
      <c r="Z88" s="96"/>
      <c r="AA88" s="96"/>
      <c r="AB88" s="96"/>
      <c r="AC88" s="96"/>
      <c r="AD88" s="96"/>
      <c r="AE88" s="96"/>
      <c r="AF88" s="96"/>
      <c r="AG88" s="97"/>
      <c r="AH88" s="96"/>
      <c r="AI88" s="96"/>
      <c r="AJ88" s="96"/>
      <c r="AK88" s="96"/>
      <c r="AL88" s="96"/>
      <c r="AM88" s="96"/>
      <c r="AP88" s="143"/>
      <c r="AQ88" s="96"/>
      <c r="AR88" s="96"/>
      <c r="AS88" s="96"/>
    </row>
    <row r="89" spans="3:45">
      <c r="C89" s="144" t="s">
        <v>385</v>
      </c>
      <c r="D89" s="305"/>
      <c r="E89" s="305"/>
      <c r="F89" s="306"/>
      <c r="G89" s="305"/>
      <c r="H89" s="305"/>
      <c r="I89" s="153"/>
      <c r="J89" s="305"/>
      <c r="K89" s="305"/>
      <c r="L89" s="306"/>
      <c r="M89" s="305"/>
      <c r="N89" s="305"/>
      <c r="O89" s="141"/>
      <c r="P89" s="96"/>
      <c r="Q89" s="96"/>
      <c r="R89" s="96"/>
      <c r="S89" s="96"/>
      <c r="T89" s="96"/>
      <c r="U89" s="96"/>
      <c r="V89" s="96"/>
      <c r="W89" s="96"/>
      <c r="X89" s="97"/>
      <c r="Y89" s="96"/>
      <c r="Z89" s="96"/>
      <c r="AA89" s="96"/>
      <c r="AB89" s="96"/>
      <c r="AC89" s="96"/>
      <c r="AD89" s="96"/>
      <c r="AE89" s="96"/>
      <c r="AF89" s="96"/>
      <c r="AG89" s="97"/>
      <c r="AH89" s="96"/>
      <c r="AI89" s="96"/>
      <c r="AJ89" s="96"/>
      <c r="AK89" s="96"/>
      <c r="AL89" s="96"/>
      <c r="AM89" s="96"/>
      <c r="AP89" s="143"/>
      <c r="AQ89" s="96"/>
      <c r="AR89" s="96"/>
      <c r="AS89" s="96"/>
    </row>
    <row r="90" spans="3:45">
      <c r="C90" s="144" t="s">
        <v>386</v>
      </c>
      <c r="D90" s="305"/>
      <c r="E90" s="305"/>
      <c r="F90" s="306"/>
      <c r="G90" s="305"/>
      <c r="H90" s="305"/>
      <c r="I90" s="153"/>
      <c r="J90" s="305"/>
      <c r="K90" s="305"/>
      <c r="L90" s="306"/>
      <c r="M90" s="305"/>
      <c r="N90" s="305"/>
      <c r="O90" s="142"/>
      <c r="P90" s="96"/>
      <c r="Q90" s="96"/>
      <c r="R90" s="96"/>
      <c r="S90" s="96"/>
      <c r="T90" s="96"/>
      <c r="U90" s="96"/>
      <c r="V90" s="96"/>
      <c r="W90" s="96"/>
      <c r="X90" s="97"/>
      <c r="Y90" s="96"/>
      <c r="Z90" s="96"/>
      <c r="AA90" s="96"/>
      <c r="AB90" s="96"/>
      <c r="AC90" s="96"/>
      <c r="AD90" s="96"/>
      <c r="AE90" s="96"/>
      <c r="AF90" s="96"/>
      <c r="AG90" s="97"/>
      <c r="AH90" s="96"/>
      <c r="AI90" s="96"/>
      <c r="AJ90" s="96"/>
      <c r="AK90" s="96"/>
      <c r="AL90" s="96"/>
      <c r="AM90" s="96"/>
      <c r="AP90" s="143"/>
      <c r="AQ90" s="96"/>
      <c r="AR90" s="96"/>
      <c r="AS90" s="96"/>
    </row>
    <row r="91" spans="3:45">
      <c r="C91" s="144" t="s">
        <v>381</v>
      </c>
      <c r="D91" s="305"/>
      <c r="E91" s="305"/>
      <c r="F91" s="306"/>
      <c r="G91" s="305"/>
      <c r="H91" s="305"/>
      <c r="I91" s="153"/>
      <c r="J91" s="305"/>
      <c r="K91" s="305"/>
      <c r="L91" s="306"/>
      <c r="M91" s="305"/>
      <c r="N91" s="305"/>
      <c r="O91" s="142"/>
      <c r="P91" s="96"/>
      <c r="Q91" s="96"/>
      <c r="R91" s="96"/>
      <c r="S91" s="96"/>
      <c r="T91" s="96"/>
      <c r="U91" s="96"/>
      <c r="V91" s="96"/>
      <c r="W91" s="96"/>
      <c r="X91" s="97"/>
      <c r="Y91" s="96"/>
      <c r="Z91" s="96"/>
      <c r="AA91" s="96"/>
      <c r="AB91" s="96"/>
      <c r="AC91" s="96"/>
      <c r="AD91" s="96"/>
      <c r="AE91" s="96"/>
      <c r="AF91" s="96"/>
      <c r="AG91" s="97"/>
      <c r="AH91" s="96"/>
      <c r="AI91" s="96"/>
      <c r="AJ91" s="96"/>
      <c r="AK91" s="96"/>
      <c r="AL91" s="96"/>
      <c r="AM91" s="96"/>
      <c r="AP91" s="143"/>
      <c r="AQ91" s="96"/>
      <c r="AR91" s="96"/>
      <c r="AS91" s="96"/>
    </row>
    <row r="92" spans="3:45" ht="34.5" customHeight="1">
      <c r="C92" s="145" t="s">
        <v>387</v>
      </c>
      <c r="D92" s="781"/>
      <c r="E92" s="782"/>
      <c r="F92" s="782"/>
      <c r="G92" s="782"/>
      <c r="H92" s="782"/>
      <c r="I92" s="302"/>
      <c r="J92" s="781"/>
      <c r="K92" s="782"/>
      <c r="L92" s="782"/>
      <c r="M92" s="782"/>
      <c r="N92" s="782"/>
      <c r="O92" s="97"/>
      <c r="P92" s="96"/>
      <c r="Q92" s="96"/>
      <c r="R92" s="96"/>
      <c r="S92" s="96"/>
      <c r="T92" s="96"/>
      <c r="U92" s="96"/>
      <c r="V92" s="96"/>
      <c r="W92" s="96"/>
      <c r="X92" s="97"/>
      <c r="Y92" s="96"/>
      <c r="Z92" s="96"/>
      <c r="AA92" s="96"/>
      <c r="AB92" s="96"/>
      <c r="AC92" s="96"/>
      <c r="AD92" s="96"/>
      <c r="AE92" s="96"/>
      <c r="AF92" s="96"/>
      <c r="AG92" s="97"/>
      <c r="AH92" s="96"/>
      <c r="AI92" s="96"/>
      <c r="AJ92" s="96"/>
      <c r="AK92" s="96"/>
      <c r="AL92" s="96"/>
      <c r="AM92" s="96"/>
      <c r="AP92" s="96"/>
      <c r="AQ92" s="96"/>
      <c r="AR92" s="96"/>
      <c r="AS92" s="96"/>
    </row>
    <row r="93" spans="3:45">
      <c r="C93" s="96"/>
      <c r="D93" s="96"/>
      <c r="E93" s="96"/>
      <c r="F93" s="97"/>
      <c r="G93" s="96"/>
      <c r="H93" s="96"/>
      <c r="I93" s="96"/>
      <c r="J93" s="96"/>
      <c r="K93" s="96"/>
      <c r="L93" s="96"/>
      <c r="M93" s="96"/>
      <c r="N93" s="96"/>
      <c r="O93" s="97"/>
      <c r="P93" s="96"/>
      <c r="Q93" s="96"/>
      <c r="R93" s="96"/>
      <c r="S93" s="96"/>
      <c r="T93" s="96"/>
      <c r="U93" s="96"/>
      <c r="V93" s="96"/>
      <c r="W93" s="96"/>
      <c r="X93" s="97"/>
      <c r="Y93" s="96"/>
      <c r="Z93" s="96"/>
      <c r="AA93" s="96"/>
      <c r="AB93" s="96"/>
      <c r="AC93" s="96"/>
      <c r="AD93" s="96"/>
      <c r="AE93" s="96"/>
      <c r="AF93" s="96"/>
      <c r="AG93" s="97"/>
      <c r="AH93" s="96"/>
      <c r="AI93" s="96"/>
      <c r="AJ93" s="96"/>
      <c r="AK93" s="96"/>
      <c r="AL93" s="96"/>
      <c r="AM93" s="96"/>
      <c r="AP93" s="96"/>
      <c r="AQ93" s="96"/>
      <c r="AR93" s="96"/>
      <c r="AS93" s="96"/>
    </row>
    <row r="94" spans="3:45">
      <c r="C94" s="96"/>
      <c r="D94" s="96"/>
      <c r="E94" s="96"/>
      <c r="F94" s="97"/>
      <c r="G94" s="96"/>
      <c r="H94" s="96"/>
      <c r="I94" s="96"/>
      <c r="J94" s="96"/>
      <c r="K94" s="96"/>
      <c r="L94" s="96"/>
      <c r="M94" s="96"/>
      <c r="N94" s="96"/>
      <c r="O94" s="97"/>
      <c r="P94" s="96"/>
      <c r="Q94" s="96"/>
      <c r="R94" s="96"/>
      <c r="S94" s="96"/>
      <c r="T94" s="96"/>
      <c r="U94" s="96"/>
      <c r="V94" s="96"/>
      <c r="W94" s="96"/>
      <c r="X94" s="97"/>
      <c r="Y94" s="96"/>
      <c r="Z94" s="96"/>
      <c r="AA94" s="96"/>
      <c r="AB94" s="96"/>
      <c r="AC94" s="96"/>
      <c r="AD94" s="96"/>
      <c r="AE94" s="96"/>
      <c r="AF94" s="96"/>
      <c r="AG94" s="97"/>
      <c r="AH94" s="96"/>
      <c r="AI94" s="96"/>
      <c r="AJ94" s="96"/>
      <c r="AK94" s="96"/>
      <c r="AL94" s="96"/>
      <c r="AM94" s="96"/>
      <c r="AP94" s="96"/>
      <c r="AQ94" s="96"/>
      <c r="AR94" s="96"/>
      <c r="AS94" s="96"/>
    </row>
    <row r="95" spans="3:45">
      <c r="C95" s="96"/>
      <c r="D95" s="96"/>
      <c r="E95" s="96"/>
      <c r="F95" s="97"/>
      <c r="G95" s="96"/>
      <c r="H95" s="96"/>
      <c r="I95" s="96"/>
      <c r="J95" s="96"/>
      <c r="K95" s="96"/>
      <c r="L95" s="96"/>
      <c r="M95" s="96"/>
      <c r="N95" s="96"/>
      <c r="O95" s="97"/>
      <c r="P95" s="96"/>
      <c r="Q95" s="96"/>
      <c r="R95" s="96"/>
      <c r="S95" s="96"/>
      <c r="T95" s="96"/>
      <c r="U95" s="96"/>
      <c r="V95" s="96"/>
      <c r="W95" s="96"/>
      <c r="X95" s="97"/>
      <c r="Y95" s="96"/>
      <c r="Z95" s="96"/>
      <c r="AA95" s="96"/>
      <c r="AB95" s="96"/>
      <c r="AC95" s="96"/>
      <c r="AD95" s="96"/>
      <c r="AE95" s="96"/>
      <c r="AF95" s="96"/>
      <c r="AG95" s="97"/>
      <c r="AH95" s="96"/>
      <c r="AI95" s="96"/>
      <c r="AJ95" s="96"/>
      <c r="AK95" s="96"/>
      <c r="AL95" s="96"/>
      <c r="AM95" s="96"/>
      <c r="AP95" s="96"/>
      <c r="AQ95" s="96"/>
      <c r="AR95" s="96"/>
      <c r="AS95" s="96"/>
    </row>
    <row r="96" spans="3:45">
      <c r="C96" s="96"/>
      <c r="D96" s="96"/>
      <c r="E96" s="96"/>
      <c r="F96" s="97"/>
      <c r="G96" s="96"/>
      <c r="H96" s="96"/>
      <c r="I96" s="96"/>
      <c r="J96" s="96"/>
      <c r="K96" s="96"/>
      <c r="L96" s="96"/>
      <c r="M96" s="96"/>
      <c r="N96" s="96"/>
      <c r="O96" s="97"/>
      <c r="P96" s="96"/>
      <c r="Q96" s="96"/>
      <c r="R96" s="96"/>
      <c r="S96" s="96"/>
      <c r="T96" s="96"/>
      <c r="U96" s="96"/>
      <c r="V96" s="96"/>
      <c r="W96" s="96"/>
      <c r="X96" s="97"/>
      <c r="Y96" s="96"/>
      <c r="Z96" s="96"/>
      <c r="AA96" s="96"/>
      <c r="AB96" s="96"/>
      <c r="AC96" s="96"/>
      <c r="AD96" s="96"/>
      <c r="AE96" s="96"/>
      <c r="AF96" s="96"/>
      <c r="AG96" s="97"/>
      <c r="AH96" s="96"/>
      <c r="AI96" s="96"/>
      <c r="AJ96" s="96"/>
      <c r="AK96" s="96"/>
      <c r="AL96" s="96"/>
      <c r="AM96" s="96"/>
      <c r="AP96" s="96"/>
      <c r="AQ96" s="96"/>
      <c r="AR96" s="96"/>
      <c r="AS96" s="96"/>
    </row>
    <row r="97" spans="6:33" s="96" customFormat="1">
      <c r="F97" s="97"/>
      <c r="O97" s="97"/>
      <c r="X97" s="97"/>
      <c r="AG97" s="97"/>
    </row>
    <row r="98" spans="6:33" s="96" customFormat="1">
      <c r="F98" s="97"/>
      <c r="O98" s="97"/>
      <c r="X98" s="97"/>
      <c r="AG98" s="97"/>
    </row>
    <row r="99" spans="6:33" s="96" customFormat="1">
      <c r="F99" s="97"/>
      <c r="O99" s="97"/>
      <c r="X99" s="97"/>
      <c r="AG99" s="97"/>
    </row>
    <row r="100" spans="6:33" s="96" customFormat="1">
      <c r="F100" s="97"/>
      <c r="O100" s="97"/>
      <c r="X100" s="97"/>
      <c r="AG100" s="97"/>
    </row>
    <row r="101" spans="6:33" s="96" customFormat="1">
      <c r="F101" s="97"/>
      <c r="O101" s="97"/>
      <c r="X101" s="97"/>
      <c r="AG101" s="97"/>
    </row>
    <row r="102" spans="6:33" s="96" customFormat="1">
      <c r="F102" s="97"/>
      <c r="O102" s="97"/>
      <c r="X102" s="97"/>
      <c r="AG102" s="97"/>
    </row>
    <row r="103" spans="6:33" s="96" customFormat="1">
      <c r="F103" s="97"/>
      <c r="O103" s="97"/>
      <c r="X103" s="97"/>
      <c r="AG103" s="97"/>
    </row>
    <row r="104" spans="6:33" s="96" customFormat="1">
      <c r="F104" s="97"/>
      <c r="O104" s="97"/>
      <c r="X104" s="97"/>
      <c r="AG104" s="97"/>
    </row>
    <row r="105" spans="6:33" s="96" customFormat="1">
      <c r="F105" s="97"/>
      <c r="O105" s="97"/>
      <c r="X105" s="97"/>
      <c r="AG105" s="97"/>
    </row>
    <row r="106" spans="6:33" s="96" customFormat="1">
      <c r="F106" s="97"/>
      <c r="O106" s="97"/>
      <c r="X106" s="97"/>
      <c r="AG106" s="97"/>
    </row>
    <row r="107" spans="6:33" s="96" customFormat="1">
      <c r="F107" s="97"/>
      <c r="O107" s="97"/>
      <c r="X107" s="97"/>
      <c r="AG107" s="97"/>
    </row>
    <row r="108" spans="6:33" s="96" customFormat="1">
      <c r="F108" s="97"/>
      <c r="O108" s="97"/>
      <c r="X108" s="97"/>
      <c r="AG108" s="97"/>
    </row>
    <row r="109" spans="6:33" s="96" customFormat="1">
      <c r="F109" s="97"/>
      <c r="O109" s="97"/>
      <c r="X109" s="97"/>
      <c r="AG109" s="97"/>
    </row>
    <row r="110" spans="6:33" s="96" customFormat="1">
      <c r="F110" s="97"/>
      <c r="O110" s="97"/>
      <c r="X110" s="97"/>
      <c r="AG110" s="97"/>
    </row>
    <row r="111" spans="6:33" s="96" customFormat="1">
      <c r="F111" s="97"/>
      <c r="O111" s="97"/>
      <c r="X111" s="97"/>
      <c r="AG111" s="97"/>
    </row>
    <row r="112" spans="6:33" s="96" customFormat="1">
      <c r="F112" s="97"/>
      <c r="O112" s="97"/>
      <c r="X112" s="97"/>
      <c r="AG112" s="97"/>
    </row>
    <row r="113" spans="6:33" s="96" customFormat="1">
      <c r="F113" s="97"/>
      <c r="O113" s="97"/>
      <c r="X113" s="97"/>
      <c r="AG113" s="97"/>
    </row>
    <row r="114" spans="6:33" s="96" customFormat="1">
      <c r="F114" s="97"/>
      <c r="O114" s="97"/>
      <c r="X114" s="97"/>
      <c r="AG114" s="97"/>
    </row>
    <row r="115" spans="6:33" s="96" customFormat="1">
      <c r="F115" s="97"/>
      <c r="O115" s="97"/>
      <c r="X115" s="97"/>
      <c r="AG115" s="97"/>
    </row>
    <row r="116" spans="6:33" s="96" customFormat="1">
      <c r="F116" s="97"/>
      <c r="O116" s="97"/>
      <c r="X116" s="97"/>
      <c r="AG116" s="97"/>
    </row>
    <row r="117" spans="6:33" s="96" customFormat="1">
      <c r="F117" s="97"/>
      <c r="O117" s="97"/>
      <c r="X117" s="97"/>
      <c r="AG117" s="97"/>
    </row>
    <row r="118" spans="6:33" s="96" customFormat="1">
      <c r="F118" s="97"/>
      <c r="O118" s="97"/>
      <c r="X118" s="97"/>
      <c r="AG118" s="97"/>
    </row>
    <row r="119" spans="6:33" s="96" customFormat="1">
      <c r="F119" s="97"/>
      <c r="O119" s="97"/>
      <c r="X119" s="97"/>
      <c r="AG119" s="97"/>
    </row>
    <row r="120" spans="6:33" s="96" customFormat="1">
      <c r="F120" s="97"/>
      <c r="O120" s="97"/>
      <c r="X120" s="97"/>
      <c r="AG120" s="97"/>
    </row>
    <row r="121" spans="6:33" s="96" customFormat="1">
      <c r="F121" s="97"/>
      <c r="O121" s="97"/>
      <c r="X121" s="97"/>
      <c r="AG121" s="97"/>
    </row>
    <row r="122" spans="6:33" s="96" customFormat="1">
      <c r="F122" s="97"/>
      <c r="O122" s="97"/>
      <c r="X122" s="97"/>
      <c r="AG122" s="97"/>
    </row>
    <row r="123" spans="6:33" s="96" customFormat="1">
      <c r="F123" s="97"/>
      <c r="O123" s="97"/>
      <c r="X123" s="97"/>
      <c r="AG123" s="97"/>
    </row>
    <row r="124" spans="6:33" s="96" customFormat="1">
      <c r="F124" s="97"/>
      <c r="O124" s="97"/>
      <c r="X124" s="97"/>
      <c r="AG124" s="97"/>
    </row>
    <row r="125" spans="6:33" s="96" customFormat="1">
      <c r="F125" s="97"/>
      <c r="O125" s="97"/>
      <c r="X125" s="97"/>
      <c r="AG125" s="97"/>
    </row>
    <row r="126" spans="6:33" s="96" customFormat="1">
      <c r="F126" s="97"/>
      <c r="O126" s="97"/>
      <c r="X126" s="97"/>
      <c r="AG126" s="97"/>
    </row>
    <row r="127" spans="6:33" s="96" customFormat="1">
      <c r="F127" s="97"/>
      <c r="O127" s="97"/>
      <c r="X127" s="97"/>
      <c r="AG127" s="97"/>
    </row>
    <row r="128" spans="6:33" s="96" customFormat="1">
      <c r="F128" s="97"/>
      <c r="O128" s="97"/>
      <c r="X128" s="97"/>
      <c r="AG128" s="97"/>
    </row>
    <row r="129" spans="6:33" s="96" customFormat="1">
      <c r="F129" s="97"/>
      <c r="O129" s="97"/>
      <c r="X129" s="97"/>
      <c r="AG129" s="97"/>
    </row>
    <row r="130" spans="6:33" s="96" customFormat="1">
      <c r="F130" s="97"/>
      <c r="O130" s="97"/>
      <c r="X130" s="97"/>
      <c r="AG130" s="97"/>
    </row>
    <row r="131" spans="6:33" s="96" customFormat="1">
      <c r="F131" s="97"/>
      <c r="O131" s="97"/>
      <c r="X131" s="97"/>
      <c r="AG131" s="97"/>
    </row>
    <row r="132" spans="6:33" s="96" customFormat="1">
      <c r="F132" s="97"/>
      <c r="O132" s="97"/>
      <c r="X132" s="97"/>
      <c r="AG132" s="97"/>
    </row>
    <row r="133" spans="6:33" s="96" customFormat="1">
      <c r="F133" s="97"/>
      <c r="O133" s="97"/>
      <c r="X133" s="97"/>
      <c r="AG133" s="97"/>
    </row>
    <row r="134" spans="6:33" s="96" customFormat="1">
      <c r="F134" s="97"/>
      <c r="O134" s="97"/>
      <c r="X134" s="97"/>
      <c r="AG134" s="97"/>
    </row>
    <row r="135" spans="6:33" s="96" customFormat="1">
      <c r="F135" s="97"/>
      <c r="O135" s="97"/>
      <c r="X135" s="97"/>
      <c r="AG135" s="97"/>
    </row>
    <row r="136" spans="6:33" s="96" customFormat="1">
      <c r="F136" s="97"/>
      <c r="O136" s="97"/>
      <c r="X136" s="97"/>
      <c r="AG136" s="97"/>
    </row>
    <row r="137" spans="6:33" s="96" customFormat="1">
      <c r="F137" s="97"/>
      <c r="O137" s="97"/>
      <c r="X137" s="97"/>
      <c r="AG137" s="97"/>
    </row>
    <row r="138" spans="6:33" s="96" customFormat="1">
      <c r="F138" s="97"/>
      <c r="O138" s="97"/>
      <c r="X138" s="97"/>
      <c r="AG138" s="97"/>
    </row>
    <row r="139" spans="6:33" s="96" customFormat="1">
      <c r="F139" s="97"/>
      <c r="O139" s="97"/>
      <c r="X139" s="97"/>
      <c r="AG139" s="97"/>
    </row>
    <row r="140" spans="6:33" s="96" customFormat="1">
      <c r="F140" s="97"/>
      <c r="O140" s="97"/>
      <c r="X140" s="97"/>
      <c r="AG140" s="97"/>
    </row>
    <row r="141" spans="6:33" s="96" customFormat="1">
      <c r="F141" s="97"/>
      <c r="O141" s="97"/>
      <c r="X141" s="97"/>
      <c r="AG141" s="97"/>
    </row>
    <row r="142" spans="6:33" s="96" customFormat="1">
      <c r="F142" s="97"/>
      <c r="O142" s="97"/>
      <c r="X142" s="97"/>
      <c r="AG142" s="97"/>
    </row>
    <row r="143" spans="6:33" s="96" customFormat="1">
      <c r="F143" s="97"/>
      <c r="O143" s="97"/>
      <c r="X143" s="97"/>
      <c r="AG143" s="97"/>
    </row>
    <row r="144" spans="6:33" s="96" customFormat="1">
      <c r="F144" s="97"/>
      <c r="O144" s="97"/>
      <c r="X144" s="97"/>
      <c r="AG144" s="97"/>
    </row>
    <row r="145" spans="6:33" s="96" customFormat="1">
      <c r="F145" s="97"/>
      <c r="O145" s="97"/>
      <c r="X145" s="97"/>
      <c r="AG145" s="97"/>
    </row>
    <row r="146" spans="6:33" s="96" customFormat="1">
      <c r="F146" s="97"/>
      <c r="O146" s="97"/>
      <c r="X146" s="97"/>
      <c r="AG146" s="97"/>
    </row>
    <row r="147" spans="6:33" s="96" customFormat="1">
      <c r="F147" s="97"/>
      <c r="O147" s="97"/>
      <c r="X147" s="97"/>
      <c r="AG147" s="97"/>
    </row>
    <row r="148" spans="6:33" s="96" customFormat="1">
      <c r="F148" s="97"/>
      <c r="O148" s="97"/>
      <c r="X148" s="97"/>
      <c r="AG148" s="97"/>
    </row>
    <row r="149" spans="6:33" s="96" customFormat="1">
      <c r="F149" s="97"/>
      <c r="O149" s="97"/>
      <c r="X149" s="97"/>
      <c r="AG149" s="97"/>
    </row>
    <row r="150" spans="6:33" s="96" customFormat="1">
      <c r="F150" s="97"/>
      <c r="O150" s="97"/>
      <c r="X150" s="97"/>
      <c r="AG150" s="97"/>
    </row>
    <row r="151" spans="6:33" s="96" customFormat="1">
      <c r="F151" s="97"/>
      <c r="O151" s="97"/>
      <c r="X151" s="97"/>
      <c r="AG151" s="97"/>
    </row>
    <row r="152" spans="6:33" s="96" customFormat="1">
      <c r="F152" s="97"/>
      <c r="O152" s="97"/>
      <c r="X152" s="97"/>
      <c r="AG152" s="97"/>
    </row>
    <row r="153" spans="6:33" s="96" customFormat="1">
      <c r="F153" s="97"/>
      <c r="O153" s="97"/>
      <c r="X153" s="97"/>
      <c r="AG153" s="97"/>
    </row>
    <row r="154" spans="6:33" s="96" customFormat="1">
      <c r="F154" s="97"/>
      <c r="O154" s="97"/>
      <c r="X154" s="97"/>
      <c r="AG154" s="97"/>
    </row>
    <row r="155" spans="6:33" s="96" customFormat="1">
      <c r="F155" s="97"/>
      <c r="O155" s="97"/>
      <c r="X155" s="97"/>
      <c r="AG155" s="97"/>
    </row>
    <row r="156" spans="6:33" s="96" customFormat="1">
      <c r="F156" s="97"/>
      <c r="O156" s="97"/>
      <c r="X156" s="97"/>
      <c r="AG156" s="97"/>
    </row>
    <row r="157" spans="6:33" s="96" customFormat="1">
      <c r="F157" s="97"/>
      <c r="O157" s="97"/>
      <c r="X157" s="97"/>
      <c r="AG157" s="97"/>
    </row>
    <row r="158" spans="6:33" s="96" customFormat="1">
      <c r="F158" s="97"/>
      <c r="O158" s="97"/>
      <c r="X158" s="97"/>
      <c r="AG158" s="97"/>
    </row>
    <row r="159" spans="6:33" s="96" customFormat="1">
      <c r="F159" s="97"/>
      <c r="O159" s="97"/>
      <c r="X159" s="97"/>
      <c r="AG159" s="97"/>
    </row>
    <row r="160" spans="6:33" s="96" customFormat="1">
      <c r="F160" s="97"/>
      <c r="O160" s="97"/>
      <c r="X160" s="97"/>
      <c r="AG160" s="97"/>
    </row>
    <row r="161" spans="6:33" s="96" customFormat="1">
      <c r="F161" s="97"/>
      <c r="O161" s="97"/>
      <c r="X161" s="97"/>
      <c r="AG161" s="97"/>
    </row>
    <row r="162" spans="6:33" s="96" customFormat="1">
      <c r="F162" s="97"/>
      <c r="O162" s="97"/>
      <c r="X162" s="97"/>
      <c r="AG162" s="97"/>
    </row>
    <row r="163" spans="6:33" s="96" customFormat="1">
      <c r="F163" s="97"/>
      <c r="O163" s="97"/>
      <c r="X163" s="97"/>
      <c r="AG163" s="97"/>
    </row>
    <row r="164" spans="6:33" s="96" customFormat="1">
      <c r="F164" s="97"/>
      <c r="O164" s="97"/>
      <c r="X164" s="97"/>
      <c r="AG164" s="97"/>
    </row>
    <row r="165" spans="6:33" s="96" customFormat="1">
      <c r="F165" s="97"/>
      <c r="O165" s="97"/>
      <c r="X165" s="97"/>
      <c r="AG165" s="97"/>
    </row>
    <row r="166" spans="6:33" s="96" customFormat="1">
      <c r="F166" s="97"/>
      <c r="O166" s="97"/>
      <c r="X166" s="97"/>
      <c r="AG166" s="97"/>
    </row>
    <row r="167" spans="6:33" s="96" customFormat="1">
      <c r="F167" s="97"/>
      <c r="O167" s="97"/>
      <c r="X167" s="97"/>
      <c r="AG167" s="97"/>
    </row>
    <row r="168" spans="6:33" s="96" customFormat="1">
      <c r="F168" s="97"/>
      <c r="O168" s="97"/>
      <c r="X168" s="97"/>
      <c r="AG168" s="97"/>
    </row>
    <row r="169" spans="6:33" s="96" customFormat="1">
      <c r="F169" s="97"/>
      <c r="O169" s="97"/>
      <c r="X169" s="97"/>
      <c r="AG169" s="97"/>
    </row>
    <row r="170" spans="6:33" s="96" customFormat="1">
      <c r="F170" s="97"/>
      <c r="O170" s="97"/>
      <c r="X170" s="97"/>
      <c r="AG170" s="97"/>
    </row>
    <row r="171" spans="6:33" s="96" customFormat="1">
      <c r="F171" s="97"/>
      <c r="O171" s="97"/>
      <c r="X171" s="97"/>
      <c r="AG171" s="97"/>
    </row>
    <row r="172" spans="6:33" s="96" customFormat="1">
      <c r="F172" s="97"/>
      <c r="O172" s="97"/>
      <c r="X172" s="97"/>
      <c r="AG172" s="97"/>
    </row>
    <row r="173" spans="6:33" s="96" customFormat="1">
      <c r="F173" s="97"/>
      <c r="O173" s="97"/>
      <c r="X173" s="97"/>
      <c r="AG173" s="97"/>
    </row>
    <row r="174" spans="6:33" s="96" customFormat="1">
      <c r="F174" s="97"/>
      <c r="O174" s="97"/>
      <c r="X174" s="97"/>
      <c r="AG174" s="97"/>
    </row>
    <row r="175" spans="6:33" s="96" customFormat="1">
      <c r="F175" s="97"/>
      <c r="O175" s="97"/>
      <c r="X175" s="97"/>
      <c r="AG175" s="97"/>
    </row>
    <row r="176" spans="6:33" s="96" customFormat="1">
      <c r="F176" s="97"/>
      <c r="O176" s="97"/>
      <c r="X176" s="97"/>
      <c r="AG176" s="97"/>
    </row>
    <row r="177" spans="6:33" s="96" customFormat="1">
      <c r="F177" s="97"/>
      <c r="O177" s="97"/>
      <c r="X177" s="97"/>
      <c r="AG177" s="97"/>
    </row>
    <row r="178" spans="6:33" s="96" customFormat="1">
      <c r="F178" s="97"/>
      <c r="O178" s="97"/>
      <c r="X178" s="97"/>
      <c r="AG178" s="97"/>
    </row>
    <row r="179" spans="6:33" s="96" customFormat="1">
      <c r="F179" s="97"/>
      <c r="O179" s="97"/>
      <c r="X179" s="97"/>
      <c r="AG179" s="97"/>
    </row>
    <row r="180" spans="6:33" s="96" customFormat="1">
      <c r="F180" s="97"/>
      <c r="O180" s="97"/>
      <c r="X180" s="97"/>
      <c r="AG180" s="97"/>
    </row>
    <row r="181" spans="6:33" s="96" customFormat="1">
      <c r="F181" s="97"/>
      <c r="O181" s="97"/>
      <c r="X181" s="97"/>
      <c r="AG181" s="97"/>
    </row>
    <row r="182" spans="6:33" s="96" customFormat="1">
      <c r="F182" s="97"/>
      <c r="O182" s="97"/>
      <c r="X182" s="97"/>
      <c r="AG182" s="97"/>
    </row>
    <row r="183" spans="6:33" s="96" customFormat="1">
      <c r="F183" s="97"/>
      <c r="O183" s="97"/>
      <c r="X183" s="97"/>
      <c r="AG183" s="97"/>
    </row>
    <row r="184" spans="6:33" s="96" customFormat="1">
      <c r="F184" s="97"/>
      <c r="O184" s="97"/>
      <c r="X184" s="97"/>
      <c r="AG184" s="97"/>
    </row>
    <row r="185" spans="6:33" s="96" customFormat="1">
      <c r="F185" s="97"/>
      <c r="O185" s="97"/>
      <c r="X185" s="97"/>
      <c r="AG185" s="97"/>
    </row>
    <row r="186" spans="6:33" s="96" customFormat="1">
      <c r="F186" s="97"/>
      <c r="O186" s="97"/>
      <c r="X186" s="97"/>
      <c r="AG186" s="97"/>
    </row>
    <row r="187" spans="6:33" s="96" customFormat="1">
      <c r="F187" s="97"/>
      <c r="O187" s="97"/>
      <c r="X187" s="97"/>
      <c r="AG187" s="97"/>
    </row>
    <row r="188" spans="6:33" s="96" customFormat="1">
      <c r="F188" s="97"/>
      <c r="O188" s="97"/>
      <c r="X188" s="97"/>
      <c r="AG188" s="97"/>
    </row>
    <row r="189" spans="6:33" s="96" customFormat="1">
      <c r="F189" s="97"/>
      <c r="O189" s="97"/>
      <c r="X189" s="97"/>
      <c r="AG189" s="97"/>
    </row>
    <row r="190" spans="6:33" s="96" customFormat="1">
      <c r="F190" s="97"/>
      <c r="O190" s="97"/>
      <c r="X190" s="97"/>
      <c r="AG190" s="97"/>
    </row>
    <row r="191" spans="6:33" s="96" customFormat="1">
      <c r="F191" s="97"/>
      <c r="O191" s="97"/>
      <c r="X191" s="97"/>
      <c r="AG191" s="97"/>
    </row>
    <row r="192" spans="6:33" s="96" customFormat="1">
      <c r="F192" s="97"/>
      <c r="O192" s="97"/>
      <c r="X192" s="97"/>
      <c r="AG192" s="97"/>
    </row>
    <row r="193" spans="6:33" s="96" customFormat="1">
      <c r="F193" s="97"/>
      <c r="O193" s="97"/>
      <c r="X193" s="97"/>
      <c r="AG193" s="97"/>
    </row>
    <row r="194" spans="6:33" s="96" customFormat="1">
      <c r="F194" s="97"/>
      <c r="O194" s="97"/>
      <c r="X194" s="97"/>
      <c r="AG194" s="97"/>
    </row>
    <row r="195" spans="6:33" s="96" customFormat="1">
      <c r="F195" s="97"/>
      <c r="O195" s="97"/>
      <c r="X195" s="97"/>
      <c r="AG195" s="97"/>
    </row>
    <row r="196" spans="6:33" s="96" customFormat="1">
      <c r="F196" s="97"/>
      <c r="O196" s="97"/>
      <c r="X196" s="97"/>
      <c r="AG196" s="97"/>
    </row>
    <row r="197" spans="6:33" s="96" customFormat="1">
      <c r="F197" s="97"/>
      <c r="O197" s="97"/>
      <c r="X197" s="97"/>
      <c r="AG197" s="97"/>
    </row>
    <row r="198" spans="6:33" s="96" customFormat="1">
      <c r="F198" s="97"/>
      <c r="O198" s="97"/>
      <c r="X198" s="97"/>
      <c r="AG198" s="97"/>
    </row>
    <row r="199" spans="6:33" s="96" customFormat="1">
      <c r="F199" s="97"/>
      <c r="O199" s="97"/>
      <c r="X199" s="97"/>
      <c r="AG199" s="97"/>
    </row>
    <row r="200" spans="6:33" s="96" customFormat="1">
      <c r="F200" s="97"/>
      <c r="O200" s="97"/>
      <c r="X200" s="97"/>
      <c r="AG200" s="97"/>
    </row>
    <row r="201" spans="6:33" s="96" customFormat="1">
      <c r="F201" s="97"/>
      <c r="O201" s="97"/>
      <c r="X201" s="97"/>
      <c r="AG201" s="97"/>
    </row>
    <row r="202" spans="6:33" s="96" customFormat="1">
      <c r="F202" s="97"/>
      <c r="O202" s="97"/>
      <c r="X202" s="97"/>
      <c r="AG202" s="97"/>
    </row>
    <row r="203" spans="6:33" s="96" customFormat="1">
      <c r="F203" s="97"/>
      <c r="O203" s="97"/>
      <c r="X203" s="97"/>
      <c r="AG203" s="97"/>
    </row>
    <row r="204" spans="6:33" s="96" customFormat="1">
      <c r="F204" s="97"/>
      <c r="O204" s="97"/>
      <c r="X204" s="97"/>
      <c r="AG204" s="97"/>
    </row>
    <row r="205" spans="6:33" s="96" customFormat="1">
      <c r="F205" s="97"/>
      <c r="O205" s="97"/>
      <c r="X205" s="97"/>
      <c r="AG205" s="97"/>
    </row>
    <row r="206" spans="6:33" s="96" customFormat="1">
      <c r="F206" s="97"/>
      <c r="O206" s="97"/>
      <c r="X206" s="97"/>
      <c r="AG206" s="97"/>
    </row>
    <row r="207" spans="6:33" s="96" customFormat="1">
      <c r="F207" s="97"/>
      <c r="O207" s="97"/>
      <c r="X207" s="97"/>
      <c r="AG207" s="97"/>
    </row>
    <row r="208" spans="6:33" s="96" customFormat="1">
      <c r="F208" s="97"/>
      <c r="O208" s="97"/>
      <c r="X208" s="97"/>
      <c r="AG208" s="97"/>
    </row>
    <row r="209" spans="6:33" s="96" customFormat="1">
      <c r="F209" s="97"/>
      <c r="O209" s="97"/>
      <c r="X209" s="97"/>
      <c r="AG209" s="97"/>
    </row>
    <row r="210" spans="6:33" s="96" customFormat="1">
      <c r="F210" s="97"/>
      <c r="O210" s="97"/>
      <c r="X210" s="97"/>
      <c r="AG210" s="97"/>
    </row>
    <row r="211" spans="6:33" s="96" customFormat="1">
      <c r="F211" s="97"/>
      <c r="O211" s="97"/>
      <c r="X211" s="97"/>
      <c r="AG211" s="97"/>
    </row>
    <row r="212" spans="6:33" s="96" customFormat="1">
      <c r="F212" s="97"/>
      <c r="O212" s="97"/>
      <c r="X212" s="97"/>
      <c r="AG212" s="97"/>
    </row>
    <row r="213" spans="6:33" s="96" customFormat="1">
      <c r="F213" s="97"/>
      <c r="O213" s="97"/>
      <c r="X213" s="97"/>
      <c r="AG213" s="97"/>
    </row>
    <row r="214" spans="6:33" s="96" customFormat="1">
      <c r="F214" s="97"/>
      <c r="O214" s="97"/>
      <c r="X214" s="97"/>
      <c r="AG214" s="97"/>
    </row>
    <row r="215" spans="6:33" s="96" customFormat="1">
      <c r="F215" s="97"/>
      <c r="O215" s="97"/>
      <c r="X215" s="97"/>
      <c r="AG215" s="97"/>
    </row>
    <row r="216" spans="6:33" s="96" customFormat="1">
      <c r="F216" s="97"/>
      <c r="O216" s="97"/>
      <c r="X216" s="97"/>
      <c r="AG216" s="97"/>
    </row>
    <row r="217" spans="6:33" s="96" customFormat="1">
      <c r="F217" s="97"/>
      <c r="O217" s="97"/>
      <c r="X217" s="97"/>
      <c r="AG217" s="97"/>
    </row>
    <row r="218" spans="6:33" s="96" customFormat="1">
      <c r="F218" s="97"/>
      <c r="O218" s="97"/>
      <c r="X218" s="97"/>
      <c r="AG218" s="97"/>
    </row>
    <row r="219" spans="6:33" s="96" customFormat="1">
      <c r="F219" s="97"/>
      <c r="O219" s="97"/>
      <c r="X219" s="97"/>
      <c r="AG219" s="97"/>
    </row>
    <row r="220" spans="6:33" s="96" customFormat="1">
      <c r="F220" s="97"/>
      <c r="O220" s="97"/>
      <c r="X220" s="97"/>
      <c r="AG220" s="97"/>
    </row>
    <row r="221" spans="6:33" s="96" customFormat="1">
      <c r="F221" s="97"/>
      <c r="O221" s="97"/>
      <c r="X221" s="97"/>
      <c r="AG221" s="97"/>
    </row>
    <row r="222" spans="6:33" s="96" customFormat="1">
      <c r="F222" s="97"/>
      <c r="O222" s="97"/>
      <c r="X222" s="97"/>
      <c r="AG222" s="97"/>
    </row>
    <row r="223" spans="6:33" s="96" customFormat="1">
      <c r="F223" s="97"/>
      <c r="O223" s="97"/>
      <c r="X223" s="97"/>
      <c r="AG223" s="97"/>
    </row>
    <row r="224" spans="6:33" s="96" customFormat="1">
      <c r="F224" s="97"/>
      <c r="O224" s="97"/>
      <c r="X224" s="97"/>
      <c r="AG224" s="97"/>
    </row>
    <row r="225" spans="6:33" s="96" customFormat="1">
      <c r="F225" s="97"/>
      <c r="O225" s="97"/>
      <c r="X225" s="97"/>
      <c r="AG225" s="97"/>
    </row>
    <row r="226" spans="6:33" s="96" customFormat="1">
      <c r="F226" s="97"/>
      <c r="O226" s="97"/>
      <c r="X226" s="97"/>
      <c r="AG226" s="97"/>
    </row>
    <row r="227" spans="6:33" s="96" customFormat="1">
      <c r="F227" s="97"/>
      <c r="O227" s="97"/>
      <c r="X227" s="97"/>
      <c r="AG227" s="97"/>
    </row>
    <row r="228" spans="6:33" s="96" customFormat="1">
      <c r="F228" s="97"/>
      <c r="O228" s="97"/>
      <c r="X228" s="97"/>
      <c r="AG228" s="97"/>
    </row>
    <row r="229" spans="6:33" s="96" customFormat="1">
      <c r="F229" s="97"/>
      <c r="O229" s="97"/>
      <c r="X229" s="97"/>
      <c r="AG229" s="97"/>
    </row>
    <row r="230" spans="6:33" s="96" customFormat="1">
      <c r="F230" s="97"/>
      <c r="O230" s="97"/>
      <c r="X230" s="97"/>
      <c r="AG230" s="97"/>
    </row>
    <row r="231" spans="6:33" s="96" customFormat="1">
      <c r="F231" s="97"/>
      <c r="O231" s="97"/>
      <c r="X231" s="97"/>
      <c r="AG231" s="97"/>
    </row>
    <row r="232" spans="6:33" s="96" customFormat="1">
      <c r="F232" s="97"/>
      <c r="O232" s="97"/>
      <c r="X232" s="97"/>
      <c r="AG232" s="97"/>
    </row>
    <row r="233" spans="6:33" s="96" customFormat="1">
      <c r="F233" s="97"/>
      <c r="O233" s="97"/>
      <c r="X233" s="97"/>
      <c r="AG233" s="97"/>
    </row>
    <row r="234" spans="6:33" s="96" customFormat="1">
      <c r="F234" s="97"/>
      <c r="O234" s="97"/>
      <c r="X234" s="97"/>
      <c r="AG234" s="97"/>
    </row>
    <row r="235" spans="6:33" s="96" customFormat="1">
      <c r="F235" s="97"/>
      <c r="O235" s="97"/>
      <c r="X235" s="97"/>
      <c r="AG235" s="97"/>
    </row>
    <row r="236" spans="6:33" s="96" customFormat="1">
      <c r="F236" s="97"/>
      <c r="O236" s="97"/>
      <c r="X236" s="97"/>
      <c r="AG236" s="97"/>
    </row>
    <row r="237" spans="6:33" s="96" customFormat="1">
      <c r="F237" s="97"/>
      <c r="O237" s="97"/>
      <c r="X237" s="97"/>
      <c r="AG237" s="97"/>
    </row>
    <row r="238" spans="6:33" s="96" customFormat="1">
      <c r="F238" s="97"/>
      <c r="O238" s="97"/>
      <c r="X238" s="97"/>
      <c r="AG238" s="97"/>
    </row>
    <row r="239" spans="6:33" s="96" customFormat="1">
      <c r="F239" s="97"/>
      <c r="O239" s="97"/>
      <c r="X239" s="97"/>
      <c r="AG239" s="97"/>
    </row>
    <row r="240" spans="6:33" s="96" customFormat="1">
      <c r="F240" s="97"/>
      <c r="O240" s="97"/>
      <c r="X240" s="97"/>
      <c r="AG240" s="97"/>
    </row>
    <row r="241" spans="6:33" s="96" customFormat="1">
      <c r="F241" s="97"/>
      <c r="O241" s="97"/>
      <c r="X241" s="97"/>
      <c r="AG241" s="97"/>
    </row>
    <row r="242" spans="6:33" s="96" customFormat="1">
      <c r="F242" s="97"/>
      <c r="O242" s="97"/>
      <c r="X242" s="97"/>
      <c r="AG242" s="97"/>
    </row>
    <row r="243" spans="6:33" s="96" customFormat="1">
      <c r="F243" s="97"/>
      <c r="O243" s="97"/>
      <c r="X243" s="97"/>
      <c r="AG243" s="97"/>
    </row>
    <row r="244" spans="6:33" s="96" customFormat="1">
      <c r="F244" s="97"/>
      <c r="O244" s="97"/>
      <c r="X244" s="97"/>
      <c r="AG244" s="97"/>
    </row>
    <row r="245" spans="6:33" s="96" customFormat="1">
      <c r="F245" s="97"/>
      <c r="O245" s="97"/>
      <c r="X245" s="97"/>
      <c r="AG245" s="97"/>
    </row>
    <row r="246" spans="6:33" s="96" customFormat="1">
      <c r="F246" s="97"/>
      <c r="O246" s="97"/>
      <c r="X246" s="97"/>
      <c r="AG246" s="97"/>
    </row>
    <row r="247" spans="6:33" s="96" customFormat="1">
      <c r="F247" s="97"/>
      <c r="O247" s="97"/>
      <c r="X247" s="97"/>
      <c r="AG247" s="97"/>
    </row>
    <row r="248" spans="6:33" s="96" customFormat="1">
      <c r="F248" s="97"/>
      <c r="O248" s="97"/>
      <c r="X248" s="97"/>
      <c r="AG248" s="97"/>
    </row>
    <row r="249" spans="6:33" s="96" customFormat="1">
      <c r="F249" s="97"/>
      <c r="O249" s="97"/>
      <c r="X249" s="97"/>
      <c r="AG249" s="97"/>
    </row>
    <row r="250" spans="6:33" s="96" customFormat="1">
      <c r="F250" s="97"/>
      <c r="O250" s="97"/>
      <c r="X250" s="97"/>
      <c r="AG250" s="97"/>
    </row>
    <row r="251" spans="6:33" s="96" customFormat="1">
      <c r="F251" s="97"/>
      <c r="O251" s="97"/>
      <c r="X251" s="97"/>
      <c r="AG251" s="97"/>
    </row>
    <row r="252" spans="6:33" s="96" customFormat="1">
      <c r="F252" s="97"/>
      <c r="O252" s="97"/>
      <c r="X252" s="97"/>
      <c r="AG252" s="97"/>
    </row>
    <row r="253" spans="6:33" s="96" customFormat="1">
      <c r="F253" s="97"/>
      <c r="O253" s="97"/>
      <c r="X253" s="97"/>
      <c r="AG253" s="97"/>
    </row>
    <row r="254" spans="6:33" s="96" customFormat="1">
      <c r="F254" s="97"/>
      <c r="O254" s="97"/>
      <c r="X254" s="97"/>
      <c r="AG254" s="97"/>
    </row>
    <row r="255" spans="6:33" s="96" customFormat="1">
      <c r="F255" s="97"/>
      <c r="O255" s="97"/>
      <c r="X255" s="97"/>
      <c r="AG255" s="97"/>
    </row>
    <row r="256" spans="6:33" s="96" customFormat="1">
      <c r="F256" s="97"/>
      <c r="O256" s="97"/>
      <c r="X256" s="97"/>
      <c r="AG256" s="97"/>
    </row>
    <row r="257" spans="6:33" s="96" customFormat="1">
      <c r="F257" s="97"/>
      <c r="O257" s="97"/>
      <c r="X257" s="97"/>
      <c r="AG257" s="97"/>
    </row>
    <row r="258" spans="6:33" s="96" customFormat="1">
      <c r="F258" s="97"/>
      <c r="O258" s="97"/>
      <c r="X258" s="97"/>
      <c r="AG258" s="97"/>
    </row>
    <row r="259" spans="6:33" s="96" customFormat="1">
      <c r="F259" s="97"/>
      <c r="O259" s="97"/>
      <c r="X259" s="97"/>
      <c r="AG259" s="97"/>
    </row>
    <row r="260" spans="6:33" s="96" customFormat="1">
      <c r="F260" s="97"/>
      <c r="O260" s="97"/>
      <c r="X260" s="97"/>
      <c r="AG260" s="97"/>
    </row>
    <row r="261" spans="6:33" s="96" customFormat="1">
      <c r="F261" s="97"/>
      <c r="O261" s="97"/>
      <c r="X261" s="97"/>
      <c r="AG261" s="97"/>
    </row>
    <row r="262" spans="6:33" s="96" customFormat="1">
      <c r="F262" s="97"/>
      <c r="O262" s="97"/>
      <c r="X262" s="97"/>
      <c r="AG262" s="97"/>
    </row>
    <row r="263" spans="6:33" s="96" customFormat="1">
      <c r="F263" s="97"/>
      <c r="O263" s="97"/>
      <c r="X263" s="97"/>
      <c r="AG263" s="97"/>
    </row>
    <row r="264" spans="6:33" s="96" customFormat="1">
      <c r="F264" s="97"/>
      <c r="O264" s="97"/>
      <c r="X264" s="97"/>
      <c r="AG264" s="97"/>
    </row>
    <row r="265" spans="6:33" s="96" customFormat="1">
      <c r="F265" s="97"/>
      <c r="O265" s="97"/>
      <c r="X265" s="97"/>
      <c r="AG265" s="97"/>
    </row>
    <row r="266" spans="6:33" s="96" customFormat="1">
      <c r="F266" s="97"/>
      <c r="O266" s="97"/>
      <c r="X266" s="97"/>
      <c r="AG266" s="97"/>
    </row>
    <row r="267" spans="6:33" s="96" customFormat="1">
      <c r="F267" s="97"/>
      <c r="O267" s="97"/>
      <c r="X267" s="97"/>
      <c r="AG267" s="97"/>
    </row>
    <row r="268" spans="6:33" s="96" customFormat="1">
      <c r="F268" s="97"/>
      <c r="O268" s="97"/>
      <c r="X268" s="97"/>
      <c r="AG268" s="97"/>
    </row>
    <row r="269" spans="6:33" s="96" customFormat="1">
      <c r="F269" s="97"/>
      <c r="O269" s="97"/>
      <c r="X269" s="97"/>
      <c r="AG269" s="97"/>
    </row>
    <row r="270" spans="6:33" s="96" customFormat="1">
      <c r="F270" s="97"/>
      <c r="O270" s="97"/>
      <c r="X270" s="97"/>
      <c r="AG270" s="97"/>
    </row>
    <row r="271" spans="6:33" s="96" customFormat="1">
      <c r="F271" s="97"/>
      <c r="O271" s="97"/>
      <c r="X271" s="97"/>
      <c r="AG271" s="97"/>
    </row>
    <row r="272" spans="6:33" s="96" customFormat="1">
      <c r="F272" s="97"/>
      <c r="O272" s="97"/>
      <c r="X272" s="97"/>
      <c r="AG272" s="97"/>
    </row>
    <row r="273" spans="6:33" s="96" customFormat="1">
      <c r="F273" s="97"/>
      <c r="O273" s="97"/>
      <c r="X273" s="97"/>
      <c r="AG273" s="97"/>
    </row>
    <row r="274" spans="6:33" s="96" customFormat="1">
      <c r="F274" s="97"/>
      <c r="O274" s="97"/>
      <c r="X274" s="97"/>
      <c r="AG274" s="97"/>
    </row>
  </sheetData>
  <sheetProtection algorithmName="SHA-512" hashValue="dhGiWqtwU15KarCefc9m8CRFTvZ+oqEhcR2NCemTBp8pVuUg8mt9/Dfx9Z5vNgUTIcHKcjtSal03MWePDa31Pw==" saltValue="AemaTM8KqeTVTeT6d2XwiA==" spinCount="100000" sheet="1" scenarios="1" insertHyperlinks="0"/>
  <mergeCells count="117">
    <mergeCell ref="AP2:AS2"/>
    <mergeCell ref="D8:F8"/>
    <mergeCell ref="G8:I8"/>
    <mergeCell ref="J8:L8"/>
    <mergeCell ref="M8:O8"/>
    <mergeCell ref="P8:R8"/>
    <mergeCell ref="S8:U8"/>
    <mergeCell ref="V8:X8"/>
    <mergeCell ref="Y8:AA8"/>
    <mergeCell ref="AB8:AD8"/>
    <mergeCell ref="AQ12:AS12"/>
    <mergeCell ref="AQ13:AS13"/>
    <mergeCell ref="AQ14:AS14"/>
    <mergeCell ref="AQ15:AS15"/>
    <mergeCell ref="AQ16:AS16"/>
    <mergeCell ref="AQ17:AS17"/>
    <mergeCell ref="AE8:AG8"/>
    <mergeCell ref="AH8:AJ8"/>
    <mergeCell ref="AK8:AM8"/>
    <mergeCell ref="AQ8:AS8"/>
    <mergeCell ref="AQ10:AS10"/>
    <mergeCell ref="AQ11:AS11"/>
    <mergeCell ref="V18:X18"/>
    <mergeCell ref="Y18:AA18"/>
    <mergeCell ref="AB18:AD18"/>
    <mergeCell ref="AE18:AG18"/>
    <mergeCell ref="AH18:AJ18"/>
    <mergeCell ref="AK18:AM18"/>
    <mergeCell ref="D18:F18"/>
    <mergeCell ref="G18:I18"/>
    <mergeCell ref="J18:L18"/>
    <mergeCell ref="M18:O18"/>
    <mergeCell ref="P18:R18"/>
    <mergeCell ref="S18:U18"/>
    <mergeCell ref="V20:X20"/>
    <mergeCell ref="Y20:AA20"/>
    <mergeCell ref="AB20:AD20"/>
    <mergeCell ref="AE20:AG20"/>
    <mergeCell ref="AH20:AJ20"/>
    <mergeCell ref="AK20:AM20"/>
    <mergeCell ref="D20:F20"/>
    <mergeCell ref="G20:I20"/>
    <mergeCell ref="J20:L20"/>
    <mergeCell ref="M20:O20"/>
    <mergeCell ref="P20:R20"/>
    <mergeCell ref="S20:U20"/>
    <mergeCell ref="AQ28:AS28"/>
    <mergeCell ref="AQ29:AS29"/>
    <mergeCell ref="AQ30:AS30"/>
    <mergeCell ref="AQ31:AS31"/>
    <mergeCell ref="AQ32:AS32"/>
    <mergeCell ref="AQ33:AS33"/>
    <mergeCell ref="AQ22:AS22"/>
    <mergeCell ref="AQ23:AS23"/>
    <mergeCell ref="AQ24:AS24"/>
    <mergeCell ref="AQ25:AS25"/>
    <mergeCell ref="AQ26:AS26"/>
    <mergeCell ref="AQ27:AS27"/>
    <mergeCell ref="AQ34:AS34"/>
    <mergeCell ref="D35:F35"/>
    <mergeCell ref="G35:I35"/>
    <mergeCell ref="J35:L35"/>
    <mergeCell ref="M35:O35"/>
    <mergeCell ref="P35:R35"/>
    <mergeCell ref="S35:U35"/>
    <mergeCell ref="V35:X35"/>
    <mergeCell ref="Y35:AA35"/>
    <mergeCell ref="AB35:AD35"/>
    <mergeCell ref="AQ39:AS39"/>
    <mergeCell ref="AE35:AG35"/>
    <mergeCell ref="AH35:AJ35"/>
    <mergeCell ref="AK35:AM35"/>
    <mergeCell ref="AQ42:AS42"/>
    <mergeCell ref="D48:H48"/>
    <mergeCell ref="J48:N48"/>
    <mergeCell ref="D49:H49"/>
    <mergeCell ref="J49:N49"/>
    <mergeCell ref="D37:F37"/>
    <mergeCell ref="G37:I37"/>
    <mergeCell ref="J37:L37"/>
    <mergeCell ref="M37:O37"/>
    <mergeCell ref="P37:R37"/>
    <mergeCell ref="S37:U37"/>
    <mergeCell ref="V37:X37"/>
    <mergeCell ref="Y37:AA37"/>
    <mergeCell ref="AB37:AD37"/>
    <mergeCell ref="AE37:AG37"/>
    <mergeCell ref="AH37:AJ37"/>
    <mergeCell ref="AK37:AM37"/>
    <mergeCell ref="D50:H50"/>
    <mergeCell ref="J50:N50"/>
    <mergeCell ref="V42:X42"/>
    <mergeCell ref="Y42:AA42"/>
    <mergeCell ref="AB42:AD42"/>
    <mergeCell ref="AE42:AG42"/>
    <mergeCell ref="AH42:AJ42"/>
    <mergeCell ref="AK42:AM42"/>
    <mergeCell ref="D42:F42"/>
    <mergeCell ref="G42:I42"/>
    <mergeCell ref="J42:L42"/>
    <mergeCell ref="M42:O42"/>
    <mergeCell ref="P42:R42"/>
    <mergeCell ref="S42:U42"/>
    <mergeCell ref="D92:H92"/>
    <mergeCell ref="D68:H68"/>
    <mergeCell ref="J68:N68"/>
    <mergeCell ref="D76:H76"/>
    <mergeCell ref="J76:N76"/>
    <mergeCell ref="D84:H84"/>
    <mergeCell ref="J84:N84"/>
    <mergeCell ref="D51:H51"/>
    <mergeCell ref="J51:N51"/>
    <mergeCell ref="D52:H52"/>
    <mergeCell ref="J52:N52"/>
    <mergeCell ref="D60:H60"/>
    <mergeCell ref="J60:N60"/>
    <mergeCell ref="J92:N92"/>
  </mergeCells>
  <conditionalFormatting sqref="D8:AM8">
    <cfRule type="expression" dxfId="153" priority="13">
      <formula>E39&lt;0</formula>
    </cfRule>
  </conditionalFormatting>
  <conditionalFormatting sqref="D9:AM9">
    <cfRule type="expression" dxfId="152" priority="28" stopIfTrue="1">
      <formula>D204&lt;0</formula>
    </cfRule>
  </conditionalFormatting>
  <conditionalFormatting sqref="D20:AM20">
    <cfRule type="expression" dxfId="151" priority="14">
      <formula>E39&lt;0</formula>
    </cfRule>
  </conditionalFormatting>
  <conditionalFormatting sqref="D21:AM21">
    <cfRule type="expression" dxfId="150" priority="27" stopIfTrue="1">
      <formula>D213&lt;0</formula>
    </cfRule>
  </conditionalFormatting>
  <conditionalFormatting sqref="D37:AM37">
    <cfRule type="expression" dxfId="149" priority="20">
      <formula>E39&lt;0</formula>
    </cfRule>
  </conditionalFormatting>
  <conditionalFormatting sqref="D38:AM38">
    <cfRule type="expression" dxfId="148" priority="26" stopIfTrue="1">
      <formula>D228&lt;0</formula>
    </cfRule>
  </conditionalFormatting>
  <conditionalFormatting sqref="F10:F16">
    <cfRule type="cellIs" dxfId="147" priority="9" operator="equal">
      <formula>"ec"</formula>
    </cfRule>
    <cfRule type="cellIs" dxfId="146" priority="10" operator="equal">
      <formula>"ok"</formula>
    </cfRule>
  </conditionalFormatting>
  <conditionalFormatting sqref="F22:F33">
    <cfRule type="cellIs" dxfId="145" priority="3" operator="equal">
      <formula>"ec"</formula>
    </cfRule>
    <cfRule type="cellIs" dxfId="144" priority="4" operator="equal">
      <formula>"ok"</formula>
    </cfRule>
  </conditionalFormatting>
  <conditionalFormatting sqref="I10:I16">
    <cfRule type="cellIs" dxfId="143" priority="7" operator="equal">
      <formula>"ec"</formula>
    </cfRule>
    <cfRule type="cellIs" dxfId="142" priority="8" operator="equal">
      <formula>"ok"</formula>
    </cfRule>
  </conditionalFormatting>
  <conditionalFormatting sqref="I22:I33 L22:L33 O22:O33 R22:R33 U22:U33 X22:X33 AA22:AA33 AD22:AD33 AG22:AG33 AJ22:AJ33 AM22:AM33">
    <cfRule type="cellIs" dxfId="141" priority="1" operator="equal">
      <formula>"ec"</formula>
    </cfRule>
    <cfRule type="cellIs" dxfId="140" priority="2" operator="equal">
      <formula>"ok"</formula>
    </cfRule>
  </conditionalFormatting>
  <conditionalFormatting sqref="L10:L16 O10:O16 R10:R16 U10:U16 X10:X16 AA10:AA16 AD10:AD16 AG10:AG16 AJ10:AJ16 AM10:AM16">
    <cfRule type="cellIs" dxfId="139" priority="5" operator="equal">
      <formula>"ec"</formula>
    </cfRule>
    <cfRule type="cellIs" dxfId="138" priority="6" operator="equal">
      <formula>"ok"</formula>
    </cfRule>
  </conditionalFormatting>
  <conditionalFormatting sqref="AQ8:AS8">
    <cfRule type="expression" dxfId="137" priority="29" stopIfTrue="1">
      <formula>AR39&lt;0</formula>
    </cfRule>
  </conditionalFormatting>
  <dataValidations count="2">
    <dataValidation type="list" errorStyle="warning" allowBlank="1" showErrorMessage="1" errorTitle="REMARQUE :" error="Sélectionner &quot;OK&quot; si l'affectation d'argent a été réalisée._x000a__x000a_Sélectionner &quot;EC&quot; si l'affectation a été partiellement réalisée." sqref="AT327711:AT327721 F65557:F65561 F131093:F131097 F196629:F196633 F262165:F262169 F327701:F327705 F393237:F393241 F458773:F458777 F524309:F524313 F589845:F589849 F655381:F655385 F720917:F720921 F786453:F786457 F851989:F851993 F917525:F917529 F983061:F983065 AT393247:AT393257 I65557:I65561 I131093:I131097 I196629:I196633 I262165:I262169 I327701:I327705 I393237:I393241 I458773:I458777 I524309:I524313 I589845:I589849 I655381:I655385 I720917:I720921 I786453:I786457 I851989:I851993 I917525:I917529 I983061:I983065 AT458783:AT458793 O65557:O65561 O131093:O131097 O196629:O196633 O262165:O262169 O327701:O327705 O393237:O393241 O458773:O458777 O524309:O524313 O589845:O589849 O655381:O655385 O720917:O720921 O786453:O786457 O851989:O851993 O917525:O917529 O983061:O983065 I10:I16 F65567:F65577 F131103:F131113 F196639:F196649 F262175:F262185 F327711:F327721 F393247:F393257 F458783:F458793 F524319:F524329 F589855:F589865 F655391:F655401 F720927:F720937 F786463:F786473 F851999:F852009 F917535:F917545 F983071:F983081 AT524319:AT524329 U65557:U65561 U131093:U131097 U196629:U196633 U262165:U262169 U327701:U327705 U393237:U393241 U458773:U458777 U524309:U524313 U589845:U589849 U655381:U655385 U720917:U720921 U786453:U786457 U851989:U851993 U917525:U917529 U983061:U983065 AT589855:AT589865 R65557:R65561 R131093:R131097 R196629:R196633 R262165:R262169 R327701:R327705 R393237:R393241 R458773:R458777 R524309:R524313 R589845:R589849 R655381:R655385 R720917:R720921 R786453:R786457 R851989:R851993 R917525:R917529 R983061:R983065 AT655391:AT655401 X65557:X65561 X131093:X131097 X196629:X196633 X262165:X262169 X327701:X327705 X393237:X393241 X458773:X458777 X524309:X524313 X589845:X589849 X655381:X655385 X720917:X720921 X786453:X786457 X851989:X851993 X917525:X917529 X983061:X983065 AT720927:AT720937 AD65557:AD65561 AD131093:AD131097 AD196629:AD196633 AD262165:AD262169 AD327701:AD327705 AD393237:AD393241 AD458773:AD458777 AD524309:AD524313 AD589845:AD589849 AD655381:AD655385 AD720917:AD720921 AD786453:AD786457 AD851989:AD851993 AD917525:AD917529 AD983061:AD983065 AT786463:AT786473 AA65557:AA65561 AA131093:AA131097 AA196629:AA196633 AA262165:AA262169 AA327701:AA327705 AA393237:AA393241 AA458773:AA458777 AA524309:AA524313 AA589845:AA589849 AA655381:AA655385 AA720917:AA720921 AA786453:AA786457 AA851989:AA851993 AA917525:AA917529 AA983061:AA983065 AM10:AO16 AG65557:AG65561 AG131093:AG131097 AG196629:AG196633 AG262165:AG262169 AG327701:AG327705 AG393237:AG393241 AG458773:AG458777 AG524309:AG524313 AG589845:AG589849 AG655381:AG655385 AG720917:AG720921 AG786453:AG786457 AG851989:AG851993 AG917525:AG917529 AG983061:AG983065 AT851999:AT852009 AM65557:AO65561 AM131093:AO131097 AM196629:AO196633 AM262165:AO262169 AM327701:AO327705 AM393237:AO393241 AM458773:AO458777 AM524309:AO524313 AM589845:AO589849 AM655381:AO655385 AM720917:AO720921 AM786453:AO786457 AM851989:AO851993 AM917525:AO917529 AM983061:AO983065 AT917535:AT917545 AJ65557:AJ65561 AJ131093:AJ131097 AJ196629:AJ196633 AJ262165:AJ262169 AJ327701:AJ327705 AJ393237:AJ393241 AJ458773:AJ458777 AJ524309:AJ524313 AJ589845:AJ589849 AJ655381:AJ655385 AJ720917:AJ720921 AJ786453:AJ786457 AJ851989:AJ851993 AJ917525:AJ917529 AJ983061:AJ983065 F11:F16 I65567:I65577 I131103:I131113 I196639:I196649 I262175:I262185 I327711:I327721 I393247:I393257 I458783:I458793 I524319:I524329 I589855:I589865 I655391:I655401 I720927:I720937 I786463:I786473 I851999:I852009 I917535:I917545 I983071:I983081 AT983071:AT983081 L65557:L65561 L131093:L131097 L196629:L196633 L262165:L262169 L327701:L327705 L393237:L393241 L458773:L458777 L524309:L524313 L589845:L589849 L655381:L655385 L720917:L720921 L786453:L786457 L851989:L851993 L917525:L917529 L983061:L983065 AM22:AO33 AJ65567:AJ65577 AJ131103:AJ131113 AJ196639:AJ196649 AJ262175:AJ262185 AJ327711:AJ327721 AJ393247:AJ393257 AJ458783:AJ458793 AJ524319:AJ524329 AJ589855:AJ589865 AJ655391:AJ655401 AJ720927:AJ720937 AJ786463:AJ786473 AJ851999:AJ852009 AJ917535:AJ917545 AJ983071:AJ983081 L10:L16 AM65567:AO65577 AM131103:AO131113 AM196639:AO196649 AM262175:AO262185 AM327711:AO327721 AM393247:AO393257 AM458783:AO458793 AM524319:AO524329 AM589855:AO589865 AM655391:AO655401 AM720927:AO720937 AM786463:AO786473 AM851999:AO852009 AM917535:AO917545 AM983071:AO983081 O10:O16 AG65567:AG65577 AG131103:AG131113 AG196639:AG196649 AG262175:AG262185 AG327711:AG327721 AG393247:AG393257 AG458783:AG458793 AG524319:AG524329 AG589855:AG589865 AG655391:AG655401 AG720927:AG720937 AG786463:AG786473 AG851999:AG852009 AG917535:AG917545 AG983071:AG983081 R10:R16 AA65567:AA65577 AA131103:AA131113 AA196639:AA196649 AA262175:AA262185 AA327711:AA327721 AA393247:AA393257 AA458783:AA458793 AA524319:AA524329 AA589855:AA589865 AA655391:AA655401 AA720927:AA720937 AA786463:AA786473 AA851999:AA852009 AA917535:AA917545 AA983071:AA983081 U10:U16 AD65567:AD65577 AD131103:AD131113 AD196639:AD196649 AD262175:AD262185 AD327711:AD327721 AD393247:AD393257 AD458783:AD458793 AD524319:AD524329 AD589855:AD589865 AD655391:AD655401 AD720927:AD720937 AD786463:AD786473 AD851999:AD852009 AD917535:AD917545 AD983071:AD983081 X10:X16 X65567:X65577 X131103:X131113 X196639:X196649 X262175:X262185 X327711:X327721 X393247:X393257 X458783:X458793 X524319:X524329 X589855:X589865 X655391:X655401 X720927:X720937 X786463:X786473 X851999:X852009 X917535:X917545 X983071:X983081 AA10:AA16 R65567:R65577 R131103:R131113 R196639:R196649 R262175:R262185 R327711:R327721 R393247:R393257 R458783:R458793 R524319:R524329 R589855:R589865 R655391:R655401 R720927:R720937 R786463:R786473 R851999:R852009 R917535:R917545 R983071:R983081 AD10:AD16 U65567:U65577 U131103:U131113 U196639:U196649 U262175:U262185 U327711:U327721 U393247:U393257 U458783:U458793 U524319:U524329 U589855:U589865 U655391:U655401 U720927:U720937 U786463:U786473 U851999:U852009 U917535:U917545 U983071:U983081 AG10:AG16 O65567:O65577 O131103:O131113 O196639:O196649 O262175:O262185 O327711:O327721 O393247:O393257 O458783:O458793 O524319:O524329 O589855:O589865 O655391:O655401 O720927:O720937 O786463:O786473 O851999:O852009 O917535:O917545 O983071:O983081 AJ10:AJ16 L65567:L65577 L131103:L131113 L196639:L196649 L262175:L262185 L327711:L327721 L393247:L393257 L458783:L458793 L524319:L524329 L589855:L589865 L655391:L655401 L720927:L720937 L786463:L786473 L851999:L852009 L917535:L917545 L983071:L983081 AT10:AT16 AT65557:AT65561 AT131093:AT131097 AT196629:AT196633 AT262165:AT262169 AT327701:AT327705 AT393237:AT393241 AT458773:AT458777 AT524309:AT524313 AT589845:AT589849 AT655381:AT655385 AT720917:AT720921 AT786453:AT786457 AT851989:AT851993 AT917525:AT917529 AT983061:AT983065 AT22:AT33 AT65567:AT65577 AT131103:AT131113 AT196639:AT196649 AT262175:AT262185 F22:F33 I22:I33 L22:L33 O22:O33 R22:R33 U22:U33 X22:X33 AA22:AA33 AD22:AD33 AG22:AG33 AJ22:AJ33" xr:uid="{00000000-0002-0000-0800-000000000000}">
      <formula1>OK</formula1>
    </dataValidation>
    <dataValidation type="list" allowBlank="1" showInputMessage="1" showErrorMessage="1" sqref="F10" xr:uid="{00000000-0002-0000-0800-000001000000}">
      <formula1>OK</formula1>
    </dataValidation>
  </dataValidations>
  <hyperlinks>
    <hyperlink ref="A3" location="'Budget Gold'!A1" tooltip="Accès au Budget Gold" display="Accès au Budget" xr:uid="{00000000-0004-0000-0800-000000000000}"/>
    <hyperlink ref="A4" location="Simulateur!A1" tooltip="Simulateur d'épargne" display="Simulateur d'épargne" xr:uid="{00000000-0004-0000-0800-000001000000}"/>
    <hyperlink ref="A2" location="Menu!A1" tooltip="Accès au Menu Général" display="Accès au MENU" xr:uid="{00000000-0004-0000-0800-000002000000}"/>
  </hyperlink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xr:uid="{00000000-0002-0000-0800-000002000000}">
          <x14:formula1>
            <xm:f>Données!$F$64:$F$78</xm:f>
          </x14:formula1>
          <xm:sqref>C22:C33</xm:sqref>
        </x14:dataValidation>
        <x14:dataValidation type="list" allowBlank="1" showInputMessage="1" xr:uid="{00000000-0002-0000-0800-000003000000}">
          <x14:formula1>
            <xm:f>Données!$D$64:$D$72</xm:f>
          </x14:formula1>
          <xm:sqref>C10:C16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U274"/>
  <sheetViews>
    <sheetView workbookViewId="0">
      <selection activeCell="P4" sqref="P4"/>
    </sheetView>
  </sheetViews>
  <sheetFormatPr baseColWidth="10" defaultColWidth="10.6640625" defaultRowHeight="13"/>
  <cols>
    <col min="1" max="1" width="16.1640625" style="96" bestFit="1" customWidth="1"/>
    <col min="2" max="2" width="1" style="96" customWidth="1"/>
    <col min="3" max="3" width="30.6640625" style="148" bestFit="1" customWidth="1"/>
    <col min="4" max="4" width="11.1640625" style="148" bestFit="1" customWidth="1"/>
    <col min="5" max="5" width="14.6640625" style="148" bestFit="1" customWidth="1"/>
    <col min="6" max="6" width="2.6640625" style="149" bestFit="1" customWidth="1"/>
    <col min="7" max="7" width="10.6640625" style="148"/>
    <col min="8" max="8" width="14.6640625" style="148" bestFit="1" customWidth="1"/>
    <col min="9" max="9" width="2.6640625" style="148" bestFit="1" customWidth="1"/>
    <col min="10" max="10" width="10.6640625" style="148"/>
    <col min="11" max="11" width="13.33203125" style="148" bestFit="1" customWidth="1"/>
    <col min="12" max="12" width="2.6640625" style="148" bestFit="1" customWidth="1"/>
    <col min="13" max="13" width="11.1640625" style="148" bestFit="1" customWidth="1"/>
    <col min="14" max="14" width="14.6640625" style="148" bestFit="1" customWidth="1"/>
    <col min="15" max="15" width="2.6640625" style="149" bestFit="1" customWidth="1"/>
    <col min="16" max="16" width="10.6640625" style="148"/>
    <col min="17" max="17" width="14.6640625" style="148" bestFit="1" customWidth="1"/>
    <col min="18" max="18" width="2.6640625" style="148" bestFit="1" customWidth="1"/>
    <col min="19" max="19" width="10.6640625" style="148"/>
    <col min="20" max="20" width="14.6640625" style="148" bestFit="1" customWidth="1"/>
    <col min="21" max="21" width="2.6640625" style="148" bestFit="1" customWidth="1"/>
    <col min="22" max="22" width="11.1640625" style="148" bestFit="1" customWidth="1"/>
    <col min="23" max="23" width="14.6640625" style="148" bestFit="1" customWidth="1"/>
    <col min="24" max="24" width="2.6640625" style="149" bestFit="1" customWidth="1"/>
    <col min="25" max="25" width="10.6640625" style="148"/>
    <col min="26" max="26" width="14.6640625" style="148" bestFit="1" customWidth="1"/>
    <col min="27" max="27" width="2.6640625" style="148" bestFit="1" customWidth="1"/>
    <col min="28" max="28" width="10.6640625" style="148"/>
    <col min="29" max="29" width="14.6640625" style="148" bestFit="1" customWidth="1"/>
    <col min="30" max="30" width="2.6640625" style="148" bestFit="1" customWidth="1"/>
    <col min="31" max="31" width="11.1640625" style="148" bestFit="1" customWidth="1"/>
    <col min="32" max="32" width="14.6640625" style="148" bestFit="1" customWidth="1"/>
    <col min="33" max="33" width="2.6640625" style="149" bestFit="1" customWidth="1"/>
    <col min="34" max="34" width="10.6640625" style="148"/>
    <col min="35" max="35" width="14.6640625" style="148" bestFit="1" customWidth="1"/>
    <col min="36" max="36" width="2.6640625" style="148" bestFit="1" customWidth="1"/>
    <col min="37" max="37" width="10.6640625" style="148"/>
    <col min="38" max="38" width="14.6640625" style="148" bestFit="1" customWidth="1"/>
    <col min="39" max="39" width="2.6640625" style="148" bestFit="1" customWidth="1"/>
    <col min="40" max="40" width="4.6640625" style="96" customWidth="1"/>
    <col min="41" max="41" width="1.33203125" style="96" customWidth="1"/>
    <col min="42" max="42" width="34.33203125" style="148" bestFit="1" customWidth="1"/>
    <col min="43" max="45" width="10.6640625" style="148"/>
    <col min="46" max="46" width="1.33203125" style="96" customWidth="1"/>
    <col min="47" max="16384" width="10.6640625" style="96"/>
  </cols>
  <sheetData>
    <row r="1" spans="1:47">
      <c r="C1" s="96"/>
      <c r="D1" s="96"/>
      <c r="E1" s="96"/>
      <c r="F1" s="97"/>
      <c r="G1" s="96"/>
      <c r="H1" s="96"/>
      <c r="I1" s="96"/>
      <c r="J1" s="96"/>
      <c r="K1" s="96"/>
      <c r="L1" s="96"/>
      <c r="M1" s="96"/>
      <c r="N1" s="96"/>
      <c r="O1" s="97"/>
      <c r="P1" s="96"/>
      <c r="Q1" s="96"/>
      <c r="R1" s="96"/>
      <c r="S1" s="96"/>
      <c r="T1" s="96"/>
      <c r="U1" s="96"/>
      <c r="V1" s="96"/>
      <c r="W1" s="96"/>
      <c r="X1" s="97"/>
      <c r="Y1" s="96"/>
      <c r="Z1" s="96"/>
      <c r="AA1" s="96"/>
      <c r="AB1" s="96"/>
      <c r="AC1" s="96"/>
      <c r="AD1" s="96"/>
      <c r="AE1" s="96"/>
      <c r="AF1" s="96"/>
      <c r="AG1" s="97"/>
      <c r="AH1" s="96"/>
      <c r="AI1" s="96"/>
      <c r="AJ1" s="96"/>
      <c r="AK1" s="96"/>
      <c r="AL1" s="96"/>
      <c r="AM1" s="96"/>
      <c r="AP1" s="96"/>
      <c r="AQ1" s="96"/>
      <c r="AR1" s="96"/>
      <c r="AS1" s="96"/>
    </row>
    <row r="2" spans="1:47" ht="31">
      <c r="A2" s="98" t="s">
        <v>290</v>
      </c>
      <c r="C2" s="100" t="s">
        <v>403</v>
      </c>
      <c r="D2" s="99" t="s">
        <v>409</v>
      </c>
      <c r="E2" s="96"/>
      <c r="F2" s="97"/>
      <c r="G2" s="96"/>
      <c r="H2" s="96"/>
      <c r="I2" s="96"/>
      <c r="J2" s="96"/>
      <c r="K2" s="96"/>
      <c r="L2" s="96"/>
      <c r="M2" s="96"/>
      <c r="N2" s="96"/>
      <c r="O2" s="97"/>
      <c r="P2" s="96"/>
      <c r="Q2" s="96"/>
      <c r="R2" s="96"/>
      <c r="S2" s="96"/>
      <c r="T2" s="96"/>
      <c r="U2" s="96"/>
      <c r="V2" s="96"/>
      <c r="W2" s="96"/>
      <c r="X2" s="97"/>
      <c r="Y2" s="96"/>
      <c r="Z2" s="96"/>
      <c r="AA2" s="96"/>
      <c r="AB2" s="96"/>
      <c r="AC2" s="96"/>
      <c r="AD2" s="96"/>
      <c r="AE2" s="96"/>
      <c r="AF2" s="96"/>
      <c r="AG2" s="97"/>
      <c r="AH2" s="96"/>
      <c r="AI2" s="96"/>
      <c r="AJ2" s="96"/>
      <c r="AK2" s="96"/>
      <c r="AL2" s="96"/>
      <c r="AM2" s="96"/>
      <c r="AP2" s="783" t="s">
        <v>403</v>
      </c>
      <c r="AQ2" s="783"/>
      <c r="AR2" s="783"/>
      <c r="AS2" s="783"/>
    </row>
    <row r="3" spans="1:47">
      <c r="A3" s="101" t="s">
        <v>402</v>
      </c>
      <c r="C3" s="96"/>
      <c r="D3" s="96"/>
      <c r="E3" s="96"/>
      <c r="F3" s="97"/>
      <c r="G3" s="96"/>
      <c r="H3" s="96"/>
      <c r="I3" s="96"/>
      <c r="J3" s="96"/>
      <c r="K3" s="96"/>
      <c r="L3" s="96"/>
      <c r="M3" s="96"/>
      <c r="N3" s="96"/>
      <c r="O3" s="97"/>
      <c r="P3" s="96"/>
      <c r="Q3" s="96"/>
      <c r="R3" s="96"/>
      <c r="S3" s="96"/>
      <c r="T3" s="96"/>
      <c r="U3" s="96"/>
      <c r="V3" s="96"/>
      <c r="W3" s="96"/>
      <c r="X3" s="97"/>
      <c r="Y3" s="96"/>
      <c r="Z3" s="96"/>
      <c r="AA3" s="96"/>
      <c r="AB3" s="96"/>
      <c r="AC3" s="96"/>
      <c r="AD3" s="96"/>
      <c r="AE3" s="96"/>
      <c r="AF3" s="96"/>
      <c r="AG3" s="97"/>
      <c r="AH3" s="96"/>
      <c r="AI3" s="96"/>
      <c r="AJ3" s="96"/>
      <c r="AK3" s="96"/>
      <c r="AL3" s="96"/>
      <c r="AM3" s="96"/>
      <c r="AP3" s="96"/>
      <c r="AQ3" s="96"/>
      <c r="AR3" s="96"/>
      <c r="AS3" s="96"/>
    </row>
    <row r="4" spans="1:47" ht="16">
      <c r="A4" s="102" t="s">
        <v>351</v>
      </c>
      <c r="C4" s="150" t="s">
        <v>405</v>
      </c>
      <c r="D4" s="96"/>
      <c r="E4" s="96"/>
      <c r="F4" s="97"/>
      <c r="G4" s="96"/>
      <c r="H4" s="96"/>
      <c r="I4" s="96"/>
      <c r="J4" s="178" t="str">
        <f>Menu!I6</f>
        <v>Version 2026 Révision VMAX EUR</v>
      </c>
      <c r="K4" s="96"/>
      <c r="L4" s="96"/>
      <c r="M4" s="96"/>
      <c r="N4" s="96"/>
      <c r="O4" s="97"/>
      <c r="P4" s="96"/>
      <c r="Q4" s="96"/>
      <c r="R4" s="96"/>
      <c r="S4" s="96"/>
      <c r="T4" s="96"/>
      <c r="U4" s="96"/>
      <c r="V4" s="96"/>
      <c r="W4" s="96"/>
      <c r="X4" s="97"/>
      <c r="Y4" s="96"/>
      <c r="Z4" s="96"/>
      <c r="AA4" s="96"/>
      <c r="AB4" s="96"/>
      <c r="AC4" s="96"/>
      <c r="AD4" s="96"/>
      <c r="AE4" s="96"/>
      <c r="AF4" s="96"/>
      <c r="AG4" s="97"/>
      <c r="AH4" s="96"/>
      <c r="AI4" s="96"/>
      <c r="AJ4" s="96"/>
      <c r="AK4" s="96"/>
      <c r="AL4" s="96"/>
      <c r="AM4" s="96"/>
      <c r="AP4" s="103"/>
      <c r="AQ4" s="96"/>
      <c r="AR4" s="96"/>
      <c r="AS4" s="96"/>
    </row>
    <row r="5" spans="1:47">
      <c r="C5" s="151" t="s">
        <v>380</v>
      </c>
      <c r="D5" s="96"/>
      <c r="E5" s="96"/>
      <c r="F5" s="97"/>
      <c r="G5" s="96"/>
      <c r="H5" s="96"/>
      <c r="I5" s="96"/>
      <c r="J5" s="96"/>
      <c r="K5" s="96"/>
      <c r="L5" s="96"/>
      <c r="M5" s="96"/>
      <c r="N5" s="96"/>
      <c r="O5" s="97"/>
      <c r="P5" s="96"/>
      <c r="Q5" s="96"/>
      <c r="R5" s="96"/>
      <c r="S5" s="96"/>
      <c r="T5" s="96"/>
      <c r="U5" s="96"/>
      <c r="V5" s="96"/>
      <c r="W5" s="96"/>
      <c r="X5" s="97"/>
      <c r="Y5" s="96"/>
      <c r="Z5" s="96"/>
      <c r="AA5" s="96"/>
      <c r="AB5" s="96"/>
      <c r="AC5" s="96"/>
      <c r="AD5" s="96"/>
      <c r="AE5" s="96"/>
      <c r="AF5" s="96"/>
      <c r="AG5" s="97"/>
      <c r="AH5" s="96"/>
      <c r="AI5" s="96"/>
      <c r="AJ5" s="96"/>
      <c r="AK5" s="96"/>
      <c r="AL5" s="96"/>
      <c r="AM5" s="96"/>
      <c r="AP5" s="104"/>
      <c r="AQ5" s="96"/>
      <c r="AR5" s="96"/>
      <c r="AS5" s="96"/>
    </row>
    <row r="6" spans="1:47" ht="14" thickBot="1">
      <c r="C6" s="151" t="s">
        <v>388</v>
      </c>
      <c r="D6" s="96"/>
      <c r="E6" s="96"/>
      <c r="F6" s="97"/>
      <c r="G6" s="96"/>
      <c r="H6" s="96"/>
      <c r="I6" s="96"/>
      <c r="J6" s="96"/>
      <c r="K6" s="96"/>
      <c r="L6" s="96"/>
      <c r="M6" s="96"/>
      <c r="N6" s="96"/>
      <c r="O6" s="97"/>
      <c r="P6" s="96"/>
      <c r="Q6" s="96"/>
      <c r="R6" s="96"/>
      <c r="S6" s="96"/>
      <c r="T6" s="96"/>
      <c r="U6" s="96"/>
      <c r="V6" s="96"/>
      <c r="W6" s="96"/>
      <c r="X6" s="97"/>
      <c r="Y6" s="96"/>
      <c r="Z6" s="96"/>
      <c r="AA6" s="96"/>
      <c r="AB6" s="96"/>
      <c r="AC6" s="96"/>
      <c r="AD6" s="96"/>
      <c r="AE6" s="96"/>
      <c r="AF6" s="96"/>
      <c r="AG6" s="97"/>
      <c r="AH6" s="96"/>
      <c r="AI6" s="96"/>
      <c r="AJ6" s="96"/>
      <c r="AK6" s="96"/>
      <c r="AL6" s="96"/>
      <c r="AM6" s="96"/>
      <c r="AP6" s="104"/>
      <c r="AQ6" s="96"/>
      <c r="AR6" s="96"/>
      <c r="AS6" s="96"/>
    </row>
    <row r="7" spans="1:47" ht="14" thickBot="1">
      <c r="C7" s="96"/>
      <c r="D7" s="96"/>
      <c r="E7" s="96"/>
      <c r="F7" s="97"/>
      <c r="G7" s="96"/>
      <c r="H7" s="96"/>
      <c r="I7" s="96"/>
      <c r="J7" s="96"/>
      <c r="K7" s="96"/>
      <c r="L7" s="96"/>
      <c r="M7" s="96"/>
      <c r="N7" s="96"/>
      <c r="O7" s="97"/>
      <c r="P7" s="96"/>
      <c r="Q7" s="96"/>
      <c r="R7" s="96"/>
      <c r="S7" s="96"/>
      <c r="T7" s="96"/>
      <c r="U7" s="96"/>
      <c r="V7" s="96"/>
      <c r="W7" s="96"/>
      <c r="X7" s="97"/>
      <c r="Y7" s="96"/>
      <c r="Z7" s="96"/>
      <c r="AA7" s="96"/>
      <c r="AB7" s="96"/>
      <c r="AC7" s="96"/>
      <c r="AD7" s="96"/>
      <c r="AE7" s="96"/>
      <c r="AF7" s="96"/>
      <c r="AG7" s="97"/>
      <c r="AH7" s="96"/>
      <c r="AI7" s="96"/>
      <c r="AJ7" s="96"/>
      <c r="AK7" s="96"/>
      <c r="AL7" s="96"/>
      <c r="AM7" s="96"/>
      <c r="AO7" s="105"/>
      <c r="AP7" s="106"/>
      <c r="AQ7" s="106"/>
      <c r="AR7" s="106"/>
      <c r="AS7" s="106"/>
      <c r="AT7" s="107"/>
    </row>
    <row r="8" spans="1:47" ht="18" thickBot="1">
      <c r="C8" s="108" t="s">
        <v>353</v>
      </c>
      <c r="D8" s="793">
        <f>Menu!F22</f>
        <v>46174</v>
      </c>
      <c r="E8" s="793"/>
      <c r="F8" s="794"/>
      <c r="G8" s="793">
        <f t="shared" ref="G8" si="0">D8+32</f>
        <v>46206</v>
      </c>
      <c r="H8" s="793"/>
      <c r="I8" s="794"/>
      <c r="J8" s="793">
        <f t="shared" ref="J8" si="1">G8+32</f>
        <v>46238</v>
      </c>
      <c r="K8" s="793"/>
      <c r="L8" s="794"/>
      <c r="M8" s="793">
        <f t="shared" ref="M8" si="2">J8+32</f>
        <v>46270</v>
      </c>
      <c r="N8" s="793"/>
      <c r="O8" s="794"/>
      <c r="P8" s="793">
        <f t="shared" ref="P8" si="3">M8+32</f>
        <v>46302</v>
      </c>
      <c r="Q8" s="793"/>
      <c r="R8" s="794"/>
      <c r="S8" s="793">
        <f t="shared" ref="S8" si="4">P8+32</f>
        <v>46334</v>
      </c>
      <c r="T8" s="793"/>
      <c r="U8" s="794"/>
      <c r="V8" s="793">
        <f t="shared" ref="V8" si="5">S8+32</f>
        <v>46366</v>
      </c>
      <c r="W8" s="793"/>
      <c r="X8" s="794"/>
      <c r="Y8" s="793">
        <f t="shared" ref="Y8" si="6">V8+32</f>
        <v>46398</v>
      </c>
      <c r="Z8" s="793"/>
      <c r="AA8" s="794"/>
      <c r="AB8" s="793">
        <f t="shared" ref="AB8" si="7">Y8+32</f>
        <v>46430</v>
      </c>
      <c r="AC8" s="793"/>
      <c r="AD8" s="794"/>
      <c r="AE8" s="793">
        <f t="shared" ref="AE8" si="8">AB8+32</f>
        <v>46462</v>
      </c>
      <c r="AF8" s="793"/>
      <c r="AG8" s="794"/>
      <c r="AH8" s="793">
        <f t="shared" ref="AH8" si="9">AE8+32</f>
        <v>46494</v>
      </c>
      <c r="AI8" s="793"/>
      <c r="AJ8" s="794"/>
      <c r="AK8" s="793">
        <f t="shared" ref="AK8" si="10">AH8+32</f>
        <v>46526</v>
      </c>
      <c r="AL8" s="793"/>
      <c r="AM8" s="794"/>
      <c r="AO8" s="109"/>
      <c r="AP8" s="110" t="s">
        <v>353</v>
      </c>
      <c r="AQ8" s="810" t="s">
        <v>243</v>
      </c>
      <c r="AR8" s="811"/>
      <c r="AS8" s="812"/>
      <c r="AT8" s="111"/>
    </row>
    <row r="9" spans="1:47">
      <c r="B9" s="112"/>
      <c r="C9" s="112"/>
      <c r="D9" s="113" t="s">
        <v>58</v>
      </c>
      <c r="E9" s="113" t="s">
        <v>59</v>
      </c>
      <c r="F9" s="114"/>
      <c r="G9" s="113" t="s">
        <v>58</v>
      </c>
      <c r="H9" s="113" t="s">
        <v>59</v>
      </c>
      <c r="I9" s="114"/>
      <c r="J9" s="113" t="s">
        <v>58</v>
      </c>
      <c r="K9" s="113" t="s">
        <v>59</v>
      </c>
      <c r="L9" s="114"/>
      <c r="M9" s="113" t="s">
        <v>58</v>
      </c>
      <c r="N9" s="113" t="s">
        <v>59</v>
      </c>
      <c r="O9" s="114"/>
      <c r="P9" s="113" t="s">
        <v>58</v>
      </c>
      <c r="Q9" s="113" t="s">
        <v>59</v>
      </c>
      <c r="R9" s="114"/>
      <c r="S9" s="113" t="s">
        <v>58</v>
      </c>
      <c r="T9" s="113" t="s">
        <v>59</v>
      </c>
      <c r="U9" s="114"/>
      <c r="V9" s="113" t="s">
        <v>58</v>
      </c>
      <c r="W9" s="113" t="s">
        <v>59</v>
      </c>
      <c r="X9" s="114"/>
      <c r="Y9" s="113" t="s">
        <v>58</v>
      </c>
      <c r="Z9" s="113" t="s">
        <v>59</v>
      </c>
      <c r="AA9" s="114"/>
      <c r="AB9" s="113" t="s">
        <v>58</v>
      </c>
      <c r="AC9" s="113" t="s">
        <v>59</v>
      </c>
      <c r="AD9" s="114"/>
      <c r="AE9" s="113" t="s">
        <v>58</v>
      </c>
      <c r="AF9" s="113" t="s">
        <v>59</v>
      </c>
      <c r="AG9" s="114"/>
      <c r="AH9" s="113" t="s">
        <v>58</v>
      </c>
      <c r="AI9" s="113" t="s">
        <v>59</v>
      </c>
      <c r="AJ9" s="114"/>
      <c r="AK9" s="113" t="s">
        <v>58</v>
      </c>
      <c r="AL9" s="113" t="s">
        <v>59</v>
      </c>
      <c r="AM9" s="114"/>
      <c r="AN9" s="112"/>
      <c r="AO9" s="115"/>
      <c r="AP9" s="116"/>
      <c r="AQ9" s="116"/>
      <c r="AR9" s="116"/>
      <c r="AS9" s="116"/>
      <c r="AT9" s="117"/>
      <c r="AU9" s="112"/>
    </row>
    <row r="10" spans="1:47" ht="14">
      <c r="C10" s="333" t="s">
        <v>477</v>
      </c>
      <c r="D10" s="330"/>
      <c r="E10" s="331"/>
      <c r="F10" s="323"/>
      <c r="G10" s="330"/>
      <c r="H10" s="331"/>
      <c r="I10" s="323"/>
      <c r="J10" s="330"/>
      <c r="K10" s="331"/>
      <c r="L10" s="323"/>
      <c r="M10" s="330"/>
      <c r="N10" s="331"/>
      <c r="O10" s="323"/>
      <c r="P10" s="330"/>
      <c r="Q10" s="331"/>
      <c r="R10" s="323"/>
      <c r="S10" s="330"/>
      <c r="T10" s="331"/>
      <c r="U10" s="323"/>
      <c r="V10" s="330"/>
      <c r="W10" s="331"/>
      <c r="X10" s="323"/>
      <c r="Y10" s="330"/>
      <c r="Z10" s="331"/>
      <c r="AA10" s="323"/>
      <c r="AB10" s="330"/>
      <c r="AC10" s="331"/>
      <c r="AD10" s="323"/>
      <c r="AE10" s="330"/>
      <c r="AF10" s="331"/>
      <c r="AG10" s="323"/>
      <c r="AH10" s="330"/>
      <c r="AI10" s="331"/>
      <c r="AJ10" s="323"/>
      <c r="AK10" s="330"/>
      <c r="AL10" s="331"/>
      <c r="AM10" s="323"/>
      <c r="AO10" s="109"/>
      <c r="AP10" s="118" t="str">
        <f>C10</f>
        <v>Loyers</v>
      </c>
      <c r="AQ10" s="795">
        <f>SUM(MAX(D10:E10),MAX(G10:H10),MAX(J10:K10),MAX(M10,N10),MAX(P10:Q10),MAX(S10:T10),MAX(V10:W10),MAX(Y10:Z10),MAX(AB10:AC10),MAX(AE10,AF10),MAX(AH10:AI10),MAX(AK10:AL10))</f>
        <v>0</v>
      </c>
      <c r="AR10" s="796"/>
      <c r="AS10" s="797"/>
      <c r="AT10" s="111"/>
    </row>
    <row r="11" spans="1:47" ht="14">
      <c r="C11" s="333" t="s">
        <v>355</v>
      </c>
      <c r="D11" s="332"/>
      <c r="E11" s="331"/>
      <c r="F11" s="323"/>
      <c r="G11" s="330"/>
      <c r="H11" s="331"/>
      <c r="I11" s="323"/>
      <c r="J11" s="330"/>
      <c r="K11" s="331"/>
      <c r="L11" s="323"/>
      <c r="M11" s="330"/>
      <c r="N11" s="331"/>
      <c r="O11" s="323"/>
      <c r="P11" s="330"/>
      <c r="Q11" s="331"/>
      <c r="R11" s="323"/>
      <c r="S11" s="330"/>
      <c r="T11" s="331"/>
      <c r="U11" s="323"/>
      <c r="V11" s="330"/>
      <c r="W11" s="331"/>
      <c r="X11" s="323"/>
      <c r="Y11" s="330"/>
      <c r="Z11" s="331"/>
      <c r="AA11" s="323"/>
      <c r="AB11" s="330"/>
      <c r="AC11" s="331"/>
      <c r="AD11" s="323"/>
      <c r="AE11" s="330"/>
      <c r="AF11" s="331"/>
      <c r="AG11" s="323"/>
      <c r="AH11" s="330"/>
      <c r="AI11" s="331"/>
      <c r="AJ11" s="323"/>
      <c r="AK11" s="330"/>
      <c r="AL11" s="331"/>
      <c r="AM11" s="323"/>
      <c r="AO11" s="109"/>
      <c r="AP11" s="118" t="str">
        <f>C11</f>
        <v>Provisions pour charges</v>
      </c>
      <c r="AQ11" s="795">
        <f>SUM(MAX(D11:E11),MAX(G11:H11),MAX(J11:K11),MAX(M11,N11),MAX(P11:Q11),MAX(S11:T11),MAX(V11:W11),MAX(Y11:Z11),MAX(AB11:AC11),MAX(AE11,AF11),MAX(AH11:AI11),MAX(AK11:AL11))</f>
        <v>0</v>
      </c>
      <c r="AR11" s="796"/>
      <c r="AS11" s="797"/>
      <c r="AT11" s="111"/>
    </row>
    <row r="12" spans="1:47" ht="14">
      <c r="C12" s="333" t="s">
        <v>356</v>
      </c>
      <c r="D12" s="330"/>
      <c r="E12" s="331"/>
      <c r="F12" s="323"/>
      <c r="G12" s="330"/>
      <c r="H12" s="331"/>
      <c r="I12" s="323"/>
      <c r="J12" s="330"/>
      <c r="K12" s="331"/>
      <c r="L12" s="323"/>
      <c r="M12" s="330"/>
      <c r="N12" s="331"/>
      <c r="O12" s="323"/>
      <c r="P12" s="330"/>
      <c r="Q12" s="331"/>
      <c r="R12" s="323"/>
      <c r="S12" s="330"/>
      <c r="T12" s="331"/>
      <c r="U12" s="323"/>
      <c r="V12" s="330"/>
      <c r="W12" s="331"/>
      <c r="X12" s="323"/>
      <c r="Y12" s="330"/>
      <c r="Z12" s="331"/>
      <c r="AA12" s="323"/>
      <c r="AB12" s="330"/>
      <c r="AC12" s="331"/>
      <c r="AD12" s="323"/>
      <c r="AE12" s="330"/>
      <c r="AF12" s="331"/>
      <c r="AG12" s="323"/>
      <c r="AH12" s="330"/>
      <c r="AI12" s="331"/>
      <c r="AJ12" s="323"/>
      <c r="AK12" s="330"/>
      <c r="AL12" s="331"/>
      <c r="AM12" s="323"/>
      <c r="AO12" s="109"/>
      <c r="AP12" s="118" t="str">
        <f t="shared" ref="AP12:AP13" si="11">C12</f>
        <v>Dépots de garantie</v>
      </c>
      <c r="AQ12" s="795">
        <f t="shared" ref="AQ12:AQ13" si="12">SUM(MAX(D12:E12),MAX(G12:H12),MAX(J12:K12),MAX(M12,N12),MAX(P12:Q12),MAX(S12:T12),MAX(V12:W12),MAX(Y12:Z12),MAX(AB12:AC12),MAX(AE12,AF12),MAX(AH12:AI12),MAX(AK12:AL12))</f>
        <v>0</v>
      </c>
      <c r="AR12" s="796"/>
      <c r="AS12" s="797"/>
      <c r="AT12" s="111"/>
    </row>
    <row r="13" spans="1:47" ht="14">
      <c r="C13" s="333" t="s">
        <v>357</v>
      </c>
      <c r="D13" s="330"/>
      <c r="E13" s="331"/>
      <c r="F13" s="323"/>
      <c r="G13" s="330"/>
      <c r="H13" s="331"/>
      <c r="I13" s="323"/>
      <c r="J13" s="330"/>
      <c r="K13" s="331"/>
      <c r="L13" s="323"/>
      <c r="M13" s="330"/>
      <c r="N13" s="331"/>
      <c r="O13" s="323"/>
      <c r="P13" s="330"/>
      <c r="Q13" s="331"/>
      <c r="R13" s="323"/>
      <c r="S13" s="330"/>
      <c r="T13" s="331"/>
      <c r="U13" s="323"/>
      <c r="V13" s="330"/>
      <c r="W13" s="331"/>
      <c r="X13" s="323"/>
      <c r="Y13" s="330"/>
      <c r="Z13" s="331"/>
      <c r="AA13" s="323"/>
      <c r="AB13" s="330"/>
      <c r="AC13" s="331"/>
      <c r="AD13" s="323"/>
      <c r="AE13" s="330"/>
      <c r="AF13" s="331"/>
      <c r="AG13" s="323"/>
      <c r="AH13" s="330"/>
      <c r="AI13" s="331"/>
      <c r="AJ13" s="323"/>
      <c r="AK13" s="330"/>
      <c r="AL13" s="331"/>
      <c r="AM13" s="323"/>
      <c r="AO13" s="109"/>
      <c r="AP13" s="118" t="str">
        <f t="shared" si="11"/>
        <v>Apports personnels</v>
      </c>
      <c r="AQ13" s="795">
        <f t="shared" si="12"/>
        <v>0</v>
      </c>
      <c r="AR13" s="796"/>
      <c r="AS13" s="797"/>
      <c r="AT13" s="111"/>
    </row>
    <row r="14" spans="1:47" ht="14">
      <c r="C14" s="333" t="s">
        <v>394</v>
      </c>
      <c r="D14" s="330"/>
      <c r="E14" s="331"/>
      <c r="F14" s="323"/>
      <c r="G14" s="330"/>
      <c r="H14" s="331"/>
      <c r="I14" s="323"/>
      <c r="J14" s="330"/>
      <c r="K14" s="331"/>
      <c r="L14" s="323"/>
      <c r="M14" s="330"/>
      <c r="N14" s="331"/>
      <c r="O14" s="323"/>
      <c r="P14" s="330"/>
      <c r="Q14" s="331"/>
      <c r="R14" s="323"/>
      <c r="S14" s="330"/>
      <c r="T14" s="331"/>
      <c r="U14" s="323"/>
      <c r="V14" s="330"/>
      <c r="W14" s="331"/>
      <c r="X14" s="323"/>
      <c r="Y14" s="330"/>
      <c r="Z14" s="331"/>
      <c r="AA14" s="323"/>
      <c r="AB14" s="330"/>
      <c r="AC14" s="331"/>
      <c r="AD14" s="323"/>
      <c r="AE14" s="330"/>
      <c r="AF14" s="331"/>
      <c r="AG14" s="323"/>
      <c r="AH14" s="330"/>
      <c r="AI14" s="331"/>
      <c r="AJ14" s="323"/>
      <c r="AK14" s="330"/>
      <c r="AL14" s="331"/>
      <c r="AM14" s="323"/>
      <c r="AO14" s="109"/>
      <c r="AP14" s="118" t="str">
        <f>C14</f>
        <v>Financement</v>
      </c>
      <c r="AQ14" s="795">
        <f>SUM(MAX(D14:E14),MAX(G14:H14),MAX(J14:K14),MAX(M14,N14),MAX(P14:Q14),MAX(S14:T14),MAX(V14:W14),MAX(Y14:Z14),MAX(AB14:AC14),MAX(AE14,AF14),MAX(AH14:AI14),MAX(AK14:AL14))</f>
        <v>0</v>
      </c>
      <c r="AR14" s="796"/>
      <c r="AS14" s="797"/>
      <c r="AT14" s="111"/>
    </row>
    <row r="15" spans="1:47" ht="14">
      <c r="C15" s="333" t="s">
        <v>395</v>
      </c>
      <c r="D15" s="330"/>
      <c r="E15" s="331"/>
      <c r="F15" s="323"/>
      <c r="G15" s="330"/>
      <c r="H15" s="331"/>
      <c r="I15" s="323"/>
      <c r="J15" s="330"/>
      <c r="K15" s="331"/>
      <c r="L15" s="323"/>
      <c r="M15" s="330"/>
      <c r="N15" s="331"/>
      <c r="O15" s="323"/>
      <c r="P15" s="330"/>
      <c r="Q15" s="331"/>
      <c r="R15" s="323"/>
      <c r="S15" s="330"/>
      <c r="T15" s="331"/>
      <c r="U15" s="323"/>
      <c r="V15" s="330"/>
      <c r="W15" s="331"/>
      <c r="X15" s="323"/>
      <c r="Y15" s="330"/>
      <c r="Z15" s="331"/>
      <c r="AA15" s="323"/>
      <c r="AB15" s="330"/>
      <c r="AC15" s="331"/>
      <c r="AD15" s="323"/>
      <c r="AE15" s="330"/>
      <c r="AF15" s="331"/>
      <c r="AG15" s="323"/>
      <c r="AH15" s="330"/>
      <c r="AI15" s="331"/>
      <c r="AJ15" s="323"/>
      <c r="AK15" s="330"/>
      <c r="AL15" s="331"/>
      <c r="AM15" s="323"/>
      <c r="AO15" s="109"/>
      <c r="AP15" s="118" t="str">
        <f>C15</f>
        <v>Subventions</v>
      </c>
      <c r="AQ15" s="795">
        <f>SUM(MAX(D15:E15),MAX(G15:H15),MAX(J15:K15),MAX(M15,N15),MAX(P15:Q15),MAX(S15:T15),MAX(V15:W15),MAX(Y15:Z15),MAX(AB15:AC15),MAX(AE15,AF15),MAX(AH15:AI15),MAX(AK15:AL15))</f>
        <v>0</v>
      </c>
      <c r="AR15" s="796"/>
      <c r="AS15" s="797"/>
      <c r="AT15" s="111"/>
    </row>
    <row r="16" spans="1:47" ht="14">
      <c r="C16" s="333" t="s">
        <v>38</v>
      </c>
      <c r="D16" s="330"/>
      <c r="E16" s="331"/>
      <c r="F16" s="323"/>
      <c r="G16" s="330"/>
      <c r="H16" s="331"/>
      <c r="I16" s="323"/>
      <c r="J16" s="330"/>
      <c r="K16" s="331"/>
      <c r="L16" s="323"/>
      <c r="M16" s="330"/>
      <c r="N16" s="331"/>
      <c r="O16" s="323"/>
      <c r="P16" s="330"/>
      <c r="Q16" s="331"/>
      <c r="R16" s="323"/>
      <c r="S16" s="330"/>
      <c r="T16" s="331"/>
      <c r="U16" s="323"/>
      <c r="V16" s="330"/>
      <c r="W16" s="331"/>
      <c r="X16" s="323"/>
      <c r="Y16" s="330"/>
      <c r="Z16" s="331"/>
      <c r="AA16" s="323"/>
      <c r="AB16" s="330"/>
      <c r="AC16" s="331"/>
      <c r="AD16" s="323"/>
      <c r="AE16" s="330"/>
      <c r="AF16" s="331"/>
      <c r="AG16" s="323"/>
      <c r="AH16" s="330"/>
      <c r="AI16" s="331"/>
      <c r="AJ16" s="323"/>
      <c r="AK16" s="330"/>
      <c r="AL16" s="331"/>
      <c r="AM16" s="323"/>
      <c r="AO16" s="109"/>
      <c r="AP16" s="118" t="str">
        <f>C16</f>
        <v>Autres</v>
      </c>
      <c r="AQ16" s="795">
        <f>SUM(MAX(D16:E16),MAX(G16:H16),MAX(J16:K16),MAX(M16,N16),MAX(P16:Q16),MAX(S16:T16),MAX(V16:W16),MAX(Y16:Z16),MAX(AB16:AC16),MAX(AE16,AF16),MAX(AH16:AI16),MAX(AK16:AL16))</f>
        <v>0</v>
      </c>
      <c r="AR16" s="796"/>
      <c r="AS16" s="797"/>
      <c r="AT16" s="111"/>
    </row>
    <row r="17" spans="3:46" ht="17">
      <c r="C17" s="119" t="s">
        <v>358</v>
      </c>
      <c r="D17" s="120" t="str">
        <f>IF(SUM(D10:D16)=0,"",SUM(D10:D16))</f>
        <v/>
      </c>
      <c r="E17" s="121">
        <f>SUM(E10:E16)</f>
        <v>0</v>
      </c>
      <c r="F17" s="122"/>
      <c r="G17" s="120" t="str">
        <f>IF(SUM(G10:G16)=0,"",SUM(G10:G16))</f>
        <v/>
      </c>
      <c r="H17" s="121">
        <f>SUM(H10:H16)</f>
        <v>0</v>
      </c>
      <c r="I17" s="122"/>
      <c r="J17" s="120" t="str">
        <f>IF(SUM(J10:J16)=0,"",SUM(J10:J16))</f>
        <v/>
      </c>
      <c r="K17" s="121">
        <f>SUM(K10:K16)</f>
        <v>0</v>
      </c>
      <c r="L17" s="122"/>
      <c r="M17" s="120" t="str">
        <f>IF(SUM(M10:M16)=0,"",SUM(M10:M16))</f>
        <v/>
      </c>
      <c r="N17" s="121">
        <f>SUM(N10:N16)</f>
        <v>0</v>
      </c>
      <c r="O17" s="122"/>
      <c r="P17" s="120" t="str">
        <f>IF(SUM(P10:P16)=0,"",SUM(P10:P16))</f>
        <v/>
      </c>
      <c r="Q17" s="121">
        <f>SUM(Q10:Q16)</f>
        <v>0</v>
      </c>
      <c r="R17" s="122"/>
      <c r="S17" s="120" t="str">
        <f>IF(SUM(S10:S16)=0,"",SUM(S10:S16))</f>
        <v/>
      </c>
      <c r="T17" s="121">
        <f>SUM(T10:T16)</f>
        <v>0</v>
      </c>
      <c r="U17" s="122"/>
      <c r="V17" s="120" t="str">
        <f>IF(SUM(V10:V16)=0,"",SUM(V10:V16))</f>
        <v/>
      </c>
      <c r="W17" s="121">
        <f>SUM(W10:W16)</f>
        <v>0</v>
      </c>
      <c r="X17" s="122"/>
      <c r="Y17" s="120" t="str">
        <f>IF(SUM(Y10:Y16)=0,"",SUM(Y10:Y16))</f>
        <v/>
      </c>
      <c r="Z17" s="121">
        <f>SUM(Z10:Z16)</f>
        <v>0</v>
      </c>
      <c r="AA17" s="122"/>
      <c r="AB17" s="120" t="str">
        <f>IF(SUM(AB10:AB16)=0,"",SUM(AB10:AB16))</f>
        <v/>
      </c>
      <c r="AC17" s="121">
        <f>SUM(AC10:AC16)</f>
        <v>0</v>
      </c>
      <c r="AD17" s="122"/>
      <c r="AE17" s="120" t="str">
        <f>IF(SUM(AE10:AE16)=0,"",SUM(AE10:AE16))</f>
        <v/>
      </c>
      <c r="AF17" s="121">
        <f>SUM(AF10:AF16)</f>
        <v>0</v>
      </c>
      <c r="AG17" s="122"/>
      <c r="AH17" s="120" t="str">
        <f>IF(SUM(AH10:AH16)=0,"",SUM(AH10:AH16))</f>
        <v/>
      </c>
      <c r="AI17" s="121">
        <f>SUM(AI10:AI16)</f>
        <v>0</v>
      </c>
      <c r="AJ17" s="122"/>
      <c r="AK17" s="120" t="str">
        <f>IF(SUM(AK10:AK16)=0,"",SUM(AK10:AK16))</f>
        <v/>
      </c>
      <c r="AL17" s="121">
        <f>SUM(AL10:AL16)</f>
        <v>0</v>
      </c>
      <c r="AM17" s="122"/>
      <c r="AO17" s="109"/>
      <c r="AP17" s="123" t="s">
        <v>359</v>
      </c>
      <c r="AQ17" s="807">
        <f>SUM(AQ10:AS16)</f>
        <v>0</v>
      </c>
      <c r="AR17" s="808"/>
      <c r="AS17" s="809"/>
      <c r="AT17" s="111"/>
    </row>
    <row r="18" spans="3:46">
      <c r="C18" s="119" t="s">
        <v>360</v>
      </c>
      <c r="D18" s="801" t="str">
        <f>IF(D17="","",D17-E17)</f>
        <v/>
      </c>
      <c r="E18" s="802"/>
      <c r="F18" s="803"/>
      <c r="G18" s="801" t="str">
        <f>IF(G17="","",G17-H17)</f>
        <v/>
      </c>
      <c r="H18" s="802"/>
      <c r="I18" s="803"/>
      <c r="J18" s="801" t="str">
        <f>IF(J17="","",J17-K17)</f>
        <v/>
      </c>
      <c r="K18" s="802"/>
      <c r="L18" s="803"/>
      <c r="M18" s="801" t="str">
        <f>IF(M17="","",M17-N17)</f>
        <v/>
      </c>
      <c r="N18" s="802"/>
      <c r="O18" s="803"/>
      <c r="P18" s="801" t="str">
        <f>IF(P17="","",P17-Q17)</f>
        <v/>
      </c>
      <c r="Q18" s="802"/>
      <c r="R18" s="803"/>
      <c r="S18" s="801" t="str">
        <f>IF(S17="","",S17-T17)</f>
        <v/>
      </c>
      <c r="T18" s="802"/>
      <c r="U18" s="803"/>
      <c r="V18" s="801" t="str">
        <f>IF(V17="","",V17-W17)</f>
        <v/>
      </c>
      <c r="W18" s="802"/>
      <c r="X18" s="803"/>
      <c r="Y18" s="801" t="str">
        <f>IF(Y17="","",Y17-Z17)</f>
        <v/>
      </c>
      <c r="Z18" s="802"/>
      <c r="AA18" s="803"/>
      <c r="AB18" s="801" t="str">
        <f>IF(AB17="","",AB17-AC17)</f>
        <v/>
      </c>
      <c r="AC18" s="802"/>
      <c r="AD18" s="803"/>
      <c r="AE18" s="801" t="str">
        <f>IF(AE17="","",AE17-AF17)</f>
        <v/>
      </c>
      <c r="AF18" s="802"/>
      <c r="AG18" s="803"/>
      <c r="AH18" s="801" t="str">
        <f>IF(AH17="","",AH17-AI17)</f>
        <v/>
      </c>
      <c r="AI18" s="802"/>
      <c r="AJ18" s="803"/>
      <c r="AK18" s="801" t="str">
        <f>IF(AK17="","",AK17-AL17)</f>
        <v/>
      </c>
      <c r="AL18" s="802"/>
      <c r="AM18" s="803"/>
      <c r="AO18" s="109"/>
      <c r="AP18" s="123"/>
      <c r="AQ18" s="124"/>
      <c r="AR18" s="124"/>
      <c r="AS18" s="124"/>
      <c r="AT18" s="111"/>
    </row>
    <row r="19" spans="3:46">
      <c r="C19" s="108"/>
      <c r="D19" s="96"/>
      <c r="E19" s="96"/>
      <c r="F19" s="97"/>
      <c r="G19" s="96"/>
      <c r="H19" s="96"/>
      <c r="I19" s="96"/>
      <c r="J19" s="96"/>
      <c r="K19" s="96"/>
      <c r="L19" s="96"/>
      <c r="M19" s="96"/>
      <c r="N19" s="96"/>
      <c r="O19" s="97"/>
      <c r="P19" s="96"/>
      <c r="Q19" s="96"/>
      <c r="R19" s="96"/>
      <c r="S19" s="96"/>
      <c r="T19" s="96"/>
      <c r="U19" s="96"/>
      <c r="V19" s="96"/>
      <c r="W19" s="96"/>
      <c r="X19" s="97"/>
      <c r="Y19" s="96"/>
      <c r="Z19" s="96"/>
      <c r="AA19" s="96"/>
      <c r="AB19" s="96"/>
      <c r="AC19" s="96"/>
      <c r="AD19" s="96"/>
      <c r="AE19" s="96"/>
      <c r="AF19" s="96"/>
      <c r="AG19" s="97"/>
      <c r="AH19" s="96"/>
      <c r="AI19" s="96"/>
      <c r="AJ19" s="96"/>
      <c r="AK19" s="96"/>
      <c r="AL19" s="96"/>
      <c r="AM19" s="96"/>
      <c r="AO19" s="109"/>
      <c r="AP19" s="110"/>
      <c r="AQ19" s="124"/>
      <c r="AR19" s="124"/>
      <c r="AS19" s="124"/>
      <c r="AT19" s="111"/>
    </row>
    <row r="20" spans="3:46">
      <c r="C20" s="108" t="s">
        <v>361</v>
      </c>
      <c r="D20" s="793">
        <f>Menu!F22</f>
        <v>46174</v>
      </c>
      <c r="E20" s="793"/>
      <c r="F20" s="794"/>
      <c r="G20" s="793">
        <f>32+D20</f>
        <v>46206</v>
      </c>
      <c r="H20" s="793"/>
      <c r="I20" s="794"/>
      <c r="J20" s="793">
        <f t="shared" ref="J20" si="13">32+G20</f>
        <v>46238</v>
      </c>
      <c r="K20" s="793"/>
      <c r="L20" s="794"/>
      <c r="M20" s="793">
        <f t="shared" ref="M20" si="14">32+J20</f>
        <v>46270</v>
      </c>
      <c r="N20" s="793"/>
      <c r="O20" s="794"/>
      <c r="P20" s="793">
        <f t="shared" ref="P20" si="15">32+M20</f>
        <v>46302</v>
      </c>
      <c r="Q20" s="793"/>
      <c r="R20" s="794"/>
      <c r="S20" s="793">
        <f t="shared" ref="S20" si="16">32+P20</f>
        <v>46334</v>
      </c>
      <c r="T20" s="793"/>
      <c r="U20" s="794"/>
      <c r="V20" s="793">
        <f t="shared" ref="V20" si="17">32+S20</f>
        <v>46366</v>
      </c>
      <c r="W20" s="793"/>
      <c r="X20" s="794"/>
      <c r="Y20" s="793">
        <f t="shared" ref="Y20" si="18">32+V20</f>
        <v>46398</v>
      </c>
      <c r="Z20" s="793"/>
      <c r="AA20" s="794"/>
      <c r="AB20" s="793">
        <f t="shared" ref="AB20" si="19">32+Y20</f>
        <v>46430</v>
      </c>
      <c r="AC20" s="793"/>
      <c r="AD20" s="794"/>
      <c r="AE20" s="793">
        <f t="shared" ref="AE20" si="20">32+AB20</f>
        <v>46462</v>
      </c>
      <c r="AF20" s="793"/>
      <c r="AG20" s="794"/>
      <c r="AH20" s="793">
        <f t="shared" ref="AH20" si="21">32+AE20</f>
        <v>46494</v>
      </c>
      <c r="AI20" s="793"/>
      <c r="AJ20" s="794"/>
      <c r="AK20" s="793">
        <f t="shared" ref="AK20" si="22">32+AH20</f>
        <v>46526</v>
      </c>
      <c r="AL20" s="793"/>
      <c r="AM20" s="794"/>
      <c r="AO20" s="109"/>
      <c r="AP20" s="110" t="s">
        <v>361</v>
      </c>
      <c r="AQ20" s="124"/>
      <c r="AR20" s="124"/>
      <c r="AS20" s="124"/>
      <c r="AT20" s="111"/>
    </row>
    <row r="21" spans="3:46">
      <c r="C21" s="108"/>
      <c r="D21" s="113" t="s">
        <v>58</v>
      </c>
      <c r="E21" s="113" t="s">
        <v>59</v>
      </c>
      <c r="F21" s="114"/>
      <c r="G21" s="113" t="s">
        <v>58</v>
      </c>
      <c r="H21" s="113" t="s">
        <v>59</v>
      </c>
      <c r="I21" s="114"/>
      <c r="J21" s="113" t="s">
        <v>58</v>
      </c>
      <c r="K21" s="113" t="s">
        <v>59</v>
      </c>
      <c r="L21" s="114"/>
      <c r="M21" s="113" t="s">
        <v>58</v>
      </c>
      <c r="N21" s="113" t="s">
        <v>59</v>
      </c>
      <c r="O21" s="114"/>
      <c r="P21" s="113" t="s">
        <v>58</v>
      </c>
      <c r="Q21" s="113" t="s">
        <v>59</v>
      </c>
      <c r="R21" s="114"/>
      <c r="S21" s="113" t="s">
        <v>58</v>
      </c>
      <c r="T21" s="113" t="s">
        <v>59</v>
      </c>
      <c r="U21" s="114"/>
      <c r="V21" s="113" t="s">
        <v>58</v>
      </c>
      <c r="W21" s="113" t="s">
        <v>59</v>
      </c>
      <c r="X21" s="114"/>
      <c r="Y21" s="113" t="s">
        <v>58</v>
      </c>
      <c r="Z21" s="113" t="s">
        <v>59</v>
      </c>
      <c r="AA21" s="114"/>
      <c r="AB21" s="113" t="s">
        <v>58</v>
      </c>
      <c r="AC21" s="113" t="s">
        <v>59</v>
      </c>
      <c r="AD21" s="114"/>
      <c r="AE21" s="113" t="s">
        <v>58</v>
      </c>
      <c r="AF21" s="113" t="s">
        <v>59</v>
      </c>
      <c r="AG21" s="114"/>
      <c r="AH21" s="113" t="s">
        <v>58</v>
      </c>
      <c r="AI21" s="113" t="s">
        <v>59</v>
      </c>
      <c r="AJ21" s="114"/>
      <c r="AK21" s="113" t="s">
        <v>58</v>
      </c>
      <c r="AL21" s="113" t="s">
        <v>59</v>
      </c>
      <c r="AM21" s="114"/>
      <c r="AO21" s="109"/>
      <c r="AP21" s="110"/>
      <c r="AQ21" s="124"/>
      <c r="AR21" s="124"/>
      <c r="AS21" s="124"/>
      <c r="AT21" s="111"/>
    </row>
    <row r="22" spans="3:46" ht="14">
      <c r="C22" s="333" t="s">
        <v>362</v>
      </c>
      <c r="D22" s="330"/>
      <c r="E22" s="331"/>
      <c r="F22" s="323"/>
      <c r="G22" s="330"/>
      <c r="H22" s="331"/>
      <c r="I22" s="323"/>
      <c r="J22" s="330"/>
      <c r="K22" s="331"/>
      <c r="L22" s="323"/>
      <c r="M22" s="330"/>
      <c r="N22" s="331"/>
      <c r="O22" s="323"/>
      <c r="P22" s="330"/>
      <c r="Q22" s="331"/>
      <c r="R22" s="323"/>
      <c r="S22" s="330"/>
      <c r="T22" s="331"/>
      <c r="U22" s="323"/>
      <c r="V22" s="330"/>
      <c r="W22" s="331"/>
      <c r="X22" s="323"/>
      <c r="Y22" s="330"/>
      <c r="Z22" s="331"/>
      <c r="AA22" s="323"/>
      <c r="AB22" s="330"/>
      <c r="AC22" s="331"/>
      <c r="AD22" s="323"/>
      <c r="AE22" s="330"/>
      <c r="AF22" s="331"/>
      <c r="AG22" s="323"/>
      <c r="AH22" s="330"/>
      <c r="AI22" s="331"/>
      <c r="AJ22" s="323"/>
      <c r="AK22" s="330"/>
      <c r="AL22" s="331"/>
      <c r="AM22" s="323"/>
      <c r="AO22" s="109"/>
      <c r="AP22" s="118" t="str">
        <f t="shared" ref="AP22:AP33" si="23">C22</f>
        <v>Frais de gérance</v>
      </c>
      <c r="AQ22" s="795">
        <f t="shared" ref="AQ22:AQ33" si="24">SUM(MAX(D22:E22),MAX(G22:H22),MAX(J22:K22),MAX(M22,N22),MAX(P22:Q22),MAX(S22:T22),MAX(V22:W22),MAX(Y22:Z22),MAX(AB22:AC22),MAX(AE22,AF22),MAX(AH22:AI22),MAX(AK22:AL22))</f>
        <v>0</v>
      </c>
      <c r="AR22" s="796"/>
      <c r="AS22" s="797"/>
      <c r="AT22" s="111"/>
    </row>
    <row r="23" spans="3:46" ht="14">
      <c r="C23" s="333" t="s">
        <v>363</v>
      </c>
      <c r="D23" s="330"/>
      <c r="E23" s="331"/>
      <c r="F23" s="323"/>
      <c r="G23" s="330"/>
      <c r="H23" s="331"/>
      <c r="I23" s="323"/>
      <c r="J23" s="330"/>
      <c r="K23" s="331"/>
      <c r="L23" s="323"/>
      <c r="M23" s="330"/>
      <c r="N23" s="331"/>
      <c r="O23" s="323"/>
      <c r="P23" s="330"/>
      <c r="Q23" s="331"/>
      <c r="R23" s="323"/>
      <c r="S23" s="330"/>
      <c r="T23" s="331"/>
      <c r="U23" s="323"/>
      <c r="V23" s="330"/>
      <c r="W23" s="331"/>
      <c r="X23" s="323"/>
      <c r="Y23" s="330"/>
      <c r="Z23" s="331"/>
      <c r="AA23" s="323"/>
      <c r="AB23" s="330"/>
      <c r="AC23" s="331"/>
      <c r="AD23" s="323"/>
      <c r="AE23" s="330"/>
      <c r="AF23" s="331"/>
      <c r="AG23" s="323"/>
      <c r="AH23" s="330"/>
      <c r="AI23" s="331"/>
      <c r="AJ23" s="323"/>
      <c r="AK23" s="330"/>
      <c r="AL23" s="331"/>
      <c r="AM23" s="323"/>
      <c r="AO23" s="109"/>
      <c r="AP23" s="118" t="str">
        <f t="shared" si="23"/>
        <v>Assurances</v>
      </c>
      <c r="AQ23" s="795">
        <f t="shared" si="24"/>
        <v>0</v>
      </c>
      <c r="AR23" s="796"/>
      <c r="AS23" s="797"/>
      <c r="AT23" s="111"/>
    </row>
    <row r="24" spans="3:46" ht="14">
      <c r="C24" s="333" t="s">
        <v>389</v>
      </c>
      <c r="D24" s="330"/>
      <c r="E24" s="331"/>
      <c r="F24" s="323"/>
      <c r="G24" s="330"/>
      <c r="H24" s="331"/>
      <c r="I24" s="323"/>
      <c r="J24" s="330"/>
      <c r="K24" s="331"/>
      <c r="L24" s="323"/>
      <c r="M24" s="330"/>
      <c r="N24" s="331"/>
      <c r="O24" s="323"/>
      <c r="P24" s="330"/>
      <c r="Q24" s="331"/>
      <c r="R24" s="323"/>
      <c r="S24" s="330"/>
      <c r="T24" s="331"/>
      <c r="U24" s="323"/>
      <c r="V24" s="330"/>
      <c r="W24" s="331"/>
      <c r="X24" s="323"/>
      <c r="Y24" s="330"/>
      <c r="Z24" s="331"/>
      <c r="AA24" s="323"/>
      <c r="AB24" s="330"/>
      <c r="AC24" s="331"/>
      <c r="AD24" s="323"/>
      <c r="AE24" s="330"/>
      <c r="AF24" s="331"/>
      <c r="AG24" s="323"/>
      <c r="AH24" s="330"/>
      <c r="AI24" s="331"/>
      <c r="AJ24" s="323"/>
      <c r="AK24" s="330"/>
      <c r="AL24" s="331"/>
      <c r="AM24" s="323"/>
      <c r="AO24" s="109"/>
      <c r="AP24" s="118" t="str">
        <f t="shared" si="23"/>
        <v>Eau</v>
      </c>
      <c r="AQ24" s="795">
        <f t="shared" si="24"/>
        <v>0</v>
      </c>
      <c r="AR24" s="796"/>
      <c r="AS24" s="797"/>
      <c r="AT24" s="111"/>
    </row>
    <row r="25" spans="3:46" ht="14">
      <c r="C25" s="333" t="s">
        <v>480</v>
      </c>
      <c r="D25" s="330"/>
      <c r="E25" s="331"/>
      <c r="F25" s="323"/>
      <c r="G25" s="330"/>
      <c r="H25" s="331"/>
      <c r="I25" s="323"/>
      <c r="J25" s="330"/>
      <c r="K25" s="331"/>
      <c r="L25" s="323"/>
      <c r="M25" s="330"/>
      <c r="N25" s="331"/>
      <c r="O25" s="323"/>
      <c r="P25" s="330"/>
      <c r="Q25" s="331"/>
      <c r="R25" s="323"/>
      <c r="S25" s="330"/>
      <c r="T25" s="331"/>
      <c r="U25" s="323"/>
      <c r="V25" s="330"/>
      <c r="W25" s="331"/>
      <c r="X25" s="323"/>
      <c r="Y25" s="330"/>
      <c r="Z25" s="331"/>
      <c r="AA25" s="323"/>
      <c r="AB25" s="330"/>
      <c r="AC25" s="331"/>
      <c r="AD25" s="323"/>
      <c r="AE25" s="330"/>
      <c r="AF25" s="331"/>
      <c r="AG25" s="323"/>
      <c r="AH25" s="330"/>
      <c r="AI25" s="331"/>
      <c r="AJ25" s="323"/>
      <c r="AK25" s="330"/>
      <c r="AL25" s="331"/>
      <c r="AM25" s="323"/>
      <c r="AO25" s="109"/>
      <c r="AP25" s="118" t="str">
        <f t="shared" si="23"/>
        <v>Electricité/Gaz</v>
      </c>
      <c r="AQ25" s="795">
        <f t="shared" si="24"/>
        <v>0</v>
      </c>
      <c r="AR25" s="796"/>
      <c r="AS25" s="797"/>
      <c r="AT25" s="111"/>
    </row>
    <row r="26" spans="3:46" ht="14">
      <c r="C26" s="333" t="s">
        <v>483</v>
      </c>
      <c r="D26" s="330"/>
      <c r="E26" s="331"/>
      <c r="F26" s="323"/>
      <c r="G26" s="330"/>
      <c r="H26" s="331"/>
      <c r="I26" s="323"/>
      <c r="J26" s="330"/>
      <c r="K26" s="331"/>
      <c r="L26" s="323"/>
      <c r="M26" s="330"/>
      <c r="N26" s="331"/>
      <c r="O26" s="323"/>
      <c r="P26" s="330"/>
      <c r="Q26" s="331"/>
      <c r="R26" s="323"/>
      <c r="S26" s="330"/>
      <c r="T26" s="331"/>
      <c r="U26" s="323"/>
      <c r="V26" s="330"/>
      <c r="W26" s="331"/>
      <c r="X26" s="323"/>
      <c r="Y26" s="330"/>
      <c r="Z26" s="331"/>
      <c r="AA26" s="323"/>
      <c r="AB26" s="330"/>
      <c r="AC26" s="331"/>
      <c r="AD26" s="323"/>
      <c r="AE26" s="330"/>
      <c r="AF26" s="331"/>
      <c r="AG26" s="323"/>
      <c r="AH26" s="330"/>
      <c r="AI26" s="331"/>
      <c r="AJ26" s="323"/>
      <c r="AK26" s="330"/>
      <c r="AL26" s="331"/>
      <c r="AM26" s="323"/>
      <c r="AO26" s="109"/>
      <c r="AP26" s="118" t="str">
        <f t="shared" si="23"/>
        <v>Crédit immobilier principal</v>
      </c>
      <c r="AQ26" s="795">
        <f t="shared" si="24"/>
        <v>0</v>
      </c>
      <c r="AR26" s="796"/>
      <c r="AS26" s="797"/>
      <c r="AT26" s="111"/>
    </row>
    <row r="27" spans="3:46" ht="14">
      <c r="C27" s="333" t="s">
        <v>398</v>
      </c>
      <c r="D27" s="330"/>
      <c r="E27" s="331"/>
      <c r="F27" s="323"/>
      <c r="G27" s="330"/>
      <c r="H27" s="331"/>
      <c r="I27" s="323"/>
      <c r="J27" s="330"/>
      <c r="K27" s="331"/>
      <c r="L27" s="323"/>
      <c r="M27" s="330"/>
      <c r="N27" s="331"/>
      <c r="O27" s="323"/>
      <c r="P27" s="330"/>
      <c r="Q27" s="331"/>
      <c r="R27" s="323"/>
      <c r="S27" s="330"/>
      <c r="T27" s="331"/>
      <c r="U27" s="323"/>
      <c r="V27" s="330"/>
      <c r="W27" s="331"/>
      <c r="X27" s="323"/>
      <c r="Y27" s="330"/>
      <c r="Z27" s="331"/>
      <c r="AA27" s="323"/>
      <c r="AB27" s="330"/>
      <c r="AC27" s="331"/>
      <c r="AD27" s="323"/>
      <c r="AE27" s="330"/>
      <c r="AF27" s="331"/>
      <c r="AG27" s="323"/>
      <c r="AH27" s="330"/>
      <c r="AI27" s="331"/>
      <c r="AJ27" s="323"/>
      <c r="AK27" s="330"/>
      <c r="AL27" s="331"/>
      <c r="AM27" s="323"/>
      <c r="AO27" s="109"/>
      <c r="AP27" s="118" t="str">
        <f t="shared" si="23"/>
        <v>Crédit secondaire</v>
      </c>
      <c r="AQ27" s="795">
        <f t="shared" si="24"/>
        <v>0</v>
      </c>
      <c r="AR27" s="796"/>
      <c r="AS27" s="797"/>
      <c r="AT27" s="111"/>
    </row>
    <row r="28" spans="3:46" ht="14">
      <c r="C28" s="333" t="s">
        <v>365</v>
      </c>
      <c r="D28" s="330"/>
      <c r="E28" s="331"/>
      <c r="F28" s="323"/>
      <c r="G28" s="330"/>
      <c r="H28" s="331"/>
      <c r="I28" s="323"/>
      <c r="J28" s="330"/>
      <c r="K28" s="331"/>
      <c r="L28" s="323"/>
      <c r="M28" s="330"/>
      <c r="N28" s="331"/>
      <c r="O28" s="323"/>
      <c r="P28" s="330"/>
      <c r="Q28" s="331"/>
      <c r="R28" s="323"/>
      <c r="S28" s="330"/>
      <c r="T28" s="331"/>
      <c r="U28" s="323"/>
      <c r="V28" s="330"/>
      <c r="W28" s="331"/>
      <c r="X28" s="323"/>
      <c r="Y28" s="330"/>
      <c r="Z28" s="331"/>
      <c r="AA28" s="323"/>
      <c r="AB28" s="330"/>
      <c r="AC28" s="331"/>
      <c r="AD28" s="323"/>
      <c r="AE28" s="330"/>
      <c r="AF28" s="331"/>
      <c r="AG28" s="323"/>
      <c r="AH28" s="330"/>
      <c r="AI28" s="331"/>
      <c r="AJ28" s="323"/>
      <c r="AK28" s="330"/>
      <c r="AL28" s="331"/>
      <c r="AM28" s="323"/>
      <c r="AO28" s="109"/>
      <c r="AP28" s="118" t="str">
        <f t="shared" si="23"/>
        <v>Frais bancaires</v>
      </c>
      <c r="AQ28" s="795">
        <f t="shared" si="24"/>
        <v>0</v>
      </c>
      <c r="AR28" s="796"/>
      <c r="AS28" s="797"/>
      <c r="AT28" s="111"/>
    </row>
    <row r="29" spans="3:46" ht="14">
      <c r="C29" s="333" t="s">
        <v>366</v>
      </c>
      <c r="D29" s="330"/>
      <c r="E29" s="331"/>
      <c r="F29" s="323"/>
      <c r="G29" s="330"/>
      <c r="H29" s="331"/>
      <c r="I29" s="323"/>
      <c r="J29" s="330"/>
      <c r="K29" s="331"/>
      <c r="L29" s="323"/>
      <c r="M29" s="330"/>
      <c r="N29" s="331"/>
      <c r="O29" s="323"/>
      <c r="P29" s="330"/>
      <c r="Q29" s="331"/>
      <c r="R29" s="323"/>
      <c r="S29" s="330"/>
      <c r="T29" s="331"/>
      <c r="U29" s="323"/>
      <c r="V29" s="330"/>
      <c r="W29" s="331"/>
      <c r="X29" s="323"/>
      <c r="Y29" s="330"/>
      <c r="Z29" s="331"/>
      <c r="AA29" s="323"/>
      <c r="AB29" s="330"/>
      <c r="AC29" s="331"/>
      <c r="AD29" s="323"/>
      <c r="AE29" s="330"/>
      <c r="AF29" s="331"/>
      <c r="AG29" s="323"/>
      <c r="AH29" s="330"/>
      <c r="AI29" s="331"/>
      <c r="AJ29" s="323"/>
      <c r="AK29" s="330"/>
      <c r="AL29" s="331"/>
      <c r="AM29" s="323"/>
      <c r="AO29" s="109"/>
      <c r="AP29" s="118" t="str">
        <f t="shared" si="23"/>
        <v>Taxe foncière</v>
      </c>
      <c r="AQ29" s="795">
        <f t="shared" si="24"/>
        <v>0</v>
      </c>
      <c r="AR29" s="796"/>
      <c r="AS29" s="797"/>
      <c r="AT29" s="111"/>
    </row>
    <row r="30" spans="3:46" ht="14">
      <c r="C30" s="333" t="s">
        <v>367</v>
      </c>
      <c r="D30" s="330"/>
      <c r="E30" s="331"/>
      <c r="F30" s="323"/>
      <c r="G30" s="330"/>
      <c r="H30" s="331"/>
      <c r="I30" s="323"/>
      <c r="J30" s="330"/>
      <c r="K30" s="331"/>
      <c r="L30" s="323"/>
      <c r="M30" s="330"/>
      <c r="N30" s="331"/>
      <c r="O30" s="323"/>
      <c r="P30" s="330"/>
      <c r="Q30" s="331"/>
      <c r="R30" s="323"/>
      <c r="S30" s="330"/>
      <c r="T30" s="331"/>
      <c r="U30" s="323"/>
      <c r="V30" s="330"/>
      <c r="W30" s="331"/>
      <c r="X30" s="323"/>
      <c r="Y30" s="330"/>
      <c r="Z30" s="331"/>
      <c r="AA30" s="323"/>
      <c r="AB30" s="330"/>
      <c r="AC30" s="331"/>
      <c r="AD30" s="323"/>
      <c r="AE30" s="330"/>
      <c r="AF30" s="331"/>
      <c r="AG30" s="323"/>
      <c r="AH30" s="330"/>
      <c r="AI30" s="331"/>
      <c r="AJ30" s="323"/>
      <c r="AK30" s="330"/>
      <c r="AL30" s="331"/>
      <c r="AM30" s="323"/>
      <c r="AO30" s="109"/>
      <c r="AP30" s="118" t="str">
        <f t="shared" si="23"/>
        <v>Divers (travaux etc.)</v>
      </c>
      <c r="AQ30" s="795">
        <f t="shared" si="24"/>
        <v>0</v>
      </c>
      <c r="AR30" s="796"/>
      <c r="AS30" s="797"/>
      <c r="AT30" s="111"/>
    </row>
    <row r="31" spans="3:46" ht="14">
      <c r="C31" s="333" t="s">
        <v>482</v>
      </c>
      <c r="D31" s="330"/>
      <c r="E31" s="331"/>
      <c r="F31" s="323"/>
      <c r="G31" s="330"/>
      <c r="H31" s="331"/>
      <c r="I31" s="323"/>
      <c r="J31" s="330"/>
      <c r="K31" s="331"/>
      <c r="L31" s="323"/>
      <c r="M31" s="330"/>
      <c r="N31" s="331"/>
      <c r="O31" s="323"/>
      <c r="P31" s="330"/>
      <c r="Q31" s="331"/>
      <c r="R31" s="323"/>
      <c r="S31" s="330"/>
      <c r="T31" s="331"/>
      <c r="U31" s="323"/>
      <c r="V31" s="330"/>
      <c r="W31" s="331"/>
      <c r="X31" s="323"/>
      <c r="Y31" s="330"/>
      <c r="Z31" s="331"/>
      <c r="AA31" s="323"/>
      <c r="AB31" s="330"/>
      <c r="AC31" s="331"/>
      <c r="AD31" s="323"/>
      <c r="AE31" s="330"/>
      <c r="AF31" s="331"/>
      <c r="AG31" s="323"/>
      <c r="AH31" s="330"/>
      <c r="AI31" s="331"/>
      <c r="AJ31" s="323"/>
      <c r="AK31" s="330"/>
      <c r="AL31" s="331"/>
      <c r="AM31" s="323"/>
      <c r="AO31" s="109"/>
      <c r="AP31" s="118" t="str">
        <f t="shared" si="23"/>
        <v>Entretien / Nettoyage</v>
      </c>
      <c r="AQ31" s="795">
        <f t="shared" si="24"/>
        <v>0</v>
      </c>
      <c r="AR31" s="796"/>
      <c r="AS31" s="797"/>
      <c r="AT31" s="111"/>
    </row>
    <row r="32" spans="3:46" ht="14">
      <c r="C32" s="333" t="s">
        <v>369</v>
      </c>
      <c r="D32" s="330"/>
      <c r="E32" s="331"/>
      <c r="F32" s="323"/>
      <c r="G32" s="330"/>
      <c r="H32" s="331"/>
      <c r="I32" s="323"/>
      <c r="J32" s="330"/>
      <c r="K32" s="331"/>
      <c r="L32" s="323"/>
      <c r="M32" s="330"/>
      <c r="N32" s="331"/>
      <c r="O32" s="323"/>
      <c r="P32" s="330"/>
      <c r="Q32" s="331"/>
      <c r="R32" s="323"/>
      <c r="S32" s="330"/>
      <c r="T32" s="331"/>
      <c r="U32" s="323"/>
      <c r="V32" s="330"/>
      <c r="W32" s="331"/>
      <c r="X32" s="323"/>
      <c r="Y32" s="330"/>
      <c r="Z32" s="331"/>
      <c r="AA32" s="323"/>
      <c r="AB32" s="330"/>
      <c r="AC32" s="331"/>
      <c r="AD32" s="323"/>
      <c r="AE32" s="330"/>
      <c r="AF32" s="331"/>
      <c r="AG32" s="323"/>
      <c r="AH32" s="330"/>
      <c r="AI32" s="331"/>
      <c r="AJ32" s="323"/>
      <c r="AK32" s="330"/>
      <c r="AL32" s="331"/>
      <c r="AM32" s="323"/>
      <c r="AO32" s="109"/>
      <c r="AP32" s="118" t="str">
        <f t="shared" si="23"/>
        <v>Retraits ponctuels</v>
      </c>
      <c r="AQ32" s="795">
        <f t="shared" si="24"/>
        <v>0</v>
      </c>
      <c r="AR32" s="796"/>
      <c r="AS32" s="797"/>
      <c r="AT32" s="111"/>
    </row>
    <row r="33" spans="1:46" ht="14">
      <c r="C33" s="333" t="s">
        <v>38</v>
      </c>
      <c r="D33" s="330"/>
      <c r="E33" s="331"/>
      <c r="F33" s="323"/>
      <c r="G33" s="330"/>
      <c r="H33" s="331"/>
      <c r="I33" s="323"/>
      <c r="J33" s="330"/>
      <c r="K33" s="331"/>
      <c r="L33" s="323"/>
      <c r="M33" s="330"/>
      <c r="N33" s="331"/>
      <c r="O33" s="323"/>
      <c r="P33" s="330"/>
      <c r="Q33" s="331"/>
      <c r="R33" s="323"/>
      <c r="S33" s="330"/>
      <c r="T33" s="331"/>
      <c r="U33" s="323"/>
      <c r="V33" s="330"/>
      <c r="W33" s="331"/>
      <c r="X33" s="323"/>
      <c r="Y33" s="330"/>
      <c r="Z33" s="331"/>
      <c r="AA33" s="323"/>
      <c r="AB33" s="330"/>
      <c r="AC33" s="331"/>
      <c r="AD33" s="323"/>
      <c r="AE33" s="330"/>
      <c r="AF33" s="331"/>
      <c r="AG33" s="323"/>
      <c r="AH33" s="330"/>
      <c r="AI33" s="331"/>
      <c r="AJ33" s="323"/>
      <c r="AK33" s="330"/>
      <c r="AL33" s="331"/>
      <c r="AM33" s="323"/>
      <c r="AO33" s="109"/>
      <c r="AP33" s="118" t="str">
        <f t="shared" si="23"/>
        <v>Autres</v>
      </c>
      <c r="AQ33" s="795">
        <f t="shared" si="24"/>
        <v>0</v>
      </c>
      <c r="AR33" s="796"/>
      <c r="AS33" s="797"/>
      <c r="AT33" s="111"/>
    </row>
    <row r="34" spans="1:46" ht="17">
      <c r="C34" s="119" t="s">
        <v>370</v>
      </c>
      <c r="D34" s="125" t="str">
        <f>IF(SUM(D22:D33)=0,"",SUM(D22:D33))</f>
        <v/>
      </c>
      <c r="E34" s="126">
        <f>SUM(E22:E33)</f>
        <v>0</v>
      </c>
      <c r="F34" s="127"/>
      <c r="G34" s="125" t="str">
        <f>IF(SUM(G22:G33)=0,"",SUM(G22:G33))</f>
        <v/>
      </c>
      <c r="H34" s="126">
        <f>SUM(H22:H33)</f>
        <v>0</v>
      </c>
      <c r="I34" s="127"/>
      <c r="J34" s="125" t="str">
        <f>IF(SUM(J22:J33)=0,"",SUM(J22:J33))</f>
        <v/>
      </c>
      <c r="K34" s="126">
        <f>SUM(K22:K33)</f>
        <v>0</v>
      </c>
      <c r="L34" s="127"/>
      <c r="M34" s="125" t="str">
        <f>IF(SUM(M22:M33)=0,"",SUM(M22:M33))</f>
        <v/>
      </c>
      <c r="N34" s="126">
        <f>SUM(N22:N33)</f>
        <v>0</v>
      </c>
      <c r="O34" s="127"/>
      <c r="P34" s="125" t="str">
        <f>IF(SUM(P22:P33)=0,"",SUM(P22:P33))</f>
        <v/>
      </c>
      <c r="Q34" s="126">
        <f>SUM(Q22:Q33)</f>
        <v>0</v>
      </c>
      <c r="R34" s="127"/>
      <c r="S34" s="125" t="str">
        <f>IF(SUM(S22:S33)=0,"",SUM(S22:S33))</f>
        <v/>
      </c>
      <c r="T34" s="126">
        <f>SUM(T22:T33)</f>
        <v>0</v>
      </c>
      <c r="U34" s="127"/>
      <c r="V34" s="125" t="str">
        <f>IF(SUM(V22:V33)=0,"",SUM(V22:V33))</f>
        <v/>
      </c>
      <c r="W34" s="126">
        <f>SUM(W22:W33)</f>
        <v>0</v>
      </c>
      <c r="X34" s="127"/>
      <c r="Y34" s="125" t="str">
        <f>IF(SUM(Y22:Y33)=0,"",SUM(Y22:Y33))</f>
        <v/>
      </c>
      <c r="Z34" s="126">
        <f>SUM(Z22:Z33)</f>
        <v>0</v>
      </c>
      <c r="AA34" s="127"/>
      <c r="AB34" s="125" t="str">
        <f>IF(SUM(AB22:AB33)=0,"",SUM(AB22:AB33))</f>
        <v/>
      </c>
      <c r="AC34" s="126">
        <f>SUM(AC22:AC33)</f>
        <v>0</v>
      </c>
      <c r="AD34" s="127"/>
      <c r="AE34" s="125" t="str">
        <f>IF(SUM(AE22:AE33)=0,"",SUM(AE22:AE33))</f>
        <v/>
      </c>
      <c r="AF34" s="126">
        <f>SUM(AF22:AF33)</f>
        <v>0</v>
      </c>
      <c r="AG34" s="127"/>
      <c r="AH34" s="125" t="str">
        <f>IF(SUM(AH22:AH33)=0,"",SUM(AH22:AH33))</f>
        <v/>
      </c>
      <c r="AI34" s="126">
        <f>SUM(AI22:AI33)</f>
        <v>0</v>
      </c>
      <c r="AJ34" s="127"/>
      <c r="AK34" s="125" t="str">
        <f>IF(SUM(AK22:AK33)=0,"",SUM(AK22:AK33))</f>
        <v/>
      </c>
      <c r="AL34" s="126">
        <f>SUM(AL22:AL33)</f>
        <v>0</v>
      </c>
      <c r="AM34" s="127"/>
      <c r="AO34" s="109"/>
      <c r="AP34" s="123" t="s">
        <v>371</v>
      </c>
      <c r="AQ34" s="804">
        <f>SUM(AQ22:AS33)</f>
        <v>0</v>
      </c>
      <c r="AR34" s="805"/>
      <c r="AS34" s="806"/>
      <c r="AT34" s="111"/>
    </row>
    <row r="35" spans="1:46">
      <c r="C35" s="119" t="s">
        <v>360</v>
      </c>
      <c r="D35" s="798" t="str">
        <f>IF(D34="","",E34-D34)</f>
        <v/>
      </c>
      <c r="E35" s="799"/>
      <c r="F35" s="800"/>
      <c r="G35" s="798" t="str">
        <f>IF(G34="","",H34-G34)</f>
        <v/>
      </c>
      <c r="H35" s="799"/>
      <c r="I35" s="800"/>
      <c r="J35" s="798" t="str">
        <f>IF(J34="","",K34-J34)</f>
        <v/>
      </c>
      <c r="K35" s="799"/>
      <c r="L35" s="800"/>
      <c r="M35" s="798" t="str">
        <f>IF(M34="","",N34-M34)</f>
        <v/>
      </c>
      <c r="N35" s="799"/>
      <c r="O35" s="800"/>
      <c r="P35" s="798" t="str">
        <f>IF(P34="","",Q34-P34)</f>
        <v/>
      </c>
      <c r="Q35" s="799"/>
      <c r="R35" s="800"/>
      <c r="S35" s="798" t="str">
        <f>IF(S34="","",T34-S34)</f>
        <v/>
      </c>
      <c r="T35" s="799"/>
      <c r="U35" s="800"/>
      <c r="V35" s="798" t="str">
        <f>IF(V34="","",W34-V34)</f>
        <v/>
      </c>
      <c r="W35" s="799"/>
      <c r="X35" s="800"/>
      <c r="Y35" s="798" t="str">
        <f>IF(Y34="","",Z34-Y34)</f>
        <v/>
      </c>
      <c r="Z35" s="799"/>
      <c r="AA35" s="800"/>
      <c r="AB35" s="798" t="str">
        <f>IF(AB34="","",AC34-AB34)</f>
        <v/>
      </c>
      <c r="AC35" s="799"/>
      <c r="AD35" s="800"/>
      <c r="AE35" s="798" t="str">
        <f>IF(AE34="","",AF34-AE34)</f>
        <v/>
      </c>
      <c r="AF35" s="799"/>
      <c r="AG35" s="800"/>
      <c r="AH35" s="798" t="str">
        <f>IF(AH34="","",AI34-AH34)</f>
        <v/>
      </c>
      <c r="AI35" s="799"/>
      <c r="AJ35" s="800"/>
      <c r="AK35" s="798" t="str">
        <f>IF(AK34="","",AL34-AK34)</f>
        <v/>
      </c>
      <c r="AL35" s="799"/>
      <c r="AM35" s="800"/>
      <c r="AO35" s="109"/>
      <c r="AP35" s="123"/>
      <c r="AQ35" s="124"/>
      <c r="AR35" s="124"/>
      <c r="AS35" s="124"/>
      <c r="AT35" s="111"/>
    </row>
    <row r="36" spans="1:46">
      <c r="C36" s="96"/>
      <c r="D36" s="96"/>
      <c r="E36" s="96"/>
      <c r="F36" s="97"/>
      <c r="G36" s="96"/>
      <c r="H36" s="96"/>
      <c r="I36" s="96"/>
      <c r="J36" s="96"/>
      <c r="K36" s="96"/>
      <c r="L36" s="96"/>
      <c r="M36" s="96"/>
      <c r="N36" s="96"/>
      <c r="O36" s="97"/>
      <c r="P36" s="96"/>
      <c r="Q36" s="96"/>
      <c r="R36" s="96"/>
      <c r="S36" s="96"/>
      <c r="T36" s="96"/>
      <c r="U36" s="96"/>
      <c r="V36" s="96"/>
      <c r="W36" s="96"/>
      <c r="X36" s="97"/>
      <c r="Y36" s="96"/>
      <c r="Z36" s="96"/>
      <c r="AA36" s="96"/>
      <c r="AB36" s="96"/>
      <c r="AC36" s="96"/>
      <c r="AD36" s="96"/>
      <c r="AE36" s="96"/>
      <c r="AF36" s="96"/>
      <c r="AG36" s="97"/>
      <c r="AH36" s="96"/>
      <c r="AI36" s="96"/>
      <c r="AJ36" s="96"/>
      <c r="AK36" s="96"/>
      <c r="AL36" s="96"/>
      <c r="AM36" s="96"/>
      <c r="AO36" s="109"/>
      <c r="AP36" s="124"/>
      <c r="AQ36" s="124"/>
      <c r="AR36" s="124"/>
      <c r="AS36" s="124"/>
      <c r="AT36" s="111"/>
    </row>
    <row r="37" spans="1:46">
      <c r="C37" s="108"/>
      <c r="D37" s="793">
        <f>Menu!F22</f>
        <v>46174</v>
      </c>
      <c r="E37" s="793"/>
      <c r="F37" s="794"/>
      <c r="G37" s="793">
        <f t="shared" ref="G37" si="25">D37+32</f>
        <v>46206</v>
      </c>
      <c r="H37" s="793"/>
      <c r="I37" s="794"/>
      <c r="J37" s="793">
        <f t="shared" ref="J37" si="26">G37+32</f>
        <v>46238</v>
      </c>
      <c r="K37" s="793"/>
      <c r="L37" s="794"/>
      <c r="M37" s="793">
        <f t="shared" ref="M37" si="27">J37+32</f>
        <v>46270</v>
      </c>
      <c r="N37" s="793"/>
      <c r="O37" s="794"/>
      <c r="P37" s="793">
        <f t="shared" ref="P37" si="28">M37+32</f>
        <v>46302</v>
      </c>
      <c r="Q37" s="793"/>
      <c r="R37" s="794"/>
      <c r="S37" s="793">
        <f t="shared" ref="S37" si="29">P37+32</f>
        <v>46334</v>
      </c>
      <c r="T37" s="793"/>
      <c r="U37" s="794"/>
      <c r="V37" s="793">
        <f t="shared" ref="V37" si="30">S37+32</f>
        <v>46366</v>
      </c>
      <c r="W37" s="793"/>
      <c r="X37" s="794"/>
      <c r="Y37" s="793">
        <f t="shared" ref="Y37" si="31">V37+32</f>
        <v>46398</v>
      </c>
      <c r="Z37" s="793"/>
      <c r="AA37" s="794"/>
      <c r="AB37" s="793">
        <f t="shared" ref="AB37" si="32">Y37+32</f>
        <v>46430</v>
      </c>
      <c r="AC37" s="793"/>
      <c r="AD37" s="794"/>
      <c r="AE37" s="793">
        <f t="shared" ref="AE37" si="33">AB37+32</f>
        <v>46462</v>
      </c>
      <c r="AF37" s="793"/>
      <c r="AG37" s="794"/>
      <c r="AH37" s="793">
        <f t="shared" ref="AH37" si="34">AE37+32</f>
        <v>46494</v>
      </c>
      <c r="AI37" s="793"/>
      <c r="AJ37" s="794"/>
      <c r="AK37" s="793">
        <f t="shared" ref="AK37" si="35">AH37+32</f>
        <v>46526</v>
      </c>
      <c r="AL37" s="793"/>
      <c r="AM37" s="794"/>
      <c r="AO37" s="109"/>
      <c r="AP37" s="110"/>
      <c r="AQ37" s="124"/>
      <c r="AR37" s="124"/>
      <c r="AS37" s="124"/>
      <c r="AT37" s="111"/>
    </row>
    <row r="38" spans="1:46">
      <c r="C38" s="96"/>
      <c r="D38" s="113" t="s">
        <v>58</v>
      </c>
      <c r="E38" s="113" t="s">
        <v>59</v>
      </c>
      <c r="F38" s="114"/>
      <c r="G38" s="113" t="s">
        <v>58</v>
      </c>
      <c r="H38" s="113" t="s">
        <v>59</v>
      </c>
      <c r="I38" s="114"/>
      <c r="J38" s="113" t="s">
        <v>58</v>
      </c>
      <c r="K38" s="113" t="s">
        <v>59</v>
      </c>
      <c r="L38" s="114"/>
      <c r="M38" s="113" t="s">
        <v>58</v>
      </c>
      <c r="N38" s="113" t="s">
        <v>59</v>
      </c>
      <c r="O38" s="114"/>
      <c r="P38" s="113" t="s">
        <v>58</v>
      </c>
      <c r="Q38" s="113" t="s">
        <v>59</v>
      </c>
      <c r="R38" s="114"/>
      <c r="S38" s="113" t="s">
        <v>58</v>
      </c>
      <c r="T38" s="113" t="s">
        <v>59</v>
      </c>
      <c r="U38" s="114"/>
      <c r="V38" s="113" t="s">
        <v>58</v>
      </c>
      <c r="W38" s="113" t="s">
        <v>59</v>
      </c>
      <c r="X38" s="114"/>
      <c r="Y38" s="113" t="s">
        <v>58</v>
      </c>
      <c r="Z38" s="113" t="s">
        <v>59</v>
      </c>
      <c r="AA38" s="114"/>
      <c r="AB38" s="113" t="s">
        <v>58</v>
      </c>
      <c r="AC38" s="113" t="s">
        <v>59</v>
      </c>
      <c r="AD38" s="114"/>
      <c r="AE38" s="113" t="s">
        <v>58</v>
      </c>
      <c r="AF38" s="113" t="s">
        <v>59</v>
      </c>
      <c r="AG38" s="114"/>
      <c r="AH38" s="113" t="s">
        <v>58</v>
      </c>
      <c r="AI38" s="113" t="s">
        <v>59</v>
      </c>
      <c r="AJ38" s="114"/>
      <c r="AK38" s="113" t="s">
        <v>58</v>
      </c>
      <c r="AL38" s="113" t="s">
        <v>59</v>
      </c>
      <c r="AM38" s="114"/>
      <c r="AO38" s="109"/>
      <c r="AP38" s="124"/>
      <c r="AQ38" s="124"/>
      <c r="AR38" s="124"/>
      <c r="AS38" s="124"/>
      <c r="AT38" s="111"/>
    </row>
    <row r="39" spans="1:46" ht="17">
      <c r="C39" s="128" t="s">
        <v>372</v>
      </c>
      <c r="D39" s="129" t="str">
        <f>IF(OR(D17="",D34=""),"",D17-D34)</f>
        <v/>
      </c>
      <c r="E39" s="130">
        <f>E17-E34</f>
        <v>0</v>
      </c>
      <c r="F39" s="131"/>
      <c r="G39" s="129" t="str">
        <f>IF(OR(G17="",G34=""),"",G17-G34)</f>
        <v/>
      </c>
      <c r="H39" s="130">
        <f>H17-H34</f>
        <v>0</v>
      </c>
      <c r="I39" s="131"/>
      <c r="J39" s="129" t="str">
        <f>IF(OR(J17="",J34=""),"",J17-J34)</f>
        <v/>
      </c>
      <c r="K39" s="130">
        <f>K17-K34</f>
        <v>0</v>
      </c>
      <c r="L39" s="131"/>
      <c r="M39" s="129" t="str">
        <f>IF(OR(M17="",M34=""),"",M17-M34)</f>
        <v/>
      </c>
      <c r="N39" s="130">
        <f>N17-N34</f>
        <v>0</v>
      </c>
      <c r="O39" s="131"/>
      <c r="P39" s="129" t="str">
        <f>IF(OR(P17="",P34=""),"",P17-P34)</f>
        <v/>
      </c>
      <c r="Q39" s="130">
        <f>Q17-Q34</f>
        <v>0</v>
      </c>
      <c r="R39" s="131"/>
      <c r="S39" s="129" t="str">
        <f>IF(OR(S17="",S34=""),"",S17-S34)</f>
        <v/>
      </c>
      <c r="T39" s="130">
        <f>T17-T34</f>
        <v>0</v>
      </c>
      <c r="U39" s="131"/>
      <c r="V39" s="129" t="str">
        <f>IF(OR(V17="",V34=""),"",V17-V34)</f>
        <v/>
      </c>
      <c r="W39" s="130">
        <f>W17-W34</f>
        <v>0</v>
      </c>
      <c r="X39" s="131"/>
      <c r="Y39" s="129" t="str">
        <f>IF(OR(Y17="",Y34=""),"",Y17-Y34)</f>
        <v/>
      </c>
      <c r="Z39" s="130">
        <f>Z17-Z34</f>
        <v>0</v>
      </c>
      <c r="AA39" s="131"/>
      <c r="AB39" s="129" t="str">
        <f>IF(OR(AB17="",AB34=""),"",AB17-AB34)</f>
        <v/>
      </c>
      <c r="AC39" s="130">
        <f>AC17-AC34</f>
        <v>0</v>
      </c>
      <c r="AD39" s="131"/>
      <c r="AE39" s="129" t="str">
        <f>IF(OR(AE17="",AE34=""),"",AE17-AE34)</f>
        <v/>
      </c>
      <c r="AF39" s="130">
        <f>AF17-AF34</f>
        <v>0</v>
      </c>
      <c r="AG39" s="131"/>
      <c r="AH39" s="129" t="str">
        <f>IF(OR(AH17="",AH34=""),"",AH17-AH34)</f>
        <v/>
      </c>
      <c r="AI39" s="130">
        <f>AI17-AI34</f>
        <v>0</v>
      </c>
      <c r="AJ39" s="131"/>
      <c r="AK39" s="129" t="str">
        <f>IF(OR(AK17="",AK34=""),"",AK17-AK34)</f>
        <v/>
      </c>
      <c r="AL39" s="130">
        <f>AL17-AL34</f>
        <v>0</v>
      </c>
      <c r="AM39" s="131"/>
      <c r="AO39" s="109"/>
      <c r="AP39" s="132" t="s">
        <v>373</v>
      </c>
      <c r="AQ39" s="787">
        <f>AQ17-AQ34</f>
        <v>0</v>
      </c>
      <c r="AR39" s="788"/>
      <c r="AS39" s="789"/>
      <c r="AT39" s="111"/>
    </row>
    <row r="40" spans="1:46">
      <c r="C40" s="96"/>
      <c r="D40" s="96"/>
      <c r="E40" s="96"/>
      <c r="F40" s="97"/>
      <c r="G40" s="96"/>
      <c r="H40" s="96"/>
      <c r="I40" s="96"/>
      <c r="J40" s="96"/>
      <c r="K40" s="96"/>
      <c r="L40" s="96"/>
      <c r="M40" s="96"/>
      <c r="N40" s="96"/>
      <c r="O40" s="97"/>
      <c r="P40" s="96"/>
      <c r="Q40" s="96"/>
      <c r="R40" s="96"/>
      <c r="S40" s="96"/>
      <c r="T40" s="96"/>
      <c r="U40" s="96"/>
      <c r="V40" s="96"/>
      <c r="W40" s="96"/>
      <c r="X40" s="97"/>
      <c r="Y40" s="96"/>
      <c r="Z40" s="96"/>
      <c r="AA40" s="96"/>
      <c r="AB40" s="96"/>
      <c r="AC40" s="96"/>
      <c r="AD40" s="96"/>
      <c r="AE40" s="96"/>
      <c r="AF40" s="96"/>
      <c r="AG40" s="97"/>
      <c r="AH40" s="96"/>
      <c r="AI40" s="96"/>
      <c r="AJ40" s="96"/>
      <c r="AK40" s="96"/>
      <c r="AL40" s="96"/>
      <c r="AM40" s="96"/>
      <c r="AO40" s="109"/>
      <c r="AP40" s="124"/>
      <c r="AQ40" s="124"/>
      <c r="AR40" s="124"/>
      <c r="AS40" s="124"/>
      <c r="AT40" s="111"/>
    </row>
    <row r="41" spans="1:46">
      <c r="A41" s="133"/>
      <c r="C41" s="96"/>
      <c r="D41" s="96"/>
      <c r="E41" s="96"/>
      <c r="F41" s="97"/>
      <c r="G41" s="96"/>
      <c r="H41" s="96"/>
      <c r="I41" s="96"/>
      <c r="J41" s="96"/>
      <c r="K41" s="96"/>
      <c r="L41" s="96"/>
      <c r="M41" s="96"/>
      <c r="N41" s="96"/>
      <c r="O41" s="97"/>
      <c r="P41" s="96"/>
      <c r="Q41" s="96"/>
      <c r="R41" s="96"/>
      <c r="S41" s="96"/>
      <c r="T41" s="96"/>
      <c r="U41" s="96"/>
      <c r="V41" s="96"/>
      <c r="W41" s="96"/>
      <c r="X41" s="97"/>
      <c r="Y41" s="96"/>
      <c r="Z41" s="96"/>
      <c r="AA41" s="96"/>
      <c r="AB41" s="96"/>
      <c r="AC41" s="96"/>
      <c r="AD41" s="96"/>
      <c r="AE41" s="96"/>
      <c r="AF41" s="96"/>
      <c r="AG41" s="97"/>
      <c r="AH41" s="96"/>
      <c r="AI41" s="96"/>
      <c r="AJ41" s="96"/>
      <c r="AK41" s="96"/>
      <c r="AL41" s="96"/>
      <c r="AM41" s="96"/>
      <c r="AO41" s="109"/>
      <c r="AP41" s="124"/>
      <c r="AQ41" s="124"/>
      <c r="AR41" s="124"/>
      <c r="AS41" s="124"/>
      <c r="AT41" s="111"/>
    </row>
    <row r="42" spans="1:46" ht="17">
      <c r="A42" s="134" t="s">
        <v>390</v>
      </c>
      <c r="C42" s="135" t="s">
        <v>404</v>
      </c>
      <c r="D42" s="790">
        <f>A43+E39</f>
        <v>0</v>
      </c>
      <c r="E42" s="791"/>
      <c r="F42" s="792"/>
      <c r="G42" s="790">
        <f>D42+H39</f>
        <v>0</v>
      </c>
      <c r="H42" s="791"/>
      <c r="I42" s="792"/>
      <c r="J42" s="790">
        <f>G42+K39</f>
        <v>0</v>
      </c>
      <c r="K42" s="791"/>
      <c r="L42" s="792"/>
      <c r="M42" s="790">
        <f>J42+N39</f>
        <v>0</v>
      </c>
      <c r="N42" s="791"/>
      <c r="O42" s="792"/>
      <c r="P42" s="790">
        <f>M42+Q39</f>
        <v>0</v>
      </c>
      <c r="Q42" s="791"/>
      <c r="R42" s="792"/>
      <c r="S42" s="790">
        <f>P42+T39</f>
        <v>0</v>
      </c>
      <c r="T42" s="791"/>
      <c r="U42" s="792"/>
      <c r="V42" s="790">
        <f>S42+W39</f>
        <v>0</v>
      </c>
      <c r="W42" s="791"/>
      <c r="X42" s="792"/>
      <c r="Y42" s="790">
        <f>V42+Z39</f>
        <v>0</v>
      </c>
      <c r="Z42" s="791"/>
      <c r="AA42" s="792"/>
      <c r="AB42" s="790">
        <f>Y42+AC39</f>
        <v>0</v>
      </c>
      <c r="AC42" s="791"/>
      <c r="AD42" s="792"/>
      <c r="AE42" s="790">
        <f>AB42+AF39</f>
        <v>0</v>
      </c>
      <c r="AF42" s="791"/>
      <c r="AG42" s="792"/>
      <c r="AH42" s="790">
        <f>AE42+AI39</f>
        <v>0</v>
      </c>
      <c r="AI42" s="791"/>
      <c r="AJ42" s="792"/>
      <c r="AK42" s="790">
        <f>AH42+AL39</f>
        <v>0</v>
      </c>
      <c r="AL42" s="791"/>
      <c r="AM42" s="792"/>
      <c r="AO42" s="109"/>
      <c r="AP42" s="136" t="s">
        <v>374</v>
      </c>
      <c r="AQ42" s="787">
        <f>AK42</f>
        <v>0</v>
      </c>
      <c r="AR42" s="788"/>
      <c r="AS42" s="789"/>
      <c r="AT42" s="111"/>
    </row>
    <row r="43" spans="1:46" ht="14" thickBot="1">
      <c r="A43" s="152">
        <v>0</v>
      </c>
      <c r="C43" s="96"/>
      <c r="D43" s="96"/>
      <c r="E43" s="96"/>
      <c r="F43" s="97"/>
      <c r="G43" s="96"/>
      <c r="H43" s="96"/>
      <c r="I43" s="96"/>
      <c r="J43" s="96"/>
      <c r="K43" s="96"/>
      <c r="L43" s="96"/>
      <c r="M43" s="96"/>
      <c r="N43" s="96"/>
      <c r="O43" s="97"/>
      <c r="P43" s="96"/>
      <c r="Q43" s="96"/>
      <c r="R43" s="96"/>
      <c r="S43" s="96"/>
      <c r="T43" s="96"/>
      <c r="U43" s="96"/>
      <c r="V43" s="96"/>
      <c r="W43" s="96"/>
      <c r="X43" s="97"/>
      <c r="Y43" s="96"/>
      <c r="Z43" s="96"/>
      <c r="AA43" s="96"/>
      <c r="AB43" s="96"/>
      <c r="AC43" s="96"/>
      <c r="AD43" s="96"/>
      <c r="AE43" s="96"/>
      <c r="AF43" s="96"/>
      <c r="AG43" s="97"/>
      <c r="AH43" s="96"/>
      <c r="AI43" s="96"/>
      <c r="AJ43" s="96"/>
      <c r="AK43" s="96"/>
      <c r="AL43" s="96"/>
      <c r="AM43" s="96"/>
      <c r="AO43" s="137"/>
      <c r="AP43" s="138"/>
      <c r="AQ43" s="138"/>
      <c r="AR43" s="138"/>
      <c r="AS43" s="138"/>
      <c r="AT43" s="139"/>
    </row>
    <row r="44" spans="1:46">
      <c r="C44" s="96"/>
      <c r="D44" s="96"/>
      <c r="E44" s="96"/>
      <c r="F44" s="97"/>
      <c r="G44" s="96"/>
      <c r="H44" s="96"/>
      <c r="I44" s="96"/>
      <c r="J44" s="96"/>
      <c r="K44" s="96"/>
      <c r="L44" s="96"/>
      <c r="M44" s="96"/>
      <c r="N44" s="96"/>
      <c r="O44" s="97"/>
      <c r="P44" s="96"/>
      <c r="Q44" s="96"/>
      <c r="R44" s="96"/>
      <c r="S44" s="96"/>
      <c r="T44" s="96"/>
      <c r="U44" s="96"/>
      <c r="V44" s="96"/>
      <c r="W44" s="96"/>
      <c r="X44" s="97"/>
      <c r="Y44" s="96"/>
      <c r="Z44" s="96"/>
      <c r="AA44" s="96"/>
      <c r="AB44" s="96"/>
      <c r="AC44" s="96"/>
      <c r="AD44" s="96"/>
      <c r="AE44" s="96"/>
      <c r="AF44" s="96"/>
      <c r="AG44" s="97"/>
      <c r="AH44" s="96"/>
      <c r="AI44" s="96"/>
      <c r="AJ44" s="96"/>
      <c r="AK44" s="96"/>
      <c r="AL44" s="96"/>
      <c r="AM44" s="96"/>
      <c r="AP44" s="96"/>
      <c r="AQ44" s="96"/>
      <c r="AR44" s="96"/>
      <c r="AS44" s="96"/>
    </row>
    <row r="45" spans="1:46">
      <c r="C45" s="140" t="s">
        <v>375</v>
      </c>
      <c r="D45" s="96"/>
      <c r="E45" s="96"/>
      <c r="F45" s="97"/>
      <c r="G45" s="96"/>
      <c r="H45" s="96"/>
      <c r="I45" s="96"/>
      <c r="J45" s="96"/>
      <c r="K45" s="96"/>
      <c r="L45" s="96"/>
      <c r="M45" s="96"/>
      <c r="N45" s="96"/>
      <c r="O45" s="97"/>
      <c r="P45" s="96"/>
      <c r="Q45" s="96"/>
      <c r="R45" s="96"/>
      <c r="S45" s="96"/>
      <c r="T45" s="96"/>
      <c r="U45" s="96"/>
      <c r="V45" s="96"/>
      <c r="W45" s="96"/>
      <c r="X45" s="97"/>
      <c r="Y45" s="96"/>
      <c r="Z45" s="96"/>
      <c r="AA45" s="96"/>
      <c r="AB45" s="96"/>
      <c r="AC45" s="96"/>
      <c r="AD45" s="96"/>
      <c r="AE45" s="96"/>
      <c r="AF45" s="96"/>
      <c r="AG45" s="97"/>
      <c r="AH45" s="96"/>
      <c r="AI45" s="96"/>
      <c r="AJ45" s="96"/>
      <c r="AK45" s="96"/>
      <c r="AL45" s="96"/>
      <c r="AM45" s="96"/>
      <c r="AP45" s="140"/>
      <c r="AQ45" s="96"/>
      <c r="AR45" s="96"/>
      <c r="AS45" s="96"/>
    </row>
    <row r="46" spans="1:46">
      <c r="C46" s="108"/>
      <c r="D46" s="141"/>
      <c r="E46" s="141"/>
      <c r="F46" s="142"/>
      <c r="G46" s="141"/>
      <c r="H46" s="141"/>
      <c r="I46" s="141"/>
      <c r="J46" s="141"/>
      <c r="K46" s="141"/>
      <c r="L46" s="141"/>
      <c r="M46" s="141"/>
      <c r="N46" s="141"/>
      <c r="O46" s="142"/>
      <c r="P46" s="96"/>
      <c r="Q46" s="96"/>
      <c r="R46" s="96"/>
      <c r="S46" s="96"/>
      <c r="T46" s="96"/>
      <c r="U46" s="96"/>
      <c r="V46" s="96"/>
      <c r="W46" s="96"/>
      <c r="X46" s="97"/>
      <c r="Y46" s="96"/>
      <c r="Z46" s="96"/>
      <c r="AA46" s="96"/>
      <c r="AB46" s="96"/>
      <c r="AC46" s="96"/>
      <c r="AD46" s="96"/>
      <c r="AE46" s="96"/>
      <c r="AF46" s="96"/>
      <c r="AG46" s="97"/>
      <c r="AH46" s="96"/>
      <c r="AI46" s="96"/>
      <c r="AJ46" s="96"/>
      <c r="AK46" s="96"/>
      <c r="AL46" s="96"/>
      <c r="AM46" s="96"/>
      <c r="AP46" s="108"/>
      <c r="AQ46" s="96"/>
      <c r="AR46" s="96"/>
      <c r="AS46" s="96"/>
    </row>
    <row r="47" spans="1:46">
      <c r="C47" s="143" t="s">
        <v>383</v>
      </c>
      <c r="D47" s="141"/>
      <c r="E47" s="141"/>
      <c r="F47" s="142"/>
      <c r="G47" s="141"/>
      <c r="H47" s="141"/>
      <c r="I47" s="96"/>
      <c r="J47" s="96"/>
      <c r="K47" s="96"/>
      <c r="L47" s="96"/>
      <c r="M47" s="96"/>
      <c r="N47" s="96"/>
      <c r="O47" s="97"/>
      <c r="P47" s="96"/>
      <c r="Q47" s="96"/>
      <c r="R47" s="96"/>
      <c r="S47" s="96"/>
      <c r="T47" s="96"/>
      <c r="U47" s="96"/>
      <c r="V47" s="96"/>
      <c r="W47" s="96"/>
      <c r="X47" s="97"/>
      <c r="Y47" s="96"/>
      <c r="Z47" s="96"/>
      <c r="AA47" s="96"/>
      <c r="AB47" s="96"/>
      <c r="AC47" s="96"/>
      <c r="AD47" s="96"/>
      <c r="AE47" s="96"/>
      <c r="AF47" s="96"/>
      <c r="AG47" s="97"/>
      <c r="AH47" s="96"/>
      <c r="AI47" s="96"/>
      <c r="AJ47" s="96"/>
      <c r="AK47" s="96"/>
      <c r="AL47" s="96"/>
      <c r="AM47" s="96"/>
      <c r="AP47" s="143"/>
      <c r="AQ47" s="96"/>
      <c r="AR47" s="96"/>
      <c r="AS47" s="96"/>
    </row>
    <row r="48" spans="1:46">
      <c r="C48" s="144" t="s">
        <v>0</v>
      </c>
      <c r="D48" s="784"/>
      <c r="E48" s="785"/>
      <c r="F48" s="785"/>
      <c r="G48" s="785"/>
      <c r="H48" s="785"/>
      <c r="I48" s="302"/>
      <c r="J48" s="784"/>
      <c r="K48" s="785"/>
      <c r="L48" s="785"/>
      <c r="M48" s="785"/>
      <c r="N48" s="785"/>
      <c r="O48" s="97"/>
      <c r="P48" s="96"/>
      <c r="Q48" s="96"/>
      <c r="R48" s="96"/>
      <c r="S48" s="96"/>
      <c r="T48" s="96"/>
      <c r="U48" s="96"/>
      <c r="V48" s="96"/>
      <c r="W48" s="96"/>
      <c r="X48" s="97"/>
      <c r="Y48" s="96"/>
      <c r="Z48" s="96"/>
      <c r="AA48" s="96"/>
      <c r="AB48" s="96"/>
      <c r="AC48" s="96"/>
      <c r="AD48" s="96"/>
      <c r="AE48" s="96"/>
      <c r="AF48" s="96"/>
      <c r="AG48" s="97"/>
      <c r="AH48" s="96"/>
      <c r="AI48" s="96"/>
      <c r="AJ48" s="96"/>
      <c r="AK48" s="96"/>
      <c r="AL48" s="96"/>
      <c r="AM48" s="96"/>
      <c r="AP48" s="96"/>
      <c r="AQ48" s="96"/>
      <c r="AR48" s="96"/>
      <c r="AS48" s="96"/>
    </row>
    <row r="49" spans="3:45">
      <c r="C49" s="144" t="s">
        <v>384</v>
      </c>
      <c r="D49" s="784"/>
      <c r="E49" s="785"/>
      <c r="F49" s="785"/>
      <c r="G49" s="785"/>
      <c r="H49" s="785"/>
      <c r="I49" s="303"/>
      <c r="J49" s="784"/>
      <c r="K49" s="785"/>
      <c r="L49" s="785"/>
      <c r="M49" s="785"/>
      <c r="N49" s="785"/>
      <c r="O49" s="97"/>
      <c r="P49" s="96"/>
      <c r="Q49" s="96"/>
      <c r="R49" s="96"/>
      <c r="S49" s="96"/>
      <c r="T49" s="96"/>
      <c r="U49" s="96"/>
      <c r="V49" s="96"/>
      <c r="W49" s="96"/>
      <c r="X49" s="97"/>
      <c r="Y49" s="96"/>
      <c r="Z49" s="96"/>
      <c r="AA49" s="96"/>
      <c r="AB49" s="96"/>
      <c r="AC49" s="96"/>
      <c r="AD49" s="96"/>
      <c r="AE49" s="96"/>
      <c r="AF49" s="96"/>
      <c r="AG49" s="97"/>
      <c r="AH49" s="96"/>
      <c r="AI49" s="96"/>
      <c r="AJ49" s="96"/>
      <c r="AK49" s="96"/>
      <c r="AL49" s="96"/>
      <c r="AM49" s="96"/>
      <c r="AP49" s="96"/>
      <c r="AQ49" s="96"/>
      <c r="AR49" s="96"/>
      <c r="AS49" s="96"/>
    </row>
    <row r="50" spans="3:45">
      <c r="C50" s="144" t="s">
        <v>385</v>
      </c>
      <c r="D50" s="784"/>
      <c r="E50" s="785"/>
      <c r="F50" s="785"/>
      <c r="G50" s="785"/>
      <c r="H50" s="785"/>
      <c r="I50" s="302"/>
      <c r="J50" s="784"/>
      <c r="K50" s="785"/>
      <c r="L50" s="785"/>
      <c r="M50" s="785"/>
      <c r="N50" s="785"/>
      <c r="O50" s="97"/>
      <c r="P50" s="96"/>
      <c r="Q50" s="96"/>
      <c r="R50" s="96"/>
      <c r="S50" s="96"/>
      <c r="T50" s="96"/>
      <c r="U50" s="96"/>
      <c r="V50" s="96"/>
      <c r="W50" s="96"/>
      <c r="X50" s="97"/>
      <c r="Y50" s="96"/>
      <c r="Z50" s="96"/>
      <c r="AA50" s="96"/>
      <c r="AB50" s="96"/>
      <c r="AC50" s="96"/>
      <c r="AD50" s="96"/>
      <c r="AE50" s="96"/>
      <c r="AF50" s="96"/>
      <c r="AG50" s="97"/>
      <c r="AH50" s="96"/>
      <c r="AI50" s="96"/>
      <c r="AJ50" s="96"/>
      <c r="AK50" s="96"/>
      <c r="AL50" s="96"/>
      <c r="AM50" s="96"/>
      <c r="AP50" s="96"/>
      <c r="AQ50" s="96"/>
      <c r="AR50" s="96"/>
      <c r="AS50" s="96"/>
    </row>
    <row r="51" spans="3:45">
      <c r="C51" s="144" t="s">
        <v>386</v>
      </c>
      <c r="D51" s="784"/>
      <c r="E51" s="785"/>
      <c r="F51" s="785"/>
      <c r="G51" s="785"/>
      <c r="H51" s="785"/>
      <c r="I51" s="302"/>
      <c r="J51" s="784"/>
      <c r="K51" s="785"/>
      <c r="L51" s="785"/>
      <c r="M51" s="785"/>
      <c r="N51" s="785"/>
      <c r="O51" s="97"/>
      <c r="P51" s="96"/>
      <c r="Q51" s="96"/>
      <c r="R51" s="96"/>
      <c r="S51" s="96"/>
      <c r="T51" s="96"/>
      <c r="U51" s="96"/>
      <c r="V51" s="96"/>
      <c r="W51" s="96"/>
      <c r="X51" s="97"/>
      <c r="Y51" s="96"/>
      <c r="Z51" s="96"/>
      <c r="AA51" s="96"/>
      <c r="AB51" s="96"/>
      <c r="AC51" s="96"/>
      <c r="AD51" s="96"/>
      <c r="AE51" s="96"/>
      <c r="AF51" s="96"/>
      <c r="AG51" s="97"/>
      <c r="AH51" s="96"/>
      <c r="AI51" s="96"/>
      <c r="AJ51" s="96"/>
      <c r="AK51" s="96"/>
      <c r="AL51" s="96"/>
      <c r="AM51" s="96"/>
      <c r="AP51" s="96"/>
      <c r="AQ51" s="96"/>
      <c r="AR51" s="96"/>
      <c r="AS51" s="96"/>
    </row>
    <row r="52" spans="3:45" ht="34.5" customHeight="1">
      <c r="C52" s="145" t="s">
        <v>387</v>
      </c>
      <c r="D52" s="781"/>
      <c r="E52" s="782"/>
      <c r="F52" s="782"/>
      <c r="G52" s="782"/>
      <c r="H52" s="782"/>
      <c r="I52" s="302"/>
      <c r="J52" s="781"/>
      <c r="K52" s="782"/>
      <c r="L52" s="782"/>
      <c r="M52" s="782"/>
      <c r="N52" s="782"/>
      <c r="O52" s="97"/>
      <c r="P52" s="96"/>
      <c r="Q52" s="96"/>
      <c r="R52" s="96"/>
      <c r="S52" s="96"/>
      <c r="T52" s="96"/>
      <c r="U52" s="96"/>
      <c r="V52" s="96"/>
      <c r="W52" s="96"/>
      <c r="X52" s="97"/>
      <c r="Y52" s="96"/>
      <c r="Z52" s="96"/>
      <c r="AA52" s="96"/>
      <c r="AB52" s="96"/>
      <c r="AC52" s="96"/>
      <c r="AD52" s="96"/>
      <c r="AE52" s="96"/>
      <c r="AF52" s="96"/>
      <c r="AG52" s="97"/>
      <c r="AH52" s="96"/>
      <c r="AI52" s="96"/>
      <c r="AJ52" s="96"/>
      <c r="AK52" s="96"/>
      <c r="AL52" s="96"/>
      <c r="AM52" s="96"/>
      <c r="AP52" s="96"/>
      <c r="AQ52" s="96"/>
      <c r="AR52" s="96"/>
      <c r="AS52" s="96"/>
    </row>
    <row r="53" spans="3:45">
      <c r="C53" s="146"/>
      <c r="D53" s="302"/>
      <c r="E53" s="302"/>
      <c r="F53" s="304"/>
      <c r="G53" s="302"/>
      <c r="H53" s="302"/>
      <c r="I53" s="302"/>
      <c r="J53" s="302"/>
      <c r="K53" s="302"/>
      <c r="L53" s="302"/>
      <c r="M53" s="302"/>
      <c r="N53" s="302"/>
      <c r="O53" s="97"/>
      <c r="P53" s="96"/>
      <c r="Q53" s="96"/>
      <c r="R53" s="96"/>
      <c r="S53" s="96"/>
      <c r="T53" s="96"/>
      <c r="U53" s="96"/>
      <c r="V53" s="96"/>
      <c r="W53" s="96"/>
      <c r="X53" s="97"/>
      <c r="Y53" s="96"/>
      <c r="Z53" s="96"/>
      <c r="AA53" s="96"/>
      <c r="AB53" s="96"/>
      <c r="AC53" s="96"/>
      <c r="AD53" s="96"/>
      <c r="AE53" s="96"/>
      <c r="AF53" s="96"/>
      <c r="AG53" s="97"/>
      <c r="AH53" s="96"/>
      <c r="AI53" s="96"/>
      <c r="AJ53" s="96"/>
      <c r="AK53" s="96"/>
      <c r="AL53" s="96"/>
      <c r="AM53" s="96"/>
      <c r="AP53" s="96"/>
      <c r="AQ53" s="96"/>
      <c r="AR53" s="96"/>
      <c r="AS53" s="96"/>
    </row>
    <row r="54" spans="3:45">
      <c r="C54" s="143" t="s">
        <v>376</v>
      </c>
      <c r="D54" s="302"/>
      <c r="E54" s="302"/>
      <c r="F54" s="304"/>
      <c r="G54" s="302"/>
      <c r="H54" s="302"/>
      <c r="I54" s="153"/>
      <c r="J54" s="153"/>
      <c r="K54" s="153"/>
      <c r="L54" s="153"/>
      <c r="M54" s="153"/>
      <c r="N54" s="153"/>
      <c r="O54" s="147"/>
      <c r="P54" s="96"/>
      <c r="Q54" s="96"/>
      <c r="R54" s="96"/>
      <c r="S54" s="96"/>
      <c r="T54" s="96"/>
      <c r="U54" s="96"/>
      <c r="V54" s="96"/>
      <c r="W54" s="96"/>
      <c r="X54" s="97"/>
      <c r="Y54" s="96"/>
      <c r="Z54" s="96"/>
      <c r="AA54" s="96"/>
      <c r="AB54" s="96"/>
      <c r="AC54" s="96"/>
      <c r="AD54" s="96"/>
      <c r="AE54" s="96"/>
      <c r="AF54" s="96"/>
      <c r="AG54" s="97"/>
      <c r="AH54" s="96"/>
      <c r="AI54" s="96"/>
      <c r="AJ54" s="96"/>
      <c r="AK54" s="96"/>
      <c r="AL54" s="96"/>
      <c r="AM54" s="96"/>
      <c r="AP54" s="143"/>
      <c r="AQ54" s="96"/>
      <c r="AR54" s="96"/>
      <c r="AS54" s="96"/>
    </row>
    <row r="55" spans="3:45">
      <c r="C55" s="144" t="s">
        <v>399</v>
      </c>
      <c r="D55" s="305"/>
      <c r="E55" s="305"/>
      <c r="F55" s="306"/>
      <c r="G55" s="305"/>
      <c r="H55" s="305"/>
      <c r="I55" s="153"/>
      <c r="J55" s="305"/>
      <c r="K55" s="305"/>
      <c r="L55" s="306"/>
      <c r="M55" s="305"/>
      <c r="N55" s="305"/>
      <c r="O55" s="147"/>
      <c r="P55" s="96"/>
      <c r="Q55" s="96"/>
      <c r="R55" s="96"/>
      <c r="S55" s="96"/>
      <c r="T55" s="96"/>
      <c r="U55" s="96"/>
      <c r="V55" s="96"/>
      <c r="W55" s="96"/>
      <c r="X55" s="97"/>
      <c r="Y55" s="96"/>
      <c r="Z55" s="96"/>
      <c r="AA55" s="96"/>
      <c r="AB55" s="96"/>
      <c r="AC55" s="96"/>
      <c r="AD55" s="96"/>
      <c r="AE55" s="96"/>
      <c r="AF55" s="96"/>
      <c r="AG55" s="97"/>
      <c r="AH55" s="96"/>
      <c r="AI55" s="96"/>
      <c r="AJ55" s="96"/>
      <c r="AK55" s="96"/>
      <c r="AL55" s="96"/>
      <c r="AM55" s="96"/>
      <c r="AP55" s="143"/>
      <c r="AQ55" s="96"/>
      <c r="AR55" s="96"/>
      <c r="AS55" s="96"/>
    </row>
    <row r="56" spans="3:45">
      <c r="C56" s="144" t="s">
        <v>380</v>
      </c>
      <c r="D56" s="305"/>
      <c r="E56" s="305"/>
      <c r="F56" s="306"/>
      <c r="G56" s="305"/>
      <c r="H56" s="305"/>
      <c r="I56" s="153"/>
      <c r="J56" s="305"/>
      <c r="K56" s="305"/>
      <c r="L56" s="306"/>
      <c r="M56" s="305"/>
      <c r="N56" s="305"/>
      <c r="O56" s="141"/>
      <c r="P56" s="96"/>
      <c r="Q56" s="96"/>
      <c r="R56" s="96"/>
      <c r="S56" s="96"/>
      <c r="T56" s="96"/>
      <c r="U56" s="96"/>
      <c r="V56" s="96"/>
      <c r="W56" s="96"/>
      <c r="X56" s="97"/>
      <c r="Y56" s="96"/>
      <c r="Z56" s="96"/>
      <c r="AA56" s="96"/>
      <c r="AB56" s="96"/>
      <c r="AC56" s="96"/>
      <c r="AD56" s="96"/>
      <c r="AE56" s="96"/>
      <c r="AF56" s="96"/>
      <c r="AG56" s="97"/>
      <c r="AH56" s="96"/>
      <c r="AI56" s="96"/>
      <c r="AJ56" s="96"/>
      <c r="AK56" s="96"/>
      <c r="AL56" s="96"/>
      <c r="AM56" s="96"/>
      <c r="AP56" s="143"/>
      <c r="AQ56" s="96"/>
      <c r="AR56" s="96"/>
      <c r="AS56" s="96"/>
    </row>
    <row r="57" spans="3:45">
      <c r="C57" s="144" t="s">
        <v>385</v>
      </c>
      <c r="D57" s="305"/>
      <c r="E57" s="305"/>
      <c r="F57" s="306"/>
      <c r="G57" s="305"/>
      <c r="H57" s="305"/>
      <c r="I57" s="153"/>
      <c r="J57" s="305"/>
      <c r="K57" s="305"/>
      <c r="L57" s="306"/>
      <c r="M57" s="305"/>
      <c r="N57" s="305"/>
      <c r="O57" s="141"/>
      <c r="P57" s="96"/>
      <c r="Q57" s="96"/>
      <c r="R57" s="96"/>
      <c r="S57" s="96"/>
      <c r="T57" s="96"/>
      <c r="U57" s="96"/>
      <c r="V57" s="96"/>
      <c r="W57" s="96"/>
      <c r="X57" s="97"/>
      <c r="Y57" s="96"/>
      <c r="Z57" s="96"/>
      <c r="AA57" s="96"/>
      <c r="AB57" s="96"/>
      <c r="AC57" s="96"/>
      <c r="AD57" s="96"/>
      <c r="AE57" s="96"/>
      <c r="AF57" s="96"/>
      <c r="AG57" s="97"/>
      <c r="AH57" s="96"/>
      <c r="AI57" s="96"/>
      <c r="AJ57" s="96"/>
      <c r="AK57" s="96"/>
      <c r="AL57" s="96"/>
      <c r="AM57" s="96"/>
      <c r="AP57" s="143"/>
      <c r="AQ57" s="96"/>
      <c r="AR57" s="96"/>
      <c r="AS57" s="96"/>
    </row>
    <row r="58" spans="3:45">
      <c r="C58" s="144" t="s">
        <v>386</v>
      </c>
      <c r="D58" s="305"/>
      <c r="E58" s="305"/>
      <c r="F58" s="306"/>
      <c r="G58" s="305"/>
      <c r="H58" s="305"/>
      <c r="I58" s="153"/>
      <c r="J58" s="305"/>
      <c r="K58" s="305"/>
      <c r="L58" s="306"/>
      <c r="M58" s="305"/>
      <c r="N58" s="305"/>
      <c r="O58" s="142"/>
      <c r="P58" s="96"/>
      <c r="Q58" s="96"/>
      <c r="R58" s="96"/>
      <c r="S58" s="96"/>
      <c r="T58" s="96"/>
      <c r="U58" s="96"/>
      <c r="V58" s="96"/>
      <c r="W58" s="96"/>
      <c r="X58" s="97"/>
      <c r="Y58" s="96"/>
      <c r="Z58" s="96"/>
      <c r="AA58" s="96"/>
      <c r="AB58" s="96"/>
      <c r="AC58" s="96"/>
      <c r="AD58" s="96"/>
      <c r="AE58" s="96"/>
      <c r="AF58" s="96"/>
      <c r="AG58" s="97"/>
      <c r="AH58" s="96"/>
      <c r="AI58" s="96"/>
      <c r="AJ58" s="96"/>
      <c r="AK58" s="96"/>
      <c r="AL58" s="96"/>
      <c r="AM58" s="96"/>
      <c r="AP58" s="143"/>
      <c r="AQ58" s="96"/>
      <c r="AR58" s="96"/>
      <c r="AS58" s="96"/>
    </row>
    <row r="59" spans="3:45">
      <c r="C59" s="144" t="s">
        <v>381</v>
      </c>
      <c r="D59" s="305"/>
      <c r="E59" s="305"/>
      <c r="F59" s="306"/>
      <c r="G59" s="305"/>
      <c r="H59" s="305"/>
      <c r="I59" s="153"/>
      <c r="J59" s="305"/>
      <c r="K59" s="305"/>
      <c r="L59" s="306"/>
      <c r="M59" s="305"/>
      <c r="N59" s="305"/>
      <c r="O59" s="142"/>
      <c r="P59" s="96"/>
      <c r="Q59" s="96"/>
      <c r="R59" s="96"/>
      <c r="S59" s="96"/>
      <c r="T59" s="96"/>
      <c r="U59" s="96"/>
      <c r="V59" s="96"/>
      <c r="W59" s="96"/>
      <c r="X59" s="97"/>
      <c r="Y59" s="96"/>
      <c r="Z59" s="96"/>
      <c r="AA59" s="96"/>
      <c r="AB59" s="96"/>
      <c r="AC59" s="96"/>
      <c r="AD59" s="96"/>
      <c r="AE59" s="96"/>
      <c r="AF59" s="96"/>
      <c r="AG59" s="97"/>
      <c r="AH59" s="96"/>
      <c r="AI59" s="96"/>
      <c r="AJ59" s="96"/>
      <c r="AK59" s="96"/>
      <c r="AL59" s="96"/>
      <c r="AM59" s="96"/>
      <c r="AP59" s="143"/>
      <c r="AQ59" s="96"/>
      <c r="AR59" s="96"/>
      <c r="AS59" s="96"/>
    </row>
    <row r="60" spans="3:45" ht="34.5" customHeight="1">
      <c r="C60" s="145" t="s">
        <v>387</v>
      </c>
      <c r="D60" s="781"/>
      <c r="E60" s="782"/>
      <c r="F60" s="782"/>
      <c r="G60" s="782"/>
      <c r="H60" s="782"/>
      <c r="I60" s="302"/>
      <c r="J60" s="781"/>
      <c r="K60" s="782"/>
      <c r="L60" s="782"/>
      <c r="M60" s="782"/>
      <c r="N60" s="782"/>
      <c r="O60" s="97"/>
      <c r="P60" s="96"/>
      <c r="Q60" s="96"/>
      <c r="R60" s="96"/>
      <c r="S60" s="96"/>
      <c r="T60" s="96"/>
      <c r="U60" s="96"/>
      <c r="V60" s="96"/>
      <c r="W60" s="96"/>
      <c r="X60" s="97"/>
      <c r="Y60" s="96"/>
      <c r="Z60" s="96"/>
      <c r="AA60" s="96"/>
      <c r="AB60" s="96"/>
      <c r="AC60" s="96"/>
      <c r="AD60" s="96"/>
      <c r="AE60" s="96"/>
      <c r="AF60" s="96"/>
      <c r="AG60" s="97"/>
      <c r="AH60" s="96"/>
      <c r="AI60" s="96"/>
      <c r="AJ60" s="96"/>
      <c r="AK60" s="96"/>
      <c r="AL60" s="96"/>
      <c r="AM60" s="96"/>
      <c r="AP60" s="96"/>
      <c r="AQ60" s="96"/>
      <c r="AR60" s="96"/>
      <c r="AS60" s="96"/>
    </row>
    <row r="61" spans="3:45">
      <c r="C61" s="146"/>
      <c r="D61" s="302"/>
      <c r="E61" s="302"/>
      <c r="F61" s="304"/>
      <c r="G61" s="302"/>
      <c r="H61" s="302"/>
      <c r="I61" s="153"/>
      <c r="J61" s="302"/>
      <c r="K61" s="302"/>
      <c r="L61" s="304"/>
      <c r="M61" s="302"/>
      <c r="N61" s="302"/>
      <c r="O61" s="142"/>
      <c r="P61" s="96"/>
      <c r="Q61" s="96"/>
      <c r="R61" s="96"/>
      <c r="S61" s="96"/>
      <c r="T61" s="96"/>
      <c r="U61" s="96"/>
      <c r="V61" s="96"/>
      <c r="W61" s="96"/>
      <c r="X61" s="97"/>
      <c r="Y61" s="96"/>
      <c r="Z61" s="96"/>
      <c r="AA61" s="96"/>
      <c r="AB61" s="96"/>
      <c r="AC61" s="96"/>
      <c r="AD61" s="96"/>
      <c r="AE61" s="96"/>
      <c r="AF61" s="96"/>
      <c r="AG61" s="97"/>
      <c r="AH61" s="96"/>
      <c r="AI61" s="96"/>
      <c r="AJ61" s="96"/>
      <c r="AK61" s="96"/>
      <c r="AL61" s="96"/>
      <c r="AM61" s="96"/>
      <c r="AP61" s="143"/>
      <c r="AQ61" s="96"/>
      <c r="AR61" s="96"/>
      <c r="AS61" s="96"/>
    </row>
    <row r="62" spans="3:45">
      <c r="C62" s="143" t="s">
        <v>382</v>
      </c>
      <c r="D62" s="302"/>
      <c r="E62" s="302"/>
      <c r="F62" s="304"/>
      <c r="G62" s="302"/>
      <c r="H62" s="302"/>
      <c r="I62" s="153"/>
      <c r="J62" s="302"/>
      <c r="K62" s="302"/>
      <c r="L62" s="304"/>
      <c r="M62" s="302"/>
      <c r="N62" s="302"/>
      <c r="O62" s="147"/>
      <c r="P62" s="96"/>
      <c r="Q62" s="96"/>
      <c r="R62" s="96"/>
      <c r="S62" s="96"/>
      <c r="T62" s="96"/>
      <c r="U62" s="96"/>
      <c r="V62" s="96"/>
      <c r="W62" s="96"/>
      <c r="X62" s="97"/>
      <c r="Y62" s="96"/>
      <c r="Z62" s="96"/>
      <c r="AA62" s="96"/>
      <c r="AB62" s="96"/>
      <c r="AC62" s="96"/>
      <c r="AD62" s="96"/>
      <c r="AE62" s="96"/>
      <c r="AF62" s="96"/>
      <c r="AG62" s="97"/>
      <c r="AH62" s="96"/>
      <c r="AI62" s="96"/>
      <c r="AJ62" s="96"/>
      <c r="AK62" s="96"/>
      <c r="AL62" s="96"/>
      <c r="AM62" s="96"/>
      <c r="AP62" s="143"/>
      <c r="AQ62" s="96"/>
      <c r="AR62" s="96"/>
      <c r="AS62" s="96"/>
    </row>
    <row r="63" spans="3:45">
      <c r="C63" s="144" t="s">
        <v>399</v>
      </c>
      <c r="D63" s="305"/>
      <c r="E63" s="305"/>
      <c r="F63" s="306"/>
      <c r="G63" s="305"/>
      <c r="H63" s="305"/>
      <c r="I63" s="153"/>
      <c r="J63" s="305"/>
      <c r="K63" s="305"/>
      <c r="L63" s="306"/>
      <c r="M63" s="305"/>
      <c r="N63" s="305"/>
      <c r="O63" s="147"/>
      <c r="P63" s="96"/>
      <c r="Q63" s="96"/>
      <c r="R63" s="96"/>
      <c r="S63" s="96"/>
      <c r="T63" s="96"/>
      <c r="U63" s="96"/>
      <c r="V63" s="96"/>
      <c r="W63" s="96"/>
      <c r="X63" s="97"/>
      <c r="Y63" s="96"/>
      <c r="Z63" s="96"/>
      <c r="AA63" s="96"/>
      <c r="AB63" s="96"/>
      <c r="AC63" s="96"/>
      <c r="AD63" s="96"/>
      <c r="AE63" s="96"/>
      <c r="AF63" s="96"/>
      <c r="AG63" s="97"/>
      <c r="AH63" s="96"/>
      <c r="AI63" s="96"/>
      <c r="AJ63" s="96"/>
      <c r="AK63" s="96"/>
      <c r="AL63" s="96"/>
      <c r="AM63" s="96"/>
      <c r="AP63" s="143"/>
      <c r="AQ63" s="96"/>
      <c r="AR63" s="96"/>
      <c r="AS63" s="96"/>
    </row>
    <row r="64" spans="3:45">
      <c r="C64" s="144" t="s">
        <v>380</v>
      </c>
      <c r="D64" s="305"/>
      <c r="E64" s="305"/>
      <c r="F64" s="306"/>
      <c r="G64" s="305"/>
      <c r="H64" s="305"/>
      <c r="I64" s="153"/>
      <c r="J64" s="305"/>
      <c r="K64" s="305"/>
      <c r="L64" s="306"/>
      <c r="M64" s="305"/>
      <c r="N64" s="305"/>
      <c r="O64" s="141"/>
      <c r="P64" s="96"/>
      <c r="Q64" s="96"/>
      <c r="R64" s="96"/>
      <c r="S64" s="96"/>
      <c r="T64" s="96"/>
      <c r="U64" s="96"/>
      <c r="V64" s="96"/>
      <c r="W64" s="96"/>
      <c r="X64" s="97"/>
      <c r="Y64" s="96"/>
      <c r="Z64" s="96"/>
      <c r="AA64" s="96"/>
      <c r="AB64" s="96"/>
      <c r="AC64" s="96"/>
      <c r="AD64" s="96"/>
      <c r="AE64" s="96"/>
      <c r="AF64" s="96"/>
      <c r="AG64" s="97"/>
      <c r="AH64" s="96"/>
      <c r="AI64" s="96"/>
      <c r="AJ64" s="96"/>
      <c r="AK64" s="96"/>
      <c r="AL64" s="96"/>
      <c r="AM64" s="96"/>
      <c r="AP64" s="143"/>
      <c r="AQ64" s="96"/>
      <c r="AR64" s="96"/>
      <c r="AS64" s="96"/>
    </row>
    <row r="65" spans="3:45">
      <c r="C65" s="144" t="s">
        <v>385</v>
      </c>
      <c r="D65" s="305"/>
      <c r="E65" s="305"/>
      <c r="F65" s="306"/>
      <c r="G65" s="305"/>
      <c r="H65" s="305"/>
      <c r="I65" s="153"/>
      <c r="J65" s="305"/>
      <c r="K65" s="305"/>
      <c r="L65" s="306"/>
      <c r="M65" s="305"/>
      <c r="N65" s="305"/>
      <c r="O65" s="141"/>
      <c r="P65" s="96"/>
      <c r="Q65" s="96"/>
      <c r="R65" s="96"/>
      <c r="S65" s="96"/>
      <c r="T65" s="96"/>
      <c r="U65" s="96"/>
      <c r="V65" s="96"/>
      <c r="W65" s="96"/>
      <c r="X65" s="97"/>
      <c r="Y65" s="96"/>
      <c r="Z65" s="96"/>
      <c r="AA65" s="96"/>
      <c r="AB65" s="96"/>
      <c r="AC65" s="96"/>
      <c r="AD65" s="96"/>
      <c r="AE65" s="96"/>
      <c r="AF65" s="96"/>
      <c r="AG65" s="97"/>
      <c r="AH65" s="96"/>
      <c r="AI65" s="96"/>
      <c r="AJ65" s="96"/>
      <c r="AK65" s="96"/>
      <c r="AL65" s="96"/>
      <c r="AM65" s="96"/>
      <c r="AP65" s="143"/>
      <c r="AQ65" s="96"/>
      <c r="AR65" s="96"/>
      <c r="AS65" s="96"/>
    </row>
    <row r="66" spans="3:45">
      <c r="C66" s="144" t="s">
        <v>386</v>
      </c>
      <c r="D66" s="305"/>
      <c r="E66" s="305"/>
      <c r="F66" s="306"/>
      <c r="G66" s="305"/>
      <c r="H66" s="305"/>
      <c r="I66" s="153"/>
      <c r="J66" s="305"/>
      <c r="K66" s="305"/>
      <c r="L66" s="306"/>
      <c r="M66" s="305"/>
      <c r="N66" s="305"/>
      <c r="O66" s="142"/>
      <c r="P66" s="96"/>
      <c r="Q66" s="96"/>
      <c r="R66" s="96"/>
      <c r="S66" s="96"/>
      <c r="T66" s="96"/>
      <c r="U66" s="96"/>
      <c r="V66" s="96"/>
      <c r="W66" s="96"/>
      <c r="X66" s="97"/>
      <c r="Y66" s="96"/>
      <c r="Z66" s="96"/>
      <c r="AA66" s="96"/>
      <c r="AB66" s="96"/>
      <c r="AC66" s="96"/>
      <c r="AD66" s="96"/>
      <c r="AE66" s="96"/>
      <c r="AF66" s="96"/>
      <c r="AG66" s="97"/>
      <c r="AH66" s="96"/>
      <c r="AI66" s="96"/>
      <c r="AJ66" s="96"/>
      <c r="AK66" s="96"/>
      <c r="AL66" s="96"/>
      <c r="AM66" s="96"/>
      <c r="AP66" s="143"/>
      <c r="AQ66" s="96"/>
      <c r="AR66" s="96"/>
      <c r="AS66" s="96"/>
    </row>
    <row r="67" spans="3:45">
      <c r="C67" s="144" t="s">
        <v>381</v>
      </c>
      <c r="D67" s="305"/>
      <c r="E67" s="305"/>
      <c r="F67" s="306"/>
      <c r="G67" s="305"/>
      <c r="H67" s="305"/>
      <c r="I67" s="153"/>
      <c r="J67" s="305"/>
      <c r="K67" s="305"/>
      <c r="L67" s="306"/>
      <c r="M67" s="305"/>
      <c r="N67" s="305"/>
      <c r="O67" s="142"/>
      <c r="P67" s="96"/>
      <c r="Q67" s="96"/>
      <c r="R67" s="96"/>
      <c r="S67" s="96"/>
      <c r="T67" s="96"/>
      <c r="U67" s="96"/>
      <c r="V67" s="96"/>
      <c r="W67" s="96"/>
      <c r="X67" s="97"/>
      <c r="Y67" s="96"/>
      <c r="Z67" s="96"/>
      <c r="AA67" s="96"/>
      <c r="AB67" s="96"/>
      <c r="AC67" s="96"/>
      <c r="AD67" s="96"/>
      <c r="AE67" s="96"/>
      <c r="AF67" s="96"/>
      <c r="AG67" s="97"/>
      <c r="AH67" s="96"/>
      <c r="AI67" s="96"/>
      <c r="AJ67" s="96"/>
      <c r="AK67" s="96"/>
      <c r="AL67" s="96"/>
      <c r="AM67" s="96"/>
      <c r="AP67" s="143"/>
      <c r="AQ67" s="96"/>
      <c r="AR67" s="96"/>
      <c r="AS67" s="96"/>
    </row>
    <row r="68" spans="3:45" ht="34.5" customHeight="1">
      <c r="C68" s="145" t="s">
        <v>387</v>
      </c>
      <c r="D68" s="781"/>
      <c r="E68" s="782"/>
      <c r="F68" s="782"/>
      <c r="G68" s="782"/>
      <c r="H68" s="782"/>
      <c r="I68" s="302"/>
      <c r="J68" s="781"/>
      <c r="K68" s="782"/>
      <c r="L68" s="782"/>
      <c r="M68" s="782"/>
      <c r="N68" s="782"/>
      <c r="O68" s="97"/>
      <c r="P68" s="96"/>
      <c r="Q68" s="96"/>
      <c r="R68" s="96"/>
      <c r="S68" s="96"/>
      <c r="T68" s="96"/>
      <c r="U68" s="96"/>
      <c r="V68" s="96"/>
      <c r="W68" s="96"/>
      <c r="X68" s="97"/>
      <c r="Y68" s="96"/>
      <c r="Z68" s="96"/>
      <c r="AA68" s="96"/>
      <c r="AB68" s="96"/>
      <c r="AC68" s="96"/>
      <c r="AD68" s="96"/>
      <c r="AE68" s="96"/>
      <c r="AF68" s="96"/>
      <c r="AG68" s="97"/>
      <c r="AH68" s="96"/>
      <c r="AI68" s="96"/>
      <c r="AJ68" s="96"/>
      <c r="AK68" s="96"/>
      <c r="AL68" s="96"/>
      <c r="AM68" s="96"/>
      <c r="AP68" s="96"/>
      <c r="AQ68" s="96"/>
      <c r="AR68" s="96"/>
      <c r="AS68" s="96"/>
    </row>
    <row r="69" spans="3:45">
      <c r="C69" s="143"/>
      <c r="D69" s="153"/>
      <c r="E69" s="153"/>
      <c r="F69" s="154"/>
      <c r="G69" s="153"/>
      <c r="H69" s="153"/>
      <c r="I69" s="153"/>
      <c r="J69" s="153"/>
      <c r="K69" s="153"/>
      <c r="L69" s="153"/>
      <c r="M69" s="153"/>
      <c r="N69" s="153"/>
      <c r="O69" s="142"/>
      <c r="P69" s="96"/>
      <c r="Q69" s="96"/>
      <c r="R69" s="96"/>
      <c r="S69" s="96"/>
      <c r="T69" s="96"/>
      <c r="U69" s="96"/>
      <c r="V69" s="96"/>
      <c r="W69" s="96"/>
      <c r="X69" s="97"/>
      <c r="Y69" s="96"/>
      <c r="Z69" s="96"/>
      <c r="AA69" s="96"/>
      <c r="AB69" s="96"/>
      <c r="AC69" s="96"/>
      <c r="AD69" s="96"/>
      <c r="AE69" s="96"/>
      <c r="AF69" s="96"/>
      <c r="AG69" s="97"/>
      <c r="AH69" s="96"/>
      <c r="AI69" s="96"/>
      <c r="AJ69" s="96"/>
      <c r="AK69" s="96"/>
      <c r="AL69" s="96"/>
      <c r="AM69" s="96"/>
      <c r="AP69" s="143"/>
      <c r="AQ69" s="96"/>
      <c r="AR69" s="96"/>
      <c r="AS69" s="96"/>
    </row>
    <row r="70" spans="3:45">
      <c r="C70" s="143" t="s">
        <v>379</v>
      </c>
      <c r="D70" s="302"/>
      <c r="E70" s="302"/>
      <c r="F70" s="304"/>
      <c r="G70" s="302"/>
      <c r="H70" s="302"/>
      <c r="I70" s="153"/>
      <c r="J70" s="153"/>
      <c r="K70" s="153"/>
      <c r="L70" s="153"/>
      <c r="M70" s="153"/>
      <c r="N70" s="153"/>
      <c r="O70" s="142"/>
      <c r="P70" s="96"/>
      <c r="Q70" s="96"/>
      <c r="R70" s="96"/>
      <c r="S70" s="96"/>
      <c r="T70" s="96"/>
      <c r="U70" s="96"/>
      <c r="V70" s="96"/>
      <c r="W70" s="96"/>
      <c r="X70" s="97"/>
      <c r="Y70" s="96"/>
      <c r="Z70" s="96"/>
      <c r="AA70" s="96"/>
      <c r="AB70" s="96"/>
      <c r="AC70" s="96"/>
      <c r="AD70" s="96"/>
      <c r="AE70" s="96"/>
      <c r="AF70" s="96"/>
      <c r="AG70" s="97"/>
      <c r="AH70" s="96"/>
      <c r="AI70" s="96"/>
      <c r="AJ70" s="96"/>
      <c r="AK70" s="96"/>
      <c r="AL70" s="96"/>
      <c r="AM70" s="96"/>
      <c r="AP70" s="96"/>
      <c r="AQ70" s="96"/>
      <c r="AR70" s="96"/>
      <c r="AS70" s="96"/>
    </row>
    <row r="71" spans="3:45">
      <c r="C71" s="144" t="s">
        <v>400</v>
      </c>
      <c r="D71" s="305"/>
      <c r="E71" s="305"/>
      <c r="F71" s="306"/>
      <c r="G71" s="305"/>
      <c r="H71" s="305"/>
      <c r="I71" s="153"/>
      <c r="J71" s="305"/>
      <c r="K71" s="305"/>
      <c r="L71" s="306"/>
      <c r="M71" s="305"/>
      <c r="N71" s="305"/>
      <c r="O71" s="147"/>
      <c r="P71" s="96"/>
      <c r="Q71" s="96"/>
      <c r="R71" s="96"/>
      <c r="S71" s="96"/>
      <c r="T71" s="96"/>
      <c r="U71" s="96"/>
      <c r="V71" s="96"/>
      <c r="W71" s="96"/>
      <c r="X71" s="97"/>
      <c r="Y71" s="96"/>
      <c r="Z71" s="96"/>
      <c r="AA71" s="96"/>
      <c r="AB71" s="96"/>
      <c r="AC71" s="96"/>
      <c r="AD71" s="96"/>
      <c r="AE71" s="96"/>
      <c r="AF71" s="96"/>
      <c r="AG71" s="97"/>
      <c r="AH71" s="96"/>
      <c r="AI71" s="96"/>
      <c r="AJ71" s="96"/>
      <c r="AK71" s="96"/>
      <c r="AL71" s="96"/>
      <c r="AM71" s="96"/>
      <c r="AP71" s="143"/>
      <c r="AQ71" s="96"/>
      <c r="AR71" s="96"/>
      <c r="AS71" s="96"/>
    </row>
    <row r="72" spans="3:45">
      <c r="C72" s="144" t="s">
        <v>380</v>
      </c>
      <c r="D72" s="305"/>
      <c r="E72" s="305"/>
      <c r="F72" s="306"/>
      <c r="G72" s="305"/>
      <c r="H72" s="305"/>
      <c r="I72" s="153"/>
      <c r="J72" s="305"/>
      <c r="K72" s="305"/>
      <c r="L72" s="306"/>
      <c r="M72" s="305"/>
      <c r="N72" s="305"/>
      <c r="O72" s="141"/>
      <c r="P72" s="96"/>
      <c r="Q72" s="96"/>
      <c r="R72" s="96"/>
      <c r="S72" s="96"/>
      <c r="T72" s="96"/>
      <c r="U72" s="96"/>
      <c r="V72" s="96"/>
      <c r="W72" s="96"/>
      <c r="X72" s="97"/>
      <c r="Y72" s="96"/>
      <c r="Z72" s="96"/>
      <c r="AA72" s="96"/>
      <c r="AB72" s="96"/>
      <c r="AC72" s="96"/>
      <c r="AD72" s="96"/>
      <c r="AE72" s="96"/>
      <c r="AF72" s="96"/>
      <c r="AG72" s="97"/>
      <c r="AH72" s="96"/>
      <c r="AI72" s="96"/>
      <c r="AJ72" s="96"/>
      <c r="AK72" s="96"/>
      <c r="AL72" s="96"/>
      <c r="AM72" s="96"/>
      <c r="AP72" s="143"/>
      <c r="AQ72" s="96"/>
      <c r="AR72" s="96"/>
      <c r="AS72" s="96"/>
    </row>
    <row r="73" spans="3:45">
      <c r="C73" s="144" t="s">
        <v>385</v>
      </c>
      <c r="D73" s="305"/>
      <c r="E73" s="305"/>
      <c r="F73" s="306"/>
      <c r="G73" s="305"/>
      <c r="H73" s="305"/>
      <c r="I73" s="153"/>
      <c r="J73" s="305"/>
      <c r="K73" s="305"/>
      <c r="L73" s="306"/>
      <c r="M73" s="305"/>
      <c r="N73" s="305"/>
      <c r="O73" s="141"/>
      <c r="P73" s="96"/>
      <c r="Q73" s="96"/>
      <c r="R73" s="96"/>
      <c r="S73" s="96"/>
      <c r="T73" s="96"/>
      <c r="U73" s="96"/>
      <c r="V73" s="96"/>
      <c r="W73" s="96"/>
      <c r="X73" s="97"/>
      <c r="Y73" s="96"/>
      <c r="Z73" s="96"/>
      <c r="AA73" s="96"/>
      <c r="AB73" s="96"/>
      <c r="AC73" s="96"/>
      <c r="AD73" s="96"/>
      <c r="AE73" s="96"/>
      <c r="AF73" s="96"/>
      <c r="AG73" s="97"/>
      <c r="AH73" s="96"/>
      <c r="AI73" s="96"/>
      <c r="AJ73" s="96"/>
      <c r="AK73" s="96"/>
      <c r="AL73" s="96"/>
      <c r="AM73" s="96"/>
      <c r="AP73" s="143"/>
      <c r="AQ73" s="96"/>
      <c r="AR73" s="96"/>
      <c r="AS73" s="96"/>
    </row>
    <row r="74" spans="3:45">
      <c r="C74" s="144" t="s">
        <v>386</v>
      </c>
      <c r="D74" s="305"/>
      <c r="E74" s="305"/>
      <c r="F74" s="306"/>
      <c r="G74" s="305"/>
      <c r="H74" s="305"/>
      <c r="I74" s="153"/>
      <c r="J74" s="305"/>
      <c r="K74" s="305"/>
      <c r="L74" s="306"/>
      <c r="M74" s="305"/>
      <c r="N74" s="305"/>
      <c r="O74" s="142"/>
      <c r="P74" s="96"/>
      <c r="Q74" s="96"/>
      <c r="R74" s="96"/>
      <c r="S74" s="96"/>
      <c r="T74" s="96"/>
      <c r="U74" s="96"/>
      <c r="V74" s="96"/>
      <c r="W74" s="96"/>
      <c r="X74" s="97"/>
      <c r="Y74" s="96"/>
      <c r="Z74" s="96"/>
      <c r="AA74" s="96"/>
      <c r="AB74" s="96"/>
      <c r="AC74" s="96"/>
      <c r="AD74" s="96"/>
      <c r="AE74" s="96"/>
      <c r="AF74" s="96"/>
      <c r="AG74" s="97"/>
      <c r="AH74" s="96"/>
      <c r="AI74" s="96"/>
      <c r="AJ74" s="96"/>
      <c r="AK74" s="96"/>
      <c r="AL74" s="96"/>
      <c r="AM74" s="96"/>
      <c r="AP74" s="143"/>
      <c r="AQ74" s="96"/>
      <c r="AR74" s="96"/>
      <c r="AS74" s="96"/>
    </row>
    <row r="75" spans="3:45">
      <c r="C75" s="144" t="s">
        <v>381</v>
      </c>
      <c r="D75" s="305"/>
      <c r="E75" s="305"/>
      <c r="F75" s="306"/>
      <c r="G75" s="305"/>
      <c r="H75" s="305"/>
      <c r="I75" s="153"/>
      <c r="J75" s="305"/>
      <c r="K75" s="305"/>
      <c r="L75" s="306"/>
      <c r="M75" s="305"/>
      <c r="N75" s="305"/>
      <c r="O75" s="142"/>
      <c r="P75" s="96"/>
      <c r="Q75" s="96"/>
      <c r="R75" s="96"/>
      <c r="S75" s="96"/>
      <c r="T75" s="96"/>
      <c r="U75" s="96"/>
      <c r="V75" s="96"/>
      <c r="W75" s="96"/>
      <c r="X75" s="97"/>
      <c r="Y75" s="96"/>
      <c r="Z75" s="96"/>
      <c r="AA75" s="96"/>
      <c r="AB75" s="96"/>
      <c r="AC75" s="96"/>
      <c r="AD75" s="96"/>
      <c r="AE75" s="96"/>
      <c r="AF75" s="96"/>
      <c r="AG75" s="97"/>
      <c r="AH75" s="96"/>
      <c r="AI75" s="96"/>
      <c r="AJ75" s="96"/>
      <c r="AK75" s="96"/>
      <c r="AL75" s="96"/>
      <c r="AM75" s="96"/>
      <c r="AP75" s="143"/>
      <c r="AQ75" s="96"/>
      <c r="AR75" s="96"/>
      <c r="AS75" s="96"/>
    </row>
    <row r="76" spans="3:45" ht="34.5" customHeight="1">
      <c r="C76" s="145" t="s">
        <v>387</v>
      </c>
      <c r="D76" s="781"/>
      <c r="E76" s="782"/>
      <c r="F76" s="782"/>
      <c r="G76" s="782"/>
      <c r="H76" s="782"/>
      <c r="I76" s="302"/>
      <c r="J76" s="781"/>
      <c r="K76" s="782"/>
      <c r="L76" s="782"/>
      <c r="M76" s="782"/>
      <c r="N76" s="782"/>
      <c r="O76" s="97"/>
      <c r="P76" s="96"/>
      <c r="Q76" s="96"/>
      <c r="R76" s="96"/>
      <c r="S76" s="96"/>
      <c r="T76" s="96"/>
      <c r="U76" s="96"/>
      <c r="V76" s="96"/>
      <c r="W76" s="96"/>
      <c r="X76" s="97"/>
      <c r="Y76" s="96"/>
      <c r="Z76" s="96"/>
      <c r="AA76" s="96"/>
      <c r="AB76" s="96"/>
      <c r="AC76" s="96"/>
      <c r="AD76" s="96"/>
      <c r="AE76" s="96"/>
      <c r="AF76" s="96"/>
      <c r="AG76" s="97"/>
      <c r="AH76" s="96"/>
      <c r="AI76" s="96"/>
      <c r="AJ76" s="96"/>
      <c r="AK76" s="96"/>
      <c r="AL76" s="96"/>
      <c r="AM76" s="96"/>
      <c r="AP76" s="96"/>
      <c r="AQ76" s="96"/>
      <c r="AR76" s="96"/>
      <c r="AS76" s="96"/>
    </row>
    <row r="77" spans="3:45">
      <c r="C77" s="96"/>
      <c r="D77" s="302"/>
      <c r="E77" s="302"/>
      <c r="F77" s="304"/>
      <c r="G77" s="302"/>
      <c r="H77" s="302"/>
      <c r="I77" s="302"/>
      <c r="J77" s="302"/>
      <c r="K77" s="302"/>
      <c r="L77" s="302"/>
      <c r="M77" s="302"/>
      <c r="N77" s="302"/>
      <c r="O77" s="97"/>
      <c r="P77" s="96"/>
      <c r="Q77" s="96"/>
      <c r="R77" s="96"/>
      <c r="S77" s="96"/>
      <c r="T77" s="96"/>
      <c r="U77" s="96"/>
      <c r="V77" s="96"/>
      <c r="W77" s="96"/>
      <c r="X77" s="97"/>
      <c r="Y77" s="96"/>
      <c r="Z77" s="96"/>
      <c r="AA77" s="96"/>
      <c r="AB77" s="96"/>
      <c r="AC77" s="96"/>
      <c r="AD77" s="96"/>
      <c r="AE77" s="96"/>
      <c r="AF77" s="96"/>
      <c r="AG77" s="97"/>
      <c r="AH77" s="96"/>
      <c r="AI77" s="96"/>
      <c r="AJ77" s="96"/>
      <c r="AK77" s="96"/>
      <c r="AL77" s="96"/>
      <c r="AM77" s="96"/>
      <c r="AP77" s="96"/>
      <c r="AQ77" s="96"/>
      <c r="AR77" s="96"/>
      <c r="AS77" s="96"/>
    </row>
    <row r="78" spans="3:45">
      <c r="C78" s="143" t="s">
        <v>378</v>
      </c>
      <c r="D78" s="302"/>
      <c r="E78" s="302"/>
      <c r="F78" s="304"/>
      <c r="G78" s="302"/>
      <c r="H78" s="302"/>
      <c r="I78" s="153"/>
      <c r="J78" s="153"/>
      <c r="K78" s="153"/>
      <c r="L78" s="153"/>
      <c r="M78" s="153"/>
      <c r="N78" s="153"/>
      <c r="O78" s="97"/>
      <c r="P78" s="96"/>
      <c r="Q78" s="96"/>
      <c r="R78" s="96"/>
      <c r="S78" s="96"/>
      <c r="T78" s="96"/>
      <c r="U78" s="96"/>
      <c r="V78" s="96"/>
      <c r="W78" s="96"/>
      <c r="X78" s="97"/>
      <c r="Y78" s="96"/>
      <c r="Z78" s="96"/>
      <c r="AA78" s="96"/>
      <c r="AB78" s="96"/>
      <c r="AC78" s="96"/>
      <c r="AD78" s="96"/>
      <c r="AE78" s="96"/>
      <c r="AF78" s="96"/>
      <c r="AG78" s="97"/>
      <c r="AH78" s="96"/>
      <c r="AI78" s="96"/>
      <c r="AJ78" s="96"/>
      <c r="AK78" s="96"/>
      <c r="AL78" s="96"/>
      <c r="AM78" s="96"/>
      <c r="AP78" s="96"/>
      <c r="AQ78" s="96"/>
      <c r="AR78" s="96"/>
      <c r="AS78" s="96"/>
    </row>
    <row r="79" spans="3:45">
      <c r="C79" s="144" t="s">
        <v>399</v>
      </c>
      <c r="D79" s="305"/>
      <c r="E79" s="305"/>
      <c r="F79" s="306"/>
      <c r="G79" s="305"/>
      <c r="H79" s="305"/>
      <c r="I79" s="153"/>
      <c r="J79" s="305"/>
      <c r="K79" s="305"/>
      <c r="L79" s="306"/>
      <c r="M79" s="305"/>
      <c r="N79" s="305"/>
      <c r="O79" s="147"/>
      <c r="P79" s="96"/>
      <c r="Q79" s="96"/>
      <c r="R79" s="96"/>
      <c r="S79" s="96"/>
      <c r="T79" s="96"/>
      <c r="U79" s="96"/>
      <c r="V79" s="96"/>
      <c r="W79" s="96"/>
      <c r="X79" s="97"/>
      <c r="Y79" s="96"/>
      <c r="Z79" s="96"/>
      <c r="AA79" s="96"/>
      <c r="AB79" s="96"/>
      <c r="AC79" s="96"/>
      <c r="AD79" s="96"/>
      <c r="AE79" s="96"/>
      <c r="AF79" s="96"/>
      <c r="AG79" s="97"/>
      <c r="AH79" s="96"/>
      <c r="AI79" s="96"/>
      <c r="AJ79" s="96"/>
      <c r="AK79" s="96"/>
      <c r="AL79" s="96"/>
      <c r="AM79" s="96"/>
      <c r="AP79" s="143"/>
      <c r="AQ79" s="96"/>
      <c r="AR79" s="96"/>
      <c r="AS79" s="96"/>
    </row>
    <row r="80" spans="3:45">
      <c r="C80" s="144" t="s">
        <v>380</v>
      </c>
      <c r="D80" s="305"/>
      <c r="E80" s="305"/>
      <c r="F80" s="306"/>
      <c r="G80" s="305"/>
      <c r="H80" s="305"/>
      <c r="I80" s="153"/>
      <c r="J80" s="305"/>
      <c r="K80" s="305"/>
      <c r="L80" s="306"/>
      <c r="M80" s="305"/>
      <c r="N80" s="305"/>
      <c r="O80" s="141"/>
      <c r="P80" s="96"/>
      <c r="Q80" s="96"/>
      <c r="R80" s="96"/>
      <c r="S80" s="96"/>
      <c r="T80" s="96"/>
      <c r="U80" s="96"/>
      <c r="V80" s="96"/>
      <c r="W80" s="96"/>
      <c r="X80" s="97"/>
      <c r="Y80" s="96"/>
      <c r="Z80" s="96"/>
      <c r="AA80" s="96"/>
      <c r="AB80" s="96"/>
      <c r="AC80" s="96"/>
      <c r="AD80" s="96"/>
      <c r="AE80" s="96"/>
      <c r="AF80" s="96"/>
      <c r="AG80" s="97"/>
      <c r="AH80" s="96"/>
      <c r="AI80" s="96"/>
      <c r="AJ80" s="96"/>
      <c r="AK80" s="96"/>
      <c r="AL80" s="96"/>
      <c r="AM80" s="96"/>
      <c r="AP80" s="143"/>
      <c r="AQ80" s="96"/>
      <c r="AR80" s="96"/>
      <c r="AS80" s="96"/>
    </row>
    <row r="81" spans="3:45">
      <c r="C81" s="144" t="s">
        <v>385</v>
      </c>
      <c r="D81" s="305"/>
      <c r="E81" s="305"/>
      <c r="F81" s="306"/>
      <c r="G81" s="305"/>
      <c r="H81" s="305"/>
      <c r="I81" s="153"/>
      <c r="J81" s="305"/>
      <c r="K81" s="305"/>
      <c r="L81" s="306"/>
      <c r="M81" s="305"/>
      <c r="N81" s="305"/>
      <c r="O81" s="141"/>
      <c r="P81" s="96"/>
      <c r="Q81" s="96"/>
      <c r="R81" s="96"/>
      <c r="S81" s="96"/>
      <c r="T81" s="96"/>
      <c r="U81" s="96"/>
      <c r="V81" s="96"/>
      <c r="W81" s="96"/>
      <c r="X81" s="97"/>
      <c r="Y81" s="96"/>
      <c r="Z81" s="96"/>
      <c r="AA81" s="96"/>
      <c r="AB81" s="96"/>
      <c r="AC81" s="96"/>
      <c r="AD81" s="96"/>
      <c r="AE81" s="96"/>
      <c r="AF81" s="96"/>
      <c r="AG81" s="97"/>
      <c r="AH81" s="96"/>
      <c r="AI81" s="96"/>
      <c r="AJ81" s="96"/>
      <c r="AK81" s="96"/>
      <c r="AL81" s="96"/>
      <c r="AM81" s="96"/>
      <c r="AP81" s="143"/>
      <c r="AQ81" s="96"/>
      <c r="AR81" s="96"/>
      <c r="AS81" s="96"/>
    </row>
    <row r="82" spans="3:45">
      <c r="C82" s="144" t="s">
        <v>386</v>
      </c>
      <c r="D82" s="305"/>
      <c r="E82" s="305"/>
      <c r="F82" s="306"/>
      <c r="G82" s="305"/>
      <c r="H82" s="305"/>
      <c r="I82" s="153"/>
      <c r="J82" s="305"/>
      <c r="K82" s="305"/>
      <c r="L82" s="306"/>
      <c r="M82" s="305"/>
      <c r="N82" s="305"/>
      <c r="O82" s="142"/>
      <c r="P82" s="96"/>
      <c r="Q82" s="96"/>
      <c r="R82" s="96"/>
      <c r="S82" s="96"/>
      <c r="T82" s="96"/>
      <c r="U82" s="96"/>
      <c r="V82" s="96"/>
      <c r="W82" s="96"/>
      <c r="X82" s="97"/>
      <c r="Y82" s="96"/>
      <c r="Z82" s="96"/>
      <c r="AA82" s="96"/>
      <c r="AB82" s="96"/>
      <c r="AC82" s="96"/>
      <c r="AD82" s="96"/>
      <c r="AE82" s="96"/>
      <c r="AF82" s="96"/>
      <c r="AG82" s="97"/>
      <c r="AH82" s="96"/>
      <c r="AI82" s="96"/>
      <c r="AJ82" s="96"/>
      <c r="AK82" s="96"/>
      <c r="AL82" s="96"/>
      <c r="AM82" s="96"/>
      <c r="AP82" s="143"/>
      <c r="AQ82" s="96"/>
      <c r="AR82" s="96"/>
      <c r="AS82" s="96"/>
    </row>
    <row r="83" spans="3:45">
      <c r="C83" s="144" t="s">
        <v>381</v>
      </c>
      <c r="D83" s="305"/>
      <c r="E83" s="305"/>
      <c r="F83" s="306"/>
      <c r="G83" s="305"/>
      <c r="H83" s="305"/>
      <c r="I83" s="153"/>
      <c r="J83" s="305"/>
      <c r="K83" s="305"/>
      <c r="L83" s="306"/>
      <c r="M83" s="305"/>
      <c r="N83" s="305"/>
      <c r="O83" s="142"/>
      <c r="P83" s="96"/>
      <c r="Q83" s="96"/>
      <c r="R83" s="96"/>
      <c r="S83" s="96"/>
      <c r="T83" s="96"/>
      <c r="U83" s="96"/>
      <c r="V83" s="96"/>
      <c r="W83" s="96"/>
      <c r="X83" s="97"/>
      <c r="Y83" s="96"/>
      <c r="Z83" s="96"/>
      <c r="AA83" s="96"/>
      <c r="AB83" s="96"/>
      <c r="AC83" s="96"/>
      <c r="AD83" s="96"/>
      <c r="AE83" s="96"/>
      <c r="AF83" s="96"/>
      <c r="AG83" s="97"/>
      <c r="AH83" s="96"/>
      <c r="AI83" s="96"/>
      <c r="AJ83" s="96"/>
      <c r="AK83" s="96"/>
      <c r="AL83" s="96"/>
      <c r="AM83" s="96"/>
      <c r="AP83" s="143"/>
      <c r="AQ83" s="96"/>
      <c r="AR83" s="96"/>
      <c r="AS83" s="96"/>
    </row>
    <row r="84" spans="3:45" ht="34.5" customHeight="1">
      <c r="C84" s="145" t="s">
        <v>387</v>
      </c>
      <c r="D84" s="781"/>
      <c r="E84" s="782"/>
      <c r="F84" s="782"/>
      <c r="G84" s="782"/>
      <c r="H84" s="782"/>
      <c r="I84" s="302"/>
      <c r="J84" s="781"/>
      <c r="K84" s="782"/>
      <c r="L84" s="782"/>
      <c r="M84" s="782"/>
      <c r="N84" s="782"/>
      <c r="O84" s="97"/>
      <c r="P84" s="96"/>
      <c r="Q84" s="96"/>
      <c r="R84" s="96"/>
      <c r="S84" s="96"/>
      <c r="T84" s="96"/>
      <c r="U84" s="96"/>
      <c r="V84" s="96"/>
      <c r="W84" s="96"/>
      <c r="X84" s="97"/>
      <c r="Y84" s="96"/>
      <c r="Z84" s="96"/>
      <c r="AA84" s="96"/>
      <c r="AB84" s="96"/>
      <c r="AC84" s="96"/>
      <c r="AD84" s="96"/>
      <c r="AE84" s="96"/>
      <c r="AF84" s="96"/>
      <c r="AG84" s="97"/>
      <c r="AH84" s="96"/>
      <c r="AI84" s="96"/>
      <c r="AJ84" s="96"/>
      <c r="AK84" s="96"/>
      <c r="AL84" s="96"/>
      <c r="AM84" s="96"/>
      <c r="AP84" s="96"/>
      <c r="AQ84" s="96"/>
      <c r="AR84" s="96"/>
      <c r="AS84" s="96"/>
    </row>
    <row r="85" spans="3:45">
      <c r="C85" s="96"/>
      <c r="D85" s="302"/>
      <c r="E85" s="302"/>
      <c r="F85" s="304"/>
      <c r="G85" s="302"/>
      <c r="H85" s="302"/>
      <c r="I85" s="302"/>
      <c r="J85" s="302"/>
      <c r="K85" s="302"/>
      <c r="L85" s="302"/>
      <c r="M85" s="302"/>
      <c r="N85" s="302"/>
      <c r="O85" s="97"/>
      <c r="P85" s="96"/>
      <c r="Q85" s="96"/>
      <c r="R85" s="96"/>
      <c r="S85" s="96"/>
      <c r="T85" s="96"/>
      <c r="U85" s="96"/>
      <c r="V85" s="96"/>
      <c r="W85" s="96"/>
      <c r="X85" s="97"/>
      <c r="Y85" s="96"/>
      <c r="Z85" s="96"/>
      <c r="AA85" s="96"/>
      <c r="AB85" s="96"/>
      <c r="AC85" s="96"/>
      <c r="AD85" s="96"/>
      <c r="AE85" s="96"/>
      <c r="AF85" s="96"/>
      <c r="AG85" s="97"/>
      <c r="AH85" s="96"/>
      <c r="AI85" s="96"/>
      <c r="AJ85" s="96"/>
      <c r="AK85" s="96"/>
      <c r="AL85" s="96"/>
      <c r="AM85" s="96"/>
      <c r="AP85" s="96"/>
      <c r="AQ85" s="96"/>
      <c r="AR85" s="96"/>
      <c r="AS85" s="96"/>
    </row>
    <row r="86" spans="3:45">
      <c r="C86" s="143" t="s">
        <v>377</v>
      </c>
      <c r="D86" s="302"/>
      <c r="E86" s="302"/>
      <c r="F86" s="304"/>
      <c r="G86" s="302"/>
      <c r="H86" s="302"/>
      <c r="I86" s="153"/>
      <c r="J86" s="153"/>
      <c r="K86" s="153"/>
      <c r="L86" s="153"/>
      <c r="M86" s="153"/>
      <c r="N86" s="153"/>
      <c r="O86" s="97"/>
      <c r="P86" s="96"/>
      <c r="Q86" s="96"/>
      <c r="R86" s="96"/>
      <c r="S86" s="96"/>
      <c r="T86" s="96"/>
      <c r="U86" s="96"/>
      <c r="V86" s="96"/>
      <c r="W86" s="96"/>
      <c r="X86" s="97"/>
      <c r="Y86" s="96"/>
      <c r="Z86" s="96"/>
      <c r="AA86" s="96"/>
      <c r="AB86" s="96"/>
      <c r="AC86" s="96"/>
      <c r="AD86" s="96"/>
      <c r="AE86" s="96"/>
      <c r="AF86" s="96"/>
      <c r="AG86" s="97"/>
      <c r="AH86" s="96"/>
      <c r="AI86" s="96"/>
      <c r="AJ86" s="96"/>
      <c r="AK86" s="96"/>
      <c r="AL86" s="96"/>
      <c r="AM86" s="96"/>
      <c r="AP86" s="96"/>
      <c r="AQ86" s="96"/>
      <c r="AR86" s="96"/>
      <c r="AS86" s="96"/>
    </row>
    <row r="87" spans="3:45">
      <c r="C87" s="144" t="s">
        <v>401</v>
      </c>
      <c r="D87" s="305"/>
      <c r="E87" s="305"/>
      <c r="F87" s="306"/>
      <c r="G87" s="305"/>
      <c r="H87" s="305"/>
      <c r="I87" s="153"/>
      <c r="J87" s="305"/>
      <c r="K87" s="305"/>
      <c r="L87" s="306"/>
      <c r="M87" s="305"/>
      <c r="N87" s="305"/>
      <c r="O87" s="147"/>
      <c r="P87" s="96"/>
      <c r="Q87" s="96"/>
      <c r="R87" s="96"/>
      <c r="S87" s="96"/>
      <c r="T87" s="96"/>
      <c r="U87" s="96"/>
      <c r="V87" s="96"/>
      <c r="W87" s="96"/>
      <c r="X87" s="97"/>
      <c r="Y87" s="96"/>
      <c r="Z87" s="96"/>
      <c r="AA87" s="96"/>
      <c r="AB87" s="96"/>
      <c r="AC87" s="96"/>
      <c r="AD87" s="96"/>
      <c r="AE87" s="96"/>
      <c r="AF87" s="96"/>
      <c r="AG87" s="97"/>
      <c r="AH87" s="96"/>
      <c r="AI87" s="96"/>
      <c r="AJ87" s="96"/>
      <c r="AK87" s="96"/>
      <c r="AL87" s="96"/>
      <c r="AM87" s="96"/>
      <c r="AP87" s="143"/>
      <c r="AQ87" s="96"/>
      <c r="AR87" s="96"/>
      <c r="AS87" s="96"/>
    </row>
    <row r="88" spans="3:45">
      <c r="C88" s="144" t="s">
        <v>380</v>
      </c>
      <c r="D88" s="305"/>
      <c r="E88" s="305"/>
      <c r="F88" s="306"/>
      <c r="G88" s="305"/>
      <c r="H88" s="305"/>
      <c r="I88" s="153"/>
      <c r="J88" s="305"/>
      <c r="K88" s="305"/>
      <c r="L88" s="306"/>
      <c r="M88" s="305"/>
      <c r="N88" s="305"/>
      <c r="O88" s="141"/>
      <c r="P88" s="96"/>
      <c r="Q88" s="96"/>
      <c r="R88" s="96"/>
      <c r="S88" s="96"/>
      <c r="T88" s="96"/>
      <c r="U88" s="96"/>
      <c r="V88" s="96"/>
      <c r="W88" s="96"/>
      <c r="X88" s="97"/>
      <c r="Y88" s="96"/>
      <c r="Z88" s="96"/>
      <c r="AA88" s="96"/>
      <c r="AB88" s="96"/>
      <c r="AC88" s="96"/>
      <c r="AD88" s="96"/>
      <c r="AE88" s="96"/>
      <c r="AF88" s="96"/>
      <c r="AG88" s="97"/>
      <c r="AH88" s="96"/>
      <c r="AI88" s="96"/>
      <c r="AJ88" s="96"/>
      <c r="AK88" s="96"/>
      <c r="AL88" s="96"/>
      <c r="AM88" s="96"/>
      <c r="AP88" s="143"/>
      <c r="AQ88" s="96"/>
      <c r="AR88" s="96"/>
      <c r="AS88" s="96"/>
    </row>
    <row r="89" spans="3:45">
      <c r="C89" s="144" t="s">
        <v>385</v>
      </c>
      <c r="D89" s="305"/>
      <c r="E89" s="305"/>
      <c r="F89" s="306"/>
      <c r="G89" s="305"/>
      <c r="H89" s="305"/>
      <c r="I89" s="153"/>
      <c r="J89" s="305"/>
      <c r="K89" s="305"/>
      <c r="L89" s="306"/>
      <c r="M89" s="305"/>
      <c r="N89" s="305"/>
      <c r="O89" s="141"/>
      <c r="P89" s="96"/>
      <c r="Q89" s="96"/>
      <c r="R89" s="96"/>
      <c r="S89" s="96"/>
      <c r="T89" s="96"/>
      <c r="U89" s="96"/>
      <c r="V89" s="96"/>
      <c r="W89" s="96"/>
      <c r="X89" s="97"/>
      <c r="Y89" s="96"/>
      <c r="Z89" s="96"/>
      <c r="AA89" s="96"/>
      <c r="AB89" s="96"/>
      <c r="AC89" s="96"/>
      <c r="AD89" s="96"/>
      <c r="AE89" s="96"/>
      <c r="AF89" s="96"/>
      <c r="AG89" s="97"/>
      <c r="AH89" s="96"/>
      <c r="AI89" s="96"/>
      <c r="AJ89" s="96"/>
      <c r="AK89" s="96"/>
      <c r="AL89" s="96"/>
      <c r="AM89" s="96"/>
      <c r="AP89" s="143"/>
      <c r="AQ89" s="96"/>
      <c r="AR89" s="96"/>
      <c r="AS89" s="96"/>
    </row>
    <row r="90" spans="3:45">
      <c r="C90" s="144" t="s">
        <v>386</v>
      </c>
      <c r="D90" s="305"/>
      <c r="E90" s="305"/>
      <c r="F90" s="306"/>
      <c r="G90" s="305"/>
      <c r="H90" s="305"/>
      <c r="I90" s="153"/>
      <c r="J90" s="305"/>
      <c r="K90" s="305"/>
      <c r="L90" s="306"/>
      <c r="M90" s="305"/>
      <c r="N90" s="305"/>
      <c r="O90" s="142"/>
      <c r="P90" s="96"/>
      <c r="Q90" s="96"/>
      <c r="R90" s="96"/>
      <c r="S90" s="96"/>
      <c r="T90" s="96"/>
      <c r="U90" s="96"/>
      <c r="V90" s="96"/>
      <c r="W90" s="96"/>
      <c r="X90" s="97"/>
      <c r="Y90" s="96"/>
      <c r="Z90" s="96"/>
      <c r="AA90" s="96"/>
      <c r="AB90" s="96"/>
      <c r="AC90" s="96"/>
      <c r="AD90" s="96"/>
      <c r="AE90" s="96"/>
      <c r="AF90" s="96"/>
      <c r="AG90" s="97"/>
      <c r="AH90" s="96"/>
      <c r="AI90" s="96"/>
      <c r="AJ90" s="96"/>
      <c r="AK90" s="96"/>
      <c r="AL90" s="96"/>
      <c r="AM90" s="96"/>
      <c r="AP90" s="143"/>
      <c r="AQ90" s="96"/>
      <c r="AR90" s="96"/>
      <c r="AS90" s="96"/>
    </row>
    <row r="91" spans="3:45">
      <c r="C91" s="144" t="s">
        <v>381</v>
      </c>
      <c r="D91" s="305"/>
      <c r="E91" s="305"/>
      <c r="F91" s="306"/>
      <c r="G91" s="305"/>
      <c r="H91" s="305"/>
      <c r="I91" s="153"/>
      <c r="J91" s="305"/>
      <c r="K91" s="305"/>
      <c r="L91" s="306"/>
      <c r="M91" s="305"/>
      <c r="N91" s="305"/>
      <c r="O91" s="142"/>
      <c r="P91" s="96"/>
      <c r="Q91" s="96"/>
      <c r="R91" s="96"/>
      <c r="S91" s="96"/>
      <c r="T91" s="96"/>
      <c r="U91" s="96"/>
      <c r="V91" s="96"/>
      <c r="W91" s="96"/>
      <c r="X91" s="97"/>
      <c r="Y91" s="96"/>
      <c r="Z91" s="96"/>
      <c r="AA91" s="96"/>
      <c r="AB91" s="96"/>
      <c r="AC91" s="96"/>
      <c r="AD91" s="96"/>
      <c r="AE91" s="96"/>
      <c r="AF91" s="96"/>
      <c r="AG91" s="97"/>
      <c r="AH91" s="96"/>
      <c r="AI91" s="96"/>
      <c r="AJ91" s="96"/>
      <c r="AK91" s="96"/>
      <c r="AL91" s="96"/>
      <c r="AM91" s="96"/>
      <c r="AP91" s="143"/>
      <c r="AQ91" s="96"/>
      <c r="AR91" s="96"/>
      <c r="AS91" s="96"/>
    </row>
    <row r="92" spans="3:45" ht="34.5" customHeight="1">
      <c r="C92" s="145" t="s">
        <v>387</v>
      </c>
      <c r="D92" s="781"/>
      <c r="E92" s="782"/>
      <c r="F92" s="782"/>
      <c r="G92" s="782"/>
      <c r="H92" s="782"/>
      <c r="I92" s="302"/>
      <c r="J92" s="781"/>
      <c r="K92" s="782"/>
      <c r="L92" s="782"/>
      <c r="M92" s="782"/>
      <c r="N92" s="782"/>
      <c r="O92" s="97"/>
      <c r="P92" s="96"/>
      <c r="Q92" s="96"/>
      <c r="R92" s="96"/>
      <c r="S92" s="96"/>
      <c r="T92" s="96"/>
      <c r="U92" s="96"/>
      <c r="V92" s="96"/>
      <c r="W92" s="96"/>
      <c r="X92" s="97"/>
      <c r="Y92" s="96"/>
      <c r="Z92" s="96"/>
      <c r="AA92" s="96"/>
      <c r="AB92" s="96"/>
      <c r="AC92" s="96"/>
      <c r="AD92" s="96"/>
      <c r="AE92" s="96"/>
      <c r="AF92" s="96"/>
      <c r="AG92" s="97"/>
      <c r="AH92" s="96"/>
      <c r="AI92" s="96"/>
      <c r="AJ92" s="96"/>
      <c r="AK92" s="96"/>
      <c r="AL92" s="96"/>
      <c r="AM92" s="96"/>
      <c r="AP92" s="96"/>
      <c r="AQ92" s="96"/>
      <c r="AR92" s="96"/>
      <c r="AS92" s="96"/>
    </row>
    <row r="93" spans="3:45">
      <c r="C93" s="96"/>
      <c r="D93" s="96"/>
      <c r="E93" s="96"/>
      <c r="F93" s="97"/>
      <c r="G93" s="96"/>
      <c r="H93" s="96"/>
      <c r="I93" s="96"/>
      <c r="J93" s="96"/>
      <c r="K93" s="96"/>
      <c r="L93" s="96"/>
      <c r="M93" s="96"/>
      <c r="N93" s="96"/>
      <c r="O93" s="97"/>
      <c r="P93" s="96"/>
      <c r="Q93" s="96"/>
      <c r="R93" s="96"/>
      <c r="S93" s="96"/>
      <c r="T93" s="96"/>
      <c r="U93" s="96"/>
      <c r="V93" s="96"/>
      <c r="W93" s="96"/>
      <c r="X93" s="97"/>
      <c r="Y93" s="96"/>
      <c r="Z93" s="96"/>
      <c r="AA93" s="96"/>
      <c r="AB93" s="96"/>
      <c r="AC93" s="96"/>
      <c r="AD93" s="96"/>
      <c r="AE93" s="96"/>
      <c r="AF93" s="96"/>
      <c r="AG93" s="97"/>
      <c r="AH93" s="96"/>
      <c r="AI93" s="96"/>
      <c r="AJ93" s="96"/>
      <c r="AK93" s="96"/>
      <c r="AL93" s="96"/>
      <c r="AM93" s="96"/>
      <c r="AP93" s="96"/>
      <c r="AQ93" s="96"/>
      <c r="AR93" s="96"/>
      <c r="AS93" s="96"/>
    </row>
    <row r="94" spans="3:45">
      <c r="C94" s="96"/>
      <c r="D94" s="96"/>
      <c r="E94" s="96"/>
      <c r="F94" s="97"/>
      <c r="G94" s="96"/>
      <c r="H94" s="96"/>
      <c r="I94" s="96"/>
      <c r="J94" s="96"/>
      <c r="K94" s="96"/>
      <c r="L94" s="96"/>
      <c r="M94" s="96"/>
      <c r="N94" s="96"/>
      <c r="O94" s="97"/>
      <c r="P94" s="96"/>
      <c r="Q94" s="96"/>
      <c r="R94" s="96"/>
      <c r="S94" s="96"/>
      <c r="T94" s="96"/>
      <c r="U94" s="96"/>
      <c r="V94" s="96"/>
      <c r="W94" s="96"/>
      <c r="X94" s="97"/>
      <c r="Y94" s="96"/>
      <c r="Z94" s="96"/>
      <c r="AA94" s="96"/>
      <c r="AB94" s="96"/>
      <c r="AC94" s="96"/>
      <c r="AD94" s="96"/>
      <c r="AE94" s="96"/>
      <c r="AF94" s="96"/>
      <c r="AG94" s="97"/>
      <c r="AH94" s="96"/>
      <c r="AI94" s="96"/>
      <c r="AJ94" s="96"/>
      <c r="AK94" s="96"/>
      <c r="AL94" s="96"/>
      <c r="AM94" s="96"/>
      <c r="AP94" s="96"/>
      <c r="AQ94" s="96"/>
      <c r="AR94" s="96"/>
      <c r="AS94" s="96"/>
    </row>
    <row r="95" spans="3:45">
      <c r="C95" s="96"/>
      <c r="D95" s="96"/>
      <c r="E95" s="96"/>
      <c r="F95" s="97"/>
      <c r="G95" s="96"/>
      <c r="H95" s="96"/>
      <c r="I95" s="96"/>
      <c r="J95" s="96"/>
      <c r="K95" s="96"/>
      <c r="L95" s="96"/>
      <c r="M95" s="96"/>
      <c r="N95" s="96"/>
      <c r="O95" s="97"/>
      <c r="P95" s="96"/>
      <c r="Q95" s="96"/>
      <c r="R95" s="96"/>
      <c r="S95" s="96"/>
      <c r="T95" s="96"/>
      <c r="U95" s="96"/>
      <c r="V95" s="96"/>
      <c r="W95" s="96"/>
      <c r="X95" s="97"/>
      <c r="Y95" s="96"/>
      <c r="Z95" s="96"/>
      <c r="AA95" s="96"/>
      <c r="AB95" s="96"/>
      <c r="AC95" s="96"/>
      <c r="AD95" s="96"/>
      <c r="AE95" s="96"/>
      <c r="AF95" s="96"/>
      <c r="AG95" s="97"/>
      <c r="AH95" s="96"/>
      <c r="AI95" s="96"/>
      <c r="AJ95" s="96"/>
      <c r="AK95" s="96"/>
      <c r="AL95" s="96"/>
      <c r="AM95" s="96"/>
      <c r="AP95" s="96"/>
      <c r="AQ95" s="96"/>
      <c r="AR95" s="96"/>
      <c r="AS95" s="96"/>
    </row>
    <row r="96" spans="3:45">
      <c r="C96" s="96"/>
      <c r="D96" s="96"/>
      <c r="E96" s="96"/>
      <c r="F96" s="97"/>
      <c r="G96" s="96"/>
      <c r="H96" s="96"/>
      <c r="I96" s="96"/>
      <c r="J96" s="96"/>
      <c r="K96" s="96"/>
      <c r="L96" s="96"/>
      <c r="M96" s="96"/>
      <c r="N96" s="96"/>
      <c r="O96" s="97"/>
      <c r="P96" s="96"/>
      <c r="Q96" s="96"/>
      <c r="R96" s="96"/>
      <c r="S96" s="96"/>
      <c r="T96" s="96"/>
      <c r="U96" s="96"/>
      <c r="V96" s="96"/>
      <c r="W96" s="96"/>
      <c r="X96" s="97"/>
      <c r="Y96" s="96"/>
      <c r="Z96" s="96"/>
      <c r="AA96" s="96"/>
      <c r="AB96" s="96"/>
      <c r="AC96" s="96"/>
      <c r="AD96" s="96"/>
      <c r="AE96" s="96"/>
      <c r="AF96" s="96"/>
      <c r="AG96" s="97"/>
      <c r="AH96" s="96"/>
      <c r="AI96" s="96"/>
      <c r="AJ96" s="96"/>
      <c r="AK96" s="96"/>
      <c r="AL96" s="96"/>
      <c r="AM96" s="96"/>
      <c r="AP96" s="96"/>
      <c r="AQ96" s="96"/>
      <c r="AR96" s="96"/>
      <c r="AS96" s="96"/>
    </row>
    <row r="97" spans="6:33" s="96" customFormat="1">
      <c r="F97" s="97"/>
      <c r="O97" s="97"/>
      <c r="X97" s="97"/>
      <c r="AG97" s="97"/>
    </row>
    <row r="98" spans="6:33" s="96" customFormat="1">
      <c r="F98" s="97"/>
      <c r="O98" s="97"/>
      <c r="X98" s="97"/>
      <c r="AG98" s="97"/>
    </row>
    <row r="99" spans="6:33" s="96" customFormat="1">
      <c r="F99" s="97"/>
      <c r="O99" s="97"/>
      <c r="X99" s="97"/>
      <c r="AG99" s="97"/>
    </row>
    <row r="100" spans="6:33" s="96" customFormat="1">
      <c r="F100" s="97"/>
      <c r="O100" s="97"/>
      <c r="X100" s="97"/>
      <c r="AG100" s="97"/>
    </row>
    <row r="101" spans="6:33" s="96" customFormat="1">
      <c r="F101" s="97"/>
      <c r="O101" s="97"/>
      <c r="X101" s="97"/>
      <c r="AG101" s="97"/>
    </row>
    <row r="102" spans="6:33" s="96" customFormat="1">
      <c r="F102" s="97"/>
      <c r="O102" s="97"/>
      <c r="X102" s="97"/>
      <c r="AG102" s="97"/>
    </row>
    <row r="103" spans="6:33" s="96" customFormat="1">
      <c r="F103" s="97"/>
      <c r="O103" s="97"/>
      <c r="X103" s="97"/>
      <c r="AG103" s="97"/>
    </row>
    <row r="104" spans="6:33" s="96" customFormat="1">
      <c r="F104" s="97"/>
      <c r="O104" s="97"/>
      <c r="X104" s="97"/>
      <c r="AG104" s="97"/>
    </row>
    <row r="105" spans="6:33" s="96" customFormat="1">
      <c r="F105" s="97"/>
      <c r="O105" s="97"/>
      <c r="X105" s="97"/>
      <c r="AG105" s="97"/>
    </row>
    <row r="106" spans="6:33" s="96" customFormat="1">
      <c r="F106" s="97"/>
      <c r="O106" s="97"/>
      <c r="X106" s="97"/>
      <c r="AG106" s="97"/>
    </row>
    <row r="107" spans="6:33" s="96" customFormat="1">
      <c r="F107" s="97"/>
      <c r="O107" s="97"/>
      <c r="X107" s="97"/>
      <c r="AG107" s="97"/>
    </row>
    <row r="108" spans="6:33" s="96" customFormat="1">
      <c r="F108" s="97"/>
      <c r="O108" s="97"/>
      <c r="X108" s="97"/>
      <c r="AG108" s="97"/>
    </row>
    <row r="109" spans="6:33" s="96" customFormat="1">
      <c r="F109" s="97"/>
      <c r="O109" s="97"/>
      <c r="X109" s="97"/>
      <c r="AG109" s="97"/>
    </row>
    <row r="110" spans="6:33" s="96" customFormat="1">
      <c r="F110" s="97"/>
      <c r="O110" s="97"/>
      <c r="X110" s="97"/>
      <c r="AG110" s="97"/>
    </row>
    <row r="111" spans="6:33" s="96" customFormat="1">
      <c r="F111" s="97"/>
      <c r="O111" s="97"/>
      <c r="X111" s="97"/>
      <c r="AG111" s="97"/>
    </row>
    <row r="112" spans="6:33" s="96" customFormat="1">
      <c r="F112" s="97"/>
      <c r="O112" s="97"/>
      <c r="X112" s="97"/>
      <c r="AG112" s="97"/>
    </row>
    <row r="113" spans="6:33" s="96" customFormat="1">
      <c r="F113" s="97"/>
      <c r="O113" s="97"/>
      <c r="X113" s="97"/>
      <c r="AG113" s="97"/>
    </row>
    <row r="114" spans="6:33" s="96" customFormat="1">
      <c r="F114" s="97"/>
      <c r="O114" s="97"/>
      <c r="X114" s="97"/>
      <c r="AG114" s="97"/>
    </row>
    <row r="115" spans="6:33" s="96" customFormat="1">
      <c r="F115" s="97"/>
      <c r="O115" s="97"/>
      <c r="X115" s="97"/>
      <c r="AG115" s="97"/>
    </row>
    <row r="116" spans="6:33" s="96" customFormat="1">
      <c r="F116" s="97"/>
      <c r="O116" s="97"/>
      <c r="X116" s="97"/>
      <c r="AG116" s="97"/>
    </row>
    <row r="117" spans="6:33" s="96" customFormat="1">
      <c r="F117" s="97"/>
      <c r="O117" s="97"/>
      <c r="X117" s="97"/>
      <c r="AG117" s="97"/>
    </row>
    <row r="118" spans="6:33" s="96" customFormat="1">
      <c r="F118" s="97"/>
      <c r="O118" s="97"/>
      <c r="X118" s="97"/>
      <c r="AG118" s="97"/>
    </row>
    <row r="119" spans="6:33" s="96" customFormat="1">
      <c r="F119" s="97"/>
      <c r="O119" s="97"/>
      <c r="X119" s="97"/>
      <c r="AG119" s="97"/>
    </row>
    <row r="120" spans="6:33" s="96" customFormat="1">
      <c r="F120" s="97"/>
      <c r="O120" s="97"/>
      <c r="X120" s="97"/>
      <c r="AG120" s="97"/>
    </row>
    <row r="121" spans="6:33" s="96" customFormat="1">
      <c r="F121" s="97"/>
      <c r="O121" s="97"/>
      <c r="X121" s="97"/>
      <c r="AG121" s="97"/>
    </row>
    <row r="122" spans="6:33" s="96" customFormat="1">
      <c r="F122" s="97"/>
      <c r="O122" s="97"/>
      <c r="X122" s="97"/>
      <c r="AG122" s="97"/>
    </row>
    <row r="123" spans="6:33" s="96" customFormat="1">
      <c r="F123" s="97"/>
      <c r="O123" s="97"/>
      <c r="X123" s="97"/>
      <c r="AG123" s="97"/>
    </row>
    <row r="124" spans="6:33" s="96" customFormat="1">
      <c r="F124" s="97"/>
      <c r="O124" s="97"/>
      <c r="X124" s="97"/>
      <c r="AG124" s="97"/>
    </row>
    <row r="125" spans="6:33" s="96" customFormat="1">
      <c r="F125" s="97"/>
      <c r="O125" s="97"/>
      <c r="X125" s="97"/>
      <c r="AG125" s="97"/>
    </row>
    <row r="126" spans="6:33" s="96" customFormat="1">
      <c r="F126" s="97"/>
      <c r="O126" s="97"/>
      <c r="X126" s="97"/>
      <c r="AG126" s="97"/>
    </row>
    <row r="127" spans="6:33" s="96" customFormat="1">
      <c r="F127" s="97"/>
      <c r="O127" s="97"/>
      <c r="X127" s="97"/>
      <c r="AG127" s="97"/>
    </row>
    <row r="128" spans="6:33" s="96" customFormat="1">
      <c r="F128" s="97"/>
      <c r="O128" s="97"/>
      <c r="X128" s="97"/>
      <c r="AG128" s="97"/>
    </row>
    <row r="129" spans="6:33" s="96" customFormat="1">
      <c r="F129" s="97"/>
      <c r="O129" s="97"/>
      <c r="X129" s="97"/>
      <c r="AG129" s="97"/>
    </row>
    <row r="130" spans="6:33" s="96" customFormat="1">
      <c r="F130" s="97"/>
      <c r="O130" s="97"/>
      <c r="X130" s="97"/>
      <c r="AG130" s="97"/>
    </row>
    <row r="131" spans="6:33" s="96" customFormat="1">
      <c r="F131" s="97"/>
      <c r="O131" s="97"/>
      <c r="X131" s="97"/>
      <c r="AG131" s="97"/>
    </row>
    <row r="132" spans="6:33" s="96" customFormat="1">
      <c r="F132" s="97"/>
      <c r="O132" s="97"/>
      <c r="X132" s="97"/>
      <c r="AG132" s="97"/>
    </row>
    <row r="133" spans="6:33" s="96" customFormat="1">
      <c r="F133" s="97"/>
      <c r="O133" s="97"/>
      <c r="X133" s="97"/>
      <c r="AG133" s="97"/>
    </row>
    <row r="134" spans="6:33" s="96" customFormat="1">
      <c r="F134" s="97"/>
      <c r="O134" s="97"/>
      <c r="X134" s="97"/>
      <c r="AG134" s="97"/>
    </row>
    <row r="135" spans="6:33" s="96" customFormat="1">
      <c r="F135" s="97"/>
      <c r="O135" s="97"/>
      <c r="X135" s="97"/>
      <c r="AG135" s="97"/>
    </row>
    <row r="136" spans="6:33" s="96" customFormat="1">
      <c r="F136" s="97"/>
      <c r="O136" s="97"/>
      <c r="X136" s="97"/>
      <c r="AG136" s="97"/>
    </row>
    <row r="137" spans="6:33" s="96" customFormat="1">
      <c r="F137" s="97"/>
      <c r="O137" s="97"/>
      <c r="X137" s="97"/>
      <c r="AG137" s="97"/>
    </row>
    <row r="138" spans="6:33" s="96" customFormat="1">
      <c r="F138" s="97"/>
      <c r="O138" s="97"/>
      <c r="X138" s="97"/>
      <c r="AG138" s="97"/>
    </row>
    <row r="139" spans="6:33" s="96" customFormat="1">
      <c r="F139" s="97"/>
      <c r="O139" s="97"/>
      <c r="X139" s="97"/>
      <c r="AG139" s="97"/>
    </row>
    <row r="140" spans="6:33" s="96" customFormat="1">
      <c r="F140" s="97"/>
      <c r="O140" s="97"/>
      <c r="X140" s="97"/>
      <c r="AG140" s="97"/>
    </row>
    <row r="141" spans="6:33" s="96" customFormat="1">
      <c r="F141" s="97"/>
      <c r="O141" s="97"/>
      <c r="X141" s="97"/>
      <c r="AG141" s="97"/>
    </row>
    <row r="142" spans="6:33" s="96" customFormat="1">
      <c r="F142" s="97"/>
      <c r="O142" s="97"/>
      <c r="X142" s="97"/>
      <c r="AG142" s="97"/>
    </row>
    <row r="143" spans="6:33" s="96" customFormat="1">
      <c r="F143" s="97"/>
      <c r="O143" s="97"/>
      <c r="X143" s="97"/>
      <c r="AG143" s="97"/>
    </row>
    <row r="144" spans="6:33" s="96" customFormat="1">
      <c r="F144" s="97"/>
      <c r="O144" s="97"/>
      <c r="X144" s="97"/>
      <c r="AG144" s="97"/>
    </row>
    <row r="145" spans="6:33" s="96" customFormat="1">
      <c r="F145" s="97"/>
      <c r="O145" s="97"/>
      <c r="X145" s="97"/>
      <c r="AG145" s="97"/>
    </row>
    <row r="146" spans="6:33" s="96" customFormat="1">
      <c r="F146" s="97"/>
      <c r="O146" s="97"/>
      <c r="X146" s="97"/>
      <c r="AG146" s="97"/>
    </row>
    <row r="147" spans="6:33" s="96" customFormat="1">
      <c r="F147" s="97"/>
      <c r="O147" s="97"/>
      <c r="X147" s="97"/>
      <c r="AG147" s="97"/>
    </row>
    <row r="148" spans="6:33" s="96" customFormat="1">
      <c r="F148" s="97"/>
      <c r="O148" s="97"/>
      <c r="X148" s="97"/>
      <c r="AG148" s="97"/>
    </row>
    <row r="149" spans="6:33" s="96" customFormat="1">
      <c r="F149" s="97"/>
      <c r="O149" s="97"/>
      <c r="X149" s="97"/>
      <c r="AG149" s="97"/>
    </row>
    <row r="150" spans="6:33" s="96" customFormat="1">
      <c r="F150" s="97"/>
      <c r="O150" s="97"/>
      <c r="X150" s="97"/>
      <c r="AG150" s="97"/>
    </row>
    <row r="151" spans="6:33" s="96" customFormat="1">
      <c r="F151" s="97"/>
      <c r="O151" s="97"/>
      <c r="X151" s="97"/>
      <c r="AG151" s="97"/>
    </row>
    <row r="152" spans="6:33" s="96" customFormat="1">
      <c r="F152" s="97"/>
      <c r="O152" s="97"/>
      <c r="X152" s="97"/>
      <c r="AG152" s="97"/>
    </row>
    <row r="153" spans="6:33" s="96" customFormat="1">
      <c r="F153" s="97"/>
      <c r="O153" s="97"/>
      <c r="X153" s="97"/>
      <c r="AG153" s="97"/>
    </row>
    <row r="154" spans="6:33" s="96" customFormat="1">
      <c r="F154" s="97"/>
      <c r="O154" s="97"/>
      <c r="X154" s="97"/>
      <c r="AG154" s="97"/>
    </row>
    <row r="155" spans="6:33" s="96" customFormat="1">
      <c r="F155" s="97"/>
      <c r="O155" s="97"/>
      <c r="X155" s="97"/>
      <c r="AG155" s="97"/>
    </row>
    <row r="156" spans="6:33" s="96" customFormat="1">
      <c r="F156" s="97"/>
      <c r="O156" s="97"/>
      <c r="X156" s="97"/>
      <c r="AG156" s="97"/>
    </row>
    <row r="157" spans="6:33" s="96" customFormat="1">
      <c r="F157" s="97"/>
      <c r="O157" s="97"/>
      <c r="X157" s="97"/>
      <c r="AG157" s="97"/>
    </row>
    <row r="158" spans="6:33" s="96" customFormat="1">
      <c r="F158" s="97"/>
      <c r="O158" s="97"/>
      <c r="X158" s="97"/>
      <c r="AG158" s="97"/>
    </row>
    <row r="159" spans="6:33" s="96" customFormat="1">
      <c r="F159" s="97"/>
      <c r="O159" s="97"/>
      <c r="X159" s="97"/>
      <c r="AG159" s="97"/>
    </row>
    <row r="160" spans="6:33" s="96" customFormat="1">
      <c r="F160" s="97"/>
      <c r="O160" s="97"/>
      <c r="X160" s="97"/>
      <c r="AG160" s="97"/>
    </row>
    <row r="161" spans="6:33" s="96" customFormat="1">
      <c r="F161" s="97"/>
      <c r="O161" s="97"/>
      <c r="X161" s="97"/>
      <c r="AG161" s="97"/>
    </row>
    <row r="162" spans="6:33" s="96" customFormat="1">
      <c r="F162" s="97"/>
      <c r="O162" s="97"/>
      <c r="X162" s="97"/>
      <c r="AG162" s="97"/>
    </row>
    <row r="163" spans="6:33" s="96" customFormat="1">
      <c r="F163" s="97"/>
      <c r="O163" s="97"/>
      <c r="X163" s="97"/>
      <c r="AG163" s="97"/>
    </row>
    <row r="164" spans="6:33" s="96" customFormat="1">
      <c r="F164" s="97"/>
      <c r="O164" s="97"/>
      <c r="X164" s="97"/>
      <c r="AG164" s="97"/>
    </row>
    <row r="165" spans="6:33" s="96" customFormat="1">
      <c r="F165" s="97"/>
      <c r="O165" s="97"/>
      <c r="X165" s="97"/>
      <c r="AG165" s="97"/>
    </row>
    <row r="166" spans="6:33" s="96" customFormat="1">
      <c r="F166" s="97"/>
      <c r="O166" s="97"/>
      <c r="X166" s="97"/>
      <c r="AG166" s="97"/>
    </row>
    <row r="167" spans="6:33" s="96" customFormat="1">
      <c r="F167" s="97"/>
      <c r="O167" s="97"/>
      <c r="X167" s="97"/>
      <c r="AG167" s="97"/>
    </row>
    <row r="168" spans="6:33" s="96" customFormat="1">
      <c r="F168" s="97"/>
      <c r="O168" s="97"/>
      <c r="X168" s="97"/>
      <c r="AG168" s="97"/>
    </row>
    <row r="169" spans="6:33" s="96" customFormat="1">
      <c r="F169" s="97"/>
      <c r="O169" s="97"/>
      <c r="X169" s="97"/>
      <c r="AG169" s="97"/>
    </row>
    <row r="170" spans="6:33" s="96" customFormat="1">
      <c r="F170" s="97"/>
      <c r="O170" s="97"/>
      <c r="X170" s="97"/>
      <c r="AG170" s="97"/>
    </row>
    <row r="171" spans="6:33" s="96" customFormat="1">
      <c r="F171" s="97"/>
      <c r="O171" s="97"/>
      <c r="X171" s="97"/>
      <c r="AG171" s="97"/>
    </row>
    <row r="172" spans="6:33" s="96" customFormat="1">
      <c r="F172" s="97"/>
      <c r="O172" s="97"/>
      <c r="X172" s="97"/>
      <c r="AG172" s="97"/>
    </row>
    <row r="173" spans="6:33" s="96" customFormat="1">
      <c r="F173" s="97"/>
      <c r="O173" s="97"/>
      <c r="X173" s="97"/>
      <c r="AG173" s="97"/>
    </row>
    <row r="174" spans="6:33" s="96" customFormat="1">
      <c r="F174" s="97"/>
      <c r="O174" s="97"/>
      <c r="X174" s="97"/>
      <c r="AG174" s="97"/>
    </row>
    <row r="175" spans="6:33" s="96" customFormat="1">
      <c r="F175" s="97"/>
      <c r="O175" s="97"/>
      <c r="X175" s="97"/>
      <c r="AG175" s="97"/>
    </row>
    <row r="176" spans="6:33" s="96" customFormat="1">
      <c r="F176" s="97"/>
      <c r="O176" s="97"/>
      <c r="X176" s="97"/>
      <c r="AG176" s="97"/>
    </row>
    <row r="177" spans="6:33" s="96" customFormat="1">
      <c r="F177" s="97"/>
      <c r="O177" s="97"/>
      <c r="X177" s="97"/>
      <c r="AG177" s="97"/>
    </row>
    <row r="178" spans="6:33" s="96" customFormat="1">
      <c r="F178" s="97"/>
      <c r="O178" s="97"/>
      <c r="X178" s="97"/>
      <c r="AG178" s="97"/>
    </row>
    <row r="179" spans="6:33" s="96" customFormat="1">
      <c r="F179" s="97"/>
      <c r="O179" s="97"/>
      <c r="X179" s="97"/>
      <c r="AG179" s="97"/>
    </row>
    <row r="180" spans="6:33" s="96" customFormat="1">
      <c r="F180" s="97"/>
      <c r="O180" s="97"/>
      <c r="X180" s="97"/>
      <c r="AG180" s="97"/>
    </row>
    <row r="181" spans="6:33" s="96" customFormat="1">
      <c r="F181" s="97"/>
      <c r="O181" s="97"/>
      <c r="X181" s="97"/>
      <c r="AG181" s="97"/>
    </row>
    <row r="182" spans="6:33" s="96" customFormat="1">
      <c r="F182" s="97"/>
      <c r="O182" s="97"/>
      <c r="X182" s="97"/>
      <c r="AG182" s="97"/>
    </row>
    <row r="183" spans="6:33" s="96" customFormat="1">
      <c r="F183" s="97"/>
      <c r="O183" s="97"/>
      <c r="X183" s="97"/>
      <c r="AG183" s="97"/>
    </row>
    <row r="184" spans="6:33" s="96" customFormat="1">
      <c r="F184" s="97"/>
      <c r="O184" s="97"/>
      <c r="X184" s="97"/>
      <c r="AG184" s="97"/>
    </row>
    <row r="185" spans="6:33" s="96" customFormat="1">
      <c r="F185" s="97"/>
      <c r="O185" s="97"/>
      <c r="X185" s="97"/>
      <c r="AG185" s="97"/>
    </row>
    <row r="186" spans="6:33" s="96" customFormat="1">
      <c r="F186" s="97"/>
      <c r="O186" s="97"/>
      <c r="X186" s="97"/>
      <c r="AG186" s="97"/>
    </row>
    <row r="187" spans="6:33" s="96" customFormat="1">
      <c r="F187" s="97"/>
      <c r="O187" s="97"/>
      <c r="X187" s="97"/>
      <c r="AG187" s="97"/>
    </row>
    <row r="188" spans="6:33" s="96" customFormat="1">
      <c r="F188" s="97"/>
      <c r="O188" s="97"/>
      <c r="X188" s="97"/>
      <c r="AG188" s="97"/>
    </row>
    <row r="189" spans="6:33" s="96" customFormat="1">
      <c r="F189" s="97"/>
      <c r="O189" s="97"/>
      <c r="X189" s="97"/>
      <c r="AG189" s="97"/>
    </row>
    <row r="190" spans="6:33" s="96" customFormat="1">
      <c r="F190" s="97"/>
      <c r="O190" s="97"/>
      <c r="X190" s="97"/>
      <c r="AG190" s="97"/>
    </row>
    <row r="191" spans="6:33" s="96" customFormat="1">
      <c r="F191" s="97"/>
      <c r="O191" s="97"/>
      <c r="X191" s="97"/>
      <c r="AG191" s="97"/>
    </row>
    <row r="192" spans="6:33" s="96" customFormat="1">
      <c r="F192" s="97"/>
      <c r="O192" s="97"/>
      <c r="X192" s="97"/>
      <c r="AG192" s="97"/>
    </row>
    <row r="193" spans="6:33" s="96" customFormat="1">
      <c r="F193" s="97"/>
      <c r="O193" s="97"/>
      <c r="X193" s="97"/>
      <c r="AG193" s="97"/>
    </row>
    <row r="194" spans="6:33" s="96" customFormat="1">
      <c r="F194" s="97"/>
      <c r="O194" s="97"/>
      <c r="X194" s="97"/>
      <c r="AG194" s="97"/>
    </row>
    <row r="195" spans="6:33" s="96" customFormat="1">
      <c r="F195" s="97"/>
      <c r="O195" s="97"/>
      <c r="X195" s="97"/>
      <c r="AG195" s="97"/>
    </row>
    <row r="196" spans="6:33" s="96" customFormat="1">
      <c r="F196" s="97"/>
      <c r="O196" s="97"/>
      <c r="X196" s="97"/>
      <c r="AG196" s="97"/>
    </row>
    <row r="197" spans="6:33" s="96" customFormat="1">
      <c r="F197" s="97"/>
      <c r="O197" s="97"/>
      <c r="X197" s="97"/>
      <c r="AG197" s="97"/>
    </row>
    <row r="198" spans="6:33" s="96" customFormat="1">
      <c r="F198" s="97"/>
      <c r="O198" s="97"/>
      <c r="X198" s="97"/>
      <c r="AG198" s="97"/>
    </row>
    <row r="199" spans="6:33" s="96" customFormat="1">
      <c r="F199" s="97"/>
      <c r="O199" s="97"/>
      <c r="X199" s="97"/>
      <c r="AG199" s="97"/>
    </row>
    <row r="200" spans="6:33" s="96" customFormat="1">
      <c r="F200" s="97"/>
      <c r="O200" s="97"/>
      <c r="X200" s="97"/>
      <c r="AG200" s="97"/>
    </row>
    <row r="201" spans="6:33" s="96" customFormat="1">
      <c r="F201" s="97"/>
      <c r="O201" s="97"/>
      <c r="X201" s="97"/>
      <c r="AG201" s="97"/>
    </row>
    <row r="202" spans="6:33" s="96" customFormat="1">
      <c r="F202" s="97"/>
      <c r="O202" s="97"/>
      <c r="X202" s="97"/>
      <c r="AG202" s="97"/>
    </row>
    <row r="203" spans="6:33" s="96" customFormat="1">
      <c r="F203" s="97"/>
      <c r="O203" s="97"/>
      <c r="X203" s="97"/>
      <c r="AG203" s="97"/>
    </row>
    <row r="204" spans="6:33" s="96" customFormat="1">
      <c r="F204" s="97"/>
      <c r="O204" s="97"/>
      <c r="X204" s="97"/>
      <c r="AG204" s="97"/>
    </row>
    <row r="205" spans="6:33" s="96" customFormat="1">
      <c r="F205" s="97"/>
      <c r="O205" s="97"/>
      <c r="X205" s="97"/>
      <c r="AG205" s="97"/>
    </row>
    <row r="206" spans="6:33" s="96" customFormat="1">
      <c r="F206" s="97"/>
      <c r="O206" s="97"/>
      <c r="X206" s="97"/>
      <c r="AG206" s="97"/>
    </row>
    <row r="207" spans="6:33" s="96" customFormat="1">
      <c r="F207" s="97"/>
      <c r="O207" s="97"/>
      <c r="X207" s="97"/>
      <c r="AG207" s="97"/>
    </row>
    <row r="208" spans="6:33" s="96" customFormat="1">
      <c r="F208" s="97"/>
      <c r="O208" s="97"/>
      <c r="X208" s="97"/>
      <c r="AG208" s="97"/>
    </row>
    <row r="209" spans="6:33" s="96" customFormat="1">
      <c r="F209" s="97"/>
      <c r="O209" s="97"/>
      <c r="X209" s="97"/>
      <c r="AG209" s="97"/>
    </row>
    <row r="210" spans="6:33" s="96" customFormat="1">
      <c r="F210" s="97"/>
      <c r="O210" s="97"/>
      <c r="X210" s="97"/>
      <c r="AG210" s="97"/>
    </row>
    <row r="211" spans="6:33" s="96" customFormat="1">
      <c r="F211" s="97"/>
      <c r="O211" s="97"/>
      <c r="X211" s="97"/>
      <c r="AG211" s="97"/>
    </row>
    <row r="212" spans="6:33" s="96" customFormat="1">
      <c r="F212" s="97"/>
      <c r="O212" s="97"/>
      <c r="X212" s="97"/>
      <c r="AG212" s="97"/>
    </row>
    <row r="213" spans="6:33" s="96" customFormat="1">
      <c r="F213" s="97"/>
      <c r="O213" s="97"/>
      <c r="X213" s="97"/>
      <c r="AG213" s="97"/>
    </row>
    <row r="214" spans="6:33" s="96" customFormat="1">
      <c r="F214" s="97"/>
      <c r="O214" s="97"/>
      <c r="X214" s="97"/>
      <c r="AG214" s="97"/>
    </row>
    <row r="215" spans="6:33" s="96" customFormat="1">
      <c r="F215" s="97"/>
      <c r="O215" s="97"/>
      <c r="X215" s="97"/>
      <c r="AG215" s="97"/>
    </row>
    <row r="216" spans="6:33" s="96" customFormat="1">
      <c r="F216" s="97"/>
      <c r="O216" s="97"/>
      <c r="X216" s="97"/>
      <c r="AG216" s="97"/>
    </row>
    <row r="217" spans="6:33" s="96" customFormat="1">
      <c r="F217" s="97"/>
      <c r="O217" s="97"/>
      <c r="X217" s="97"/>
      <c r="AG217" s="97"/>
    </row>
    <row r="218" spans="6:33" s="96" customFormat="1">
      <c r="F218" s="97"/>
      <c r="O218" s="97"/>
      <c r="X218" s="97"/>
      <c r="AG218" s="97"/>
    </row>
    <row r="219" spans="6:33" s="96" customFormat="1">
      <c r="F219" s="97"/>
      <c r="O219" s="97"/>
      <c r="X219" s="97"/>
      <c r="AG219" s="97"/>
    </row>
    <row r="220" spans="6:33" s="96" customFormat="1">
      <c r="F220" s="97"/>
      <c r="O220" s="97"/>
      <c r="X220" s="97"/>
      <c r="AG220" s="97"/>
    </row>
    <row r="221" spans="6:33" s="96" customFormat="1">
      <c r="F221" s="97"/>
      <c r="O221" s="97"/>
      <c r="X221" s="97"/>
      <c r="AG221" s="97"/>
    </row>
    <row r="222" spans="6:33" s="96" customFormat="1">
      <c r="F222" s="97"/>
      <c r="O222" s="97"/>
      <c r="X222" s="97"/>
      <c r="AG222" s="97"/>
    </row>
    <row r="223" spans="6:33" s="96" customFormat="1">
      <c r="F223" s="97"/>
      <c r="O223" s="97"/>
      <c r="X223" s="97"/>
      <c r="AG223" s="97"/>
    </row>
    <row r="224" spans="6:33" s="96" customFormat="1">
      <c r="F224" s="97"/>
      <c r="O224" s="97"/>
      <c r="X224" s="97"/>
      <c r="AG224" s="97"/>
    </row>
    <row r="225" spans="6:33" s="96" customFormat="1">
      <c r="F225" s="97"/>
      <c r="O225" s="97"/>
      <c r="X225" s="97"/>
      <c r="AG225" s="97"/>
    </row>
    <row r="226" spans="6:33" s="96" customFormat="1">
      <c r="F226" s="97"/>
      <c r="O226" s="97"/>
      <c r="X226" s="97"/>
      <c r="AG226" s="97"/>
    </row>
    <row r="227" spans="6:33" s="96" customFormat="1">
      <c r="F227" s="97"/>
      <c r="O227" s="97"/>
      <c r="X227" s="97"/>
      <c r="AG227" s="97"/>
    </row>
    <row r="228" spans="6:33" s="96" customFormat="1">
      <c r="F228" s="97"/>
      <c r="O228" s="97"/>
      <c r="X228" s="97"/>
      <c r="AG228" s="97"/>
    </row>
    <row r="229" spans="6:33" s="96" customFormat="1">
      <c r="F229" s="97"/>
      <c r="O229" s="97"/>
      <c r="X229" s="97"/>
      <c r="AG229" s="97"/>
    </row>
    <row r="230" spans="6:33" s="96" customFormat="1">
      <c r="F230" s="97"/>
      <c r="O230" s="97"/>
      <c r="X230" s="97"/>
      <c r="AG230" s="97"/>
    </row>
    <row r="231" spans="6:33" s="96" customFormat="1">
      <c r="F231" s="97"/>
      <c r="O231" s="97"/>
      <c r="X231" s="97"/>
      <c r="AG231" s="97"/>
    </row>
    <row r="232" spans="6:33" s="96" customFormat="1">
      <c r="F232" s="97"/>
      <c r="O232" s="97"/>
      <c r="X232" s="97"/>
      <c r="AG232" s="97"/>
    </row>
    <row r="233" spans="6:33" s="96" customFormat="1">
      <c r="F233" s="97"/>
      <c r="O233" s="97"/>
      <c r="X233" s="97"/>
      <c r="AG233" s="97"/>
    </row>
    <row r="234" spans="6:33" s="96" customFormat="1">
      <c r="F234" s="97"/>
      <c r="O234" s="97"/>
      <c r="X234" s="97"/>
      <c r="AG234" s="97"/>
    </row>
    <row r="235" spans="6:33" s="96" customFormat="1">
      <c r="F235" s="97"/>
      <c r="O235" s="97"/>
      <c r="X235" s="97"/>
      <c r="AG235" s="97"/>
    </row>
    <row r="236" spans="6:33" s="96" customFormat="1">
      <c r="F236" s="97"/>
      <c r="O236" s="97"/>
      <c r="X236" s="97"/>
      <c r="AG236" s="97"/>
    </row>
    <row r="237" spans="6:33" s="96" customFormat="1">
      <c r="F237" s="97"/>
      <c r="O237" s="97"/>
      <c r="X237" s="97"/>
      <c r="AG237" s="97"/>
    </row>
    <row r="238" spans="6:33" s="96" customFormat="1">
      <c r="F238" s="97"/>
      <c r="O238" s="97"/>
      <c r="X238" s="97"/>
      <c r="AG238" s="97"/>
    </row>
    <row r="239" spans="6:33" s="96" customFormat="1">
      <c r="F239" s="97"/>
      <c r="O239" s="97"/>
      <c r="X239" s="97"/>
      <c r="AG239" s="97"/>
    </row>
    <row r="240" spans="6:33" s="96" customFormat="1">
      <c r="F240" s="97"/>
      <c r="O240" s="97"/>
      <c r="X240" s="97"/>
      <c r="AG240" s="97"/>
    </row>
    <row r="241" spans="6:33" s="96" customFormat="1">
      <c r="F241" s="97"/>
      <c r="O241" s="97"/>
      <c r="X241" s="97"/>
      <c r="AG241" s="97"/>
    </row>
    <row r="242" spans="6:33" s="96" customFormat="1">
      <c r="F242" s="97"/>
      <c r="O242" s="97"/>
      <c r="X242" s="97"/>
      <c r="AG242" s="97"/>
    </row>
    <row r="243" spans="6:33" s="96" customFormat="1">
      <c r="F243" s="97"/>
      <c r="O243" s="97"/>
      <c r="X243" s="97"/>
      <c r="AG243" s="97"/>
    </row>
    <row r="244" spans="6:33" s="96" customFormat="1">
      <c r="F244" s="97"/>
      <c r="O244" s="97"/>
      <c r="X244" s="97"/>
      <c r="AG244" s="97"/>
    </row>
    <row r="245" spans="6:33" s="96" customFormat="1">
      <c r="F245" s="97"/>
      <c r="O245" s="97"/>
      <c r="X245" s="97"/>
      <c r="AG245" s="97"/>
    </row>
    <row r="246" spans="6:33" s="96" customFormat="1">
      <c r="F246" s="97"/>
      <c r="O246" s="97"/>
      <c r="X246" s="97"/>
      <c r="AG246" s="97"/>
    </row>
    <row r="247" spans="6:33" s="96" customFormat="1">
      <c r="F247" s="97"/>
      <c r="O247" s="97"/>
      <c r="X247" s="97"/>
      <c r="AG247" s="97"/>
    </row>
    <row r="248" spans="6:33" s="96" customFormat="1">
      <c r="F248" s="97"/>
      <c r="O248" s="97"/>
      <c r="X248" s="97"/>
      <c r="AG248" s="97"/>
    </row>
    <row r="249" spans="6:33" s="96" customFormat="1">
      <c r="F249" s="97"/>
      <c r="O249" s="97"/>
      <c r="X249" s="97"/>
      <c r="AG249" s="97"/>
    </row>
    <row r="250" spans="6:33" s="96" customFormat="1">
      <c r="F250" s="97"/>
      <c r="O250" s="97"/>
      <c r="X250" s="97"/>
      <c r="AG250" s="97"/>
    </row>
    <row r="251" spans="6:33" s="96" customFormat="1">
      <c r="F251" s="97"/>
      <c r="O251" s="97"/>
      <c r="X251" s="97"/>
      <c r="AG251" s="97"/>
    </row>
    <row r="252" spans="6:33" s="96" customFormat="1">
      <c r="F252" s="97"/>
      <c r="O252" s="97"/>
      <c r="X252" s="97"/>
      <c r="AG252" s="97"/>
    </row>
    <row r="253" spans="6:33" s="96" customFormat="1">
      <c r="F253" s="97"/>
      <c r="O253" s="97"/>
      <c r="X253" s="97"/>
      <c r="AG253" s="97"/>
    </row>
    <row r="254" spans="6:33" s="96" customFormat="1">
      <c r="F254" s="97"/>
      <c r="O254" s="97"/>
      <c r="X254" s="97"/>
      <c r="AG254" s="97"/>
    </row>
    <row r="255" spans="6:33" s="96" customFormat="1">
      <c r="F255" s="97"/>
      <c r="O255" s="97"/>
      <c r="X255" s="97"/>
      <c r="AG255" s="97"/>
    </row>
    <row r="256" spans="6:33" s="96" customFormat="1">
      <c r="F256" s="97"/>
      <c r="O256" s="97"/>
      <c r="X256" s="97"/>
      <c r="AG256" s="97"/>
    </row>
    <row r="257" spans="6:33" s="96" customFormat="1">
      <c r="F257" s="97"/>
      <c r="O257" s="97"/>
      <c r="X257" s="97"/>
      <c r="AG257" s="97"/>
    </row>
    <row r="258" spans="6:33" s="96" customFormat="1">
      <c r="F258" s="97"/>
      <c r="O258" s="97"/>
      <c r="X258" s="97"/>
      <c r="AG258" s="97"/>
    </row>
    <row r="259" spans="6:33" s="96" customFormat="1">
      <c r="F259" s="97"/>
      <c r="O259" s="97"/>
      <c r="X259" s="97"/>
      <c r="AG259" s="97"/>
    </row>
    <row r="260" spans="6:33" s="96" customFormat="1">
      <c r="F260" s="97"/>
      <c r="O260" s="97"/>
      <c r="X260" s="97"/>
      <c r="AG260" s="97"/>
    </row>
    <row r="261" spans="6:33" s="96" customFormat="1">
      <c r="F261" s="97"/>
      <c r="O261" s="97"/>
      <c r="X261" s="97"/>
      <c r="AG261" s="97"/>
    </row>
    <row r="262" spans="6:33" s="96" customFormat="1">
      <c r="F262" s="97"/>
      <c r="O262" s="97"/>
      <c r="X262" s="97"/>
      <c r="AG262" s="97"/>
    </row>
    <row r="263" spans="6:33" s="96" customFormat="1">
      <c r="F263" s="97"/>
      <c r="O263" s="97"/>
      <c r="X263" s="97"/>
      <c r="AG263" s="97"/>
    </row>
    <row r="264" spans="6:33" s="96" customFormat="1">
      <c r="F264" s="97"/>
      <c r="O264" s="97"/>
      <c r="X264" s="97"/>
      <c r="AG264" s="97"/>
    </row>
    <row r="265" spans="6:33" s="96" customFormat="1">
      <c r="F265" s="97"/>
      <c r="O265" s="97"/>
      <c r="X265" s="97"/>
      <c r="AG265" s="97"/>
    </row>
    <row r="266" spans="6:33" s="96" customFormat="1">
      <c r="F266" s="97"/>
      <c r="O266" s="97"/>
      <c r="X266" s="97"/>
      <c r="AG266" s="97"/>
    </row>
    <row r="267" spans="6:33" s="96" customFormat="1">
      <c r="F267" s="97"/>
      <c r="O267" s="97"/>
      <c r="X267" s="97"/>
      <c r="AG267" s="97"/>
    </row>
    <row r="268" spans="6:33" s="96" customFormat="1">
      <c r="F268" s="97"/>
      <c r="O268" s="97"/>
      <c r="X268" s="97"/>
      <c r="AG268" s="97"/>
    </row>
    <row r="269" spans="6:33" s="96" customFormat="1">
      <c r="F269" s="97"/>
      <c r="O269" s="97"/>
      <c r="X269" s="97"/>
      <c r="AG269" s="97"/>
    </row>
    <row r="270" spans="6:33" s="96" customFormat="1">
      <c r="F270" s="97"/>
      <c r="O270" s="97"/>
      <c r="X270" s="97"/>
      <c r="AG270" s="97"/>
    </row>
    <row r="271" spans="6:33" s="96" customFormat="1">
      <c r="F271" s="97"/>
      <c r="O271" s="97"/>
      <c r="X271" s="97"/>
      <c r="AG271" s="97"/>
    </row>
    <row r="272" spans="6:33" s="96" customFormat="1">
      <c r="F272" s="97"/>
      <c r="O272" s="97"/>
      <c r="X272" s="97"/>
      <c r="AG272" s="97"/>
    </row>
    <row r="273" spans="6:33" s="96" customFormat="1">
      <c r="F273" s="97"/>
      <c r="O273" s="97"/>
      <c r="X273" s="97"/>
      <c r="AG273" s="97"/>
    </row>
    <row r="274" spans="6:33" s="96" customFormat="1">
      <c r="F274" s="97"/>
      <c r="O274" s="97"/>
      <c r="X274" s="97"/>
      <c r="AG274" s="97"/>
    </row>
  </sheetData>
  <sheetProtection algorithmName="SHA-512" hashValue="kGboWqBBTz9XSj8Bq6lNquxuQd2B7AbzCwCBaKeK9HpCCsv5SF37Q1+I2WJlsepUSabLlT2OAiYjYq5+4082kw==" saltValue="LSk0qiZobgwfJK3RXt5irw==" spinCount="100000" sheet="1" scenarios="1" insertHyperlinks="0"/>
  <mergeCells count="117">
    <mergeCell ref="AP2:AS2"/>
    <mergeCell ref="D8:F8"/>
    <mergeCell ref="G8:I8"/>
    <mergeCell ref="J8:L8"/>
    <mergeCell ref="M8:O8"/>
    <mergeCell ref="P8:R8"/>
    <mergeCell ref="S8:U8"/>
    <mergeCell ref="V8:X8"/>
    <mergeCell ref="Y8:AA8"/>
    <mergeCell ref="AB8:AD8"/>
    <mergeCell ref="AQ12:AS12"/>
    <mergeCell ref="AQ13:AS13"/>
    <mergeCell ref="AQ14:AS14"/>
    <mergeCell ref="AQ15:AS15"/>
    <mergeCell ref="AQ16:AS16"/>
    <mergeCell ref="AQ17:AS17"/>
    <mergeCell ref="AE8:AG8"/>
    <mergeCell ref="AH8:AJ8"/>
    <mergeCell ref="AK8:AM8"/>
    <mergeCell ref="AQ8:AS8"/>
    <mergeCell ref="AQ10:AS10"/>
    <mergeCell ref="AQ11:AS11"/>
    <mergeCell ref="V18:X18"/>
    <mergeCell ref="Y18:AA18"/>
    <mergeCell ref="AB18:AD18"/>
    <mergeCell ref="AE18:AG18"/>
    <mergeCell ref="AH18:AJ18"/>
    <mergeCell ref="AK18:AM18"/>
    <mergeCell ref="D18:F18"/>
    <mergeCell ref="G18:I18"/>
    <mergeCell ref="J18:L18"/>
    <mergeCell ref="M18:O18"/>
    <mergeCell ref="P18:R18"/>
    <mergeCell ref="S18:U18"/>
    <mergeCell ref="V20:X20"/>
    <mergeCell ref="Y20:AA20"/>
    <mergeCell ref="AB20:AD20"/>
    <mergeCell ref="AE20:AG20"/>
    <mergeCell ref="AH20:AJ20"/>
    <mergeCell ref="AK20:AM20"/>
    <mergeCell ref="D20:F20"/>
    <mergeCell ref="G20:I20"/>
    <mergeCell ref="J20:L20"/>
    <mergeCell ref="M20:O20"/>
    <mergeCell ref="P20:R20"/>
    <mergeCell ref="S20:U20"/>
    <mergeCell ref="AQ28:AS28"/>
    <mergeCell ref="AQ29:AS29"/>
    <mergeCell ref="AQ30:AS30"/>
    <mergeCell ref="AQ31:AS31"/>
    <mergeCell ref="AQ32:AS32"/>
    <mergeCell ref="AQ33:AS33"/>
    <mergeCell ref="AQ22:AS22"/>
    <mergeCell ref="AQ23:AS23"/>
    <mergeCell ref="AQ24:AS24"/>
    <mergeCell ref="AQ25:AS25"/>
    <mergeCell ref="AQ26:AS26"/>
    <mergeCell ref="AQ27:AS27"/>
    <mergeCell ref="AQ34:AS34"/>
    <mergeCell ref="D35:F35"/>
    <mergeCell ref="G35:I35"/>
    <mergeCell ref="J35:L35"/>
    <mergeCell ref="M35:O35"/>
    <mergeCell ref="P35:R35"/>
    <mergeCell ref="S35:U35"/>
    <mergeCell ref="V35:X35"/>
    <mergeCell ref="Y35:AA35"/>
    <mergeCell ref="AB35:AD35"/>
    <mergeCell ref="AQ39:AS39"/>
    <mergeCell ref="AE35:AG35"/>
    <mergeCell ref="AH35:AJ35"/>
    <mergeCell ref="AK35:AM35"/>
    <mergeCell ref="AQ42:AS42"/>
    <mergeCell ref="D48:H48"/>
    <mergeCell ref="J48:N48"/>
    <mergeCell ref="D49:H49"/>
    <mergeCell ref="J49:N49"/>
    <mergeCell ref="D37:F37"/>
    <mergeCell ref="G37:I37"/>
    <mergeCell ref="J37:L37"/>
    <mergeCell ref="M37:O37"/>
    <mergeCell ref="P37:R37"/>
    <mergeCell ref="S37:U37"/>
    <mergeCell ref="V37:X37"/>
    <mergeCell ref="Y37:AA37"/>
    <mergeCell ref="AB37:AD37"/>
    <mergeCell ref="AE37:AG37"/>
    <mergeCell ref="AH37:AJ37"/>
    <mergeCell ref="AK37:AM37"/>
    <mergeCell ref="D50:H50"/>
    <mergeCell ref="J50:N50"/>
    <mergeCell ref="V42:X42"/>
    <mergeCell ref="Y42:AA42"/>
    <mergeCell ref="AB42:AD42"/>
    <mergeCell ref="AE42:AG42"/>
    <mergeCell ref="AH42:AJ42"/>
    <mergeCell ref="AK42:AM42"/>
    <mergeCell ref="D42:F42"/>
    <mergeCell ref="G42:I42"/>
    <mergeCell ref="J42:L42"/>
    <mergeCell ref="M42:O42"/>
    <mergeCell ref="P42:R42"/>
    <mergeCell ref="S42:U42"/>
    <mergeCell ref="D92:H92"/>
    <mergeCell ref="D68:H68"/>
    <mergeCell ref="J68:N68"/>
    <mergeCell ref="D76:H76"/>
    <mergeCell ref="J76:N76"/>
    <mergeCell ref="D84:H84"/>
    <mergeCell ref="J84:N84"/>
    <mergeCell ref="D51:H51"/>
    <mergeCell ref="J51:N51"/>
    <mergeCell ref="D52:H52"/>
    <mergeCell ref="J52:N52"/>
    <mergeCell ref="D60:H60"/>
    <mergeCell ref="J60:N60"/>
    <mergeCell ref="J92:N92"/>
  </mergeCells>
  <conditionalFormatting sqref="D8:AM8">
    <cfRule type="expression" dxfId="136" priority="13">
      <formula>E39&lt;0</formula>
    </cfRule>
  </conditionalFormatting>
  <conditionalFormatting sqref="D9:AM9">
    <cfRule type="expression" dxfId="135" priority="28" stopIfTrue="1">
      <formula>D204&lt;0</formula>
    </cfRule>
  </conditionalFormatting>
  <conditionalFormatting sqref="D20:AM20">
    <cfRule type="expression" dxfId="134" priority="14">
      <formula>E39&lt;0</formula>
    </cfRule>
  </conditionalFormatting>
  <conditionalFormatting sqref="D21:AM21">
    <cfRule type="expression" dxfId="133" priority="27" stopIfTrue="1">
      <formula>D213&lt;0</formula>
    </cfRule>
  </conditionalFormatting>
  <conditionalFormatting sqref="D37:AM37">
    <cfRule type="expression" dxfId="132" priority="20">
      <formula>E39&lt;0</formula>
    </cfRule>
  </conditionalFormatting>
  <conditionalFormatting sqref="D38:AM38">
    <cfRule type="expression" dxfId="131" priority="26" stopIfTrue="1">
      <formula>D228&lt;0</formula>
    </cfRule>
  </conditionalFormatting>
  <conditionalFormatting sqref="F10:F16">
    <cfRule type="cellIs" dxfId="130" priority="9" operator="equal">
      <formula>"ec"</formula>
    </cfRule>
    <cfRule type="cellIs" dxfId="129" priority="10" operator="equal">
      <formula>"ok"</formula>
    </cfRule>
  </conditionalFormatting>
  <conditionalFormatting sqref="F22:F33">
    <cfRule type="cellIs" dxfId="128" priority="3" operator="equal">
      <formula>"ec"</formula>
    </cfRule>
    <cfRule type="cellIs" dxfId="127" priority="4" operator="equal">
      <formula>"ok"</formula>
    </cfRule>
  </conditionalFormatting>
  <conditionalFormatting sqref="I10:I16">
    <cfRule type="cellIs" dxfId="126" priority="7" operator="equal">
      <formula>"ec"</formula>
    </cfRule>
    <cfRule type="cellIs" dxfId="125" priority="8" operator="equal">
      <formula>"ok"</formula>
    </cfRule>
  </conditionalFormatting>
  <conditionalFormatting sqref="I22:I33 L22:L33 O22:O33 R22:R33 U22:U33 X22:X33 AA22:AA33 AD22:AD33 AG22:AG33 AJ22:AJ33 AM22:AM33">
    <cfRule type="cellIs" dxfId="124" priority="1" operator="equal">
      <formula>"ec"</formula>
    </cfRule>
    <cfRule type="cellIs" dxfId="123" priority="2" operator="equal">
      <formula>"ok"</formula>
    </cfRule>
  </conditionalFormatting>
  <conditionalFormatting sqref="L10:L16 O10:O16 R10:R16 U10:U16 X10:X16 AA10:AA16 AD10:AD16 AG10:AG16 AJ10:AJ16 AM10:AM16">
    <cfRule type="cellIs" dxfId="122" priority="5" operator="equal">
      <formula>"ec"</formula>
    </cfRule>
    <cfRule type="cellIs" dxfId="121" priority="6" operator="equal">
      <formula>"ok"</formula>
    </cfRule>
  </conditionalFormatting>
  <conditionalFormatting sqref="AQ8:AS8">
    <cfRule type="expression" dxfId="120" priority="29" stopIfTrue="1">
      <formula>AR39&lt;0</formula>
    </cfRule>
  </conditionalFormatting>
  <dataValidations count="2">
    <dataValidation type="list" errorStyle="warning" allowBlank="1" showErrorMessage="1" errorTitle="REMARQUE :" error="Sélectionner &quot;OK&quot; si l'affectation d'argent a été réalisée._x000a__x000a_Sélectionner &quot;EC&quot; si l'affectation a été partiellement réalisée." sqref="AT327711:AT327721 F65557:F65561 F131093:F131097 F196629:F196633 F262165:F262169 F327701:F327705 F393237:F393241 F458773:F458777 F524309:F524313 F589845:F589849 F655381:F655385 F720917:F720921 F786453:F786457 F851989:F851993 F917525:F917529 F983061:F983065 AT393247:AT393257 I65557:I65561 I131093:I131097 I196629:I196633 I262165:I262169 I327701:I327705 I393237:I393241 I458773:I458777 I524309:I524313 I589845:I589849 I655381:I655385 I720917:I720921 I786453:I786457 I851989:I851993 I917525:I917529 I983061:I983065 AT458783:AT458793 O65557:O65561 O131093:O131097 O196629:O196633 O262165:O262169 O327701:O327705 O393237:O393241 O458773:O458777 O524309:O524313 O589845:O589849 O655381:O655385 O720917:O720921 O786453:O786457 O851989:O851993 O917525:O917529 O983061:O983065 I10:I16 F65567:F65577 F131103:F131113 F196639:F196649 F262175:F262185 F327711:F327721 F393247:F393257 F458783:F458793 F524319:F524329 F589855:F589865 F655391:F655401 F720927:F720937 F786463:F786473 F851999:F852009 F917535:F917545 F983071:F983081 AT524319:AT524329 U65557:U65561 U131093:U131097 U196629:U196633 U262165:U262169 U327701:U327705 U393237:U393241 U458773:U458777 U524309:U524313 U589845:U589849 U655381:U655385 U720917:U720921 U786453:U786457 U851989:U851993 U917525:U917529 U983061:U983065 AT589855:AT589865 R65557:R65561 R131093:R131097 R196629:R196633 R262165:R262169 R327701:R327705 R393237:R393241 R458773:R458777 R524309:R524313 R589845:R589849 R655381:R655385 R720917:R720921 R786453:R786457 R851989:R851993 R917525:R917529 R983061:R983065 AT655391:AT655401 X65557:X65561 X131093:X131097 X196629:X196633 X262165:X262169 X327701:X327705 X393237:X393241 X458773:X458777 X524309:X524313 X589845:X589849 X655381:X655385 X720917:X720921 X786453:X786457 X851989:X851993 X917525:X917529 X983061:X983065 AT720927:AT720937 AD65557:AD65561 AD131093:AD131097 AD196629:AD196633 AD262165:AD262169 AD327701:AD327705 AD393237:AD393241 AD458773:AD458777 AD524309:AD524313 AD589845:AD589849 AD655381:AD655385 AD720917:AD720921 AD786453:AD786457 AD851989:AD851993 AD917525:AD917529 AD983061:AD983065 AT786463:AT786473 AA65557:AA65561 AA131093:AA131097 AA196629:AA196633 AA262165:AA262169 AA327701:AA327705 AA393237:AA393241 AA458773:AA458777 AA524309:AA524313 AA589845:AA589849 AA655381:AA655385 AA720917:AA720921 AA786453:AA786457 AA851989:AA851993 AA917525:AA917529 AA983061:AA983065 AM10:AO16 AG65557:AG65561 AG131093:AG131097 AG196629:AG196633 AG262165:AG262169 AG327701:AG327705 AG393237:AG393241 AG458773:AG458777 AG524309:AG524313 AG589845:AG589849 AG655381:AG655385 AG720917:AG720921 AG786453:AG786457 AG851989:AG851993 AG917525:AG917529 AG983061:AG983065 AT851999:AT852009 AM65557:AO65561 AM131093:AO131097 AM196629:AO196633 AM262165:AO262169 AM327701:AO327705 AM393237:AO393241 AM458773:AO458777 AM524309:AO524313 AM589845:AO589849 AM655381:AO655385 AM720917:AO720921 AM786453:AO786457 AM851989:AO851993 AM917525:AO917529 AM983061:AO983065 AT917535:AT917545 AJ65557:AJ65561 AJ131093:AJ131097 AJ196629:AJ196633 AJ262165:AJ262169 AJ327701:AJ327705 AJ393237:AJ393241 AJ458773:AJ458777 AJ524309:AJ524313 AJ589845:AJ589849 AJ655381:AJ655385 AJ720917:AJ720921 AJ786453:AJ786457 AJ851989:AJ851993 AJ917525:AJ917529 AJ983061:AJ983065 F11:F16 I65567:I65577 I131103:I131113 I196639:I196649 I262175:I262185 I327711:I327721 I393247:I393257 I458783:I458793 I524319:I524329 I589855:I589865 I655391:I655401 I720927:I720937 I786463:I786473 I851999:I852009 I917535:I917545 I983071:I983081 AT983071:AT983081 L65557:L65561 L131093:L131097 L196629:L196633 L262165:L262169 L327701:L327705 L393237:L393241 L458773:L458777 L524309:L524313 L589845:L589849 L655381:L655385 L720917:L720921 L786453:L786457 L851989:L851993 L917525:L917529 L983061:L983065 AM22:AO33 AJ65567:AJ65577 AJ131103:AJ131113 AJ196639:AJ196649 AJ262175:AJ262185 AJ327711:AJ327721 AJ393247:AJ393257 AJ458783:AJ458793 AJ524319:AJ524329 AJ589855:AJ589865 AJ655391:AJ655401 AJ720927:AJ720937 AJ786463:AJ786473 AJ851999:AJ852009 AJ917535:AJ917545 AJ983071:AJ983081 L10:L16 AM65567:AO65577 AM131103:AO131113 AM196639:AO196649 AM262175:AO262185 AM327711:AO327721 AM393247:AO393257 AM458783:AO458793 AM524319:AO524329 AM589855:AO589865 AM655391:AO655401 AM720927:AO720937 AM786463:AO786473 AM851999:AO852009 AM917535:AO917545 AM983071:AO983081 O10:O16 AG65567:AG65577 AG131103:AG131113 AG196639:AG196649 AG262175:AG262185 AG327711:AG327721 AG393247:AG393257 AG458783:AG458793 AG524319:AG524329 AG589855:AG589865 AG655391:AG655401 AG720927:AG720937 AG786463:AG786473 AG851999:AG852009 AG917535:AG917545 AG983071:AG983081 R10:R16 AA65567:AA65577 AA131103:AA131113 AA196639:AA196649 AA262175:AA262185 AA327711:AA327721 AA393247:AA393257 AA458783:AA458793 AA524319:AA524329 AA589855:AA589865 AA655391:AA655401 AA720927:AA720937 AA786463:AA786473 AA851999:AA852009 AA917535:AA917545 AA983071:AA983081 U10:U16 AD65567:AD65577 AD131103:AD131113 AD196639:AD196649 AD262175:AD262185 AD327711:AD327721 AD393247:AD393257 AD458783:AD458793 AD524319:AD524329 AD589855:AD589865 AD655391:AD655401 AD720927:AD720937 AD786463:AD786473 AD851999:AD852009 AD917535:AD917545 AD983071:AD983081 X10:X16 X65567:X65577 X131103:X131113 X196639:X196649 X262175:X262185 X327711:X327721 X393247:X393257 X458783:X458793 X524319:X524329 X589855:X589865 X655391:X655401 X720927:X720937 X786463:X786473 X851999:X852009 X917535:X917545 X983071:X983081 AA10:AA16 R65567:R65577 R131103:R131113 R196639:R196649 R262175:R262185 R327711:R327721 R393247:R393257 R458783:R458793 R524319:R524329 R589855:R589865 R655391:R655401 R720927:R720937 R786463:R786473 R851999:R852009 R917535:R917545 R983071:R983081 AD10:AD16 U65567:U65577 U131103:U131113 U196639:U196649 U262175:U262185 U327711:U327721 U393247:U393257 U458783:U458793 U524319:U524329 U589855:U589865 U655391:U655401 U720927:U720937 U786463:U786473 U851999:U852009 U917535:U917545 U983071:U983081 AG10:AG16 O65567:O65577 O131103:O131113 O196639:O196649 O262175:O262185 O327711:O327721 O393247:O393257 O458783:O458793 O524319:O524329 O589855:O589865 O655391:O655401 O720927:O720937 O786463:O786473 O851999:O852009 O917535:O917545 O983071:O983081 AJ10:AJ16 L65567:L65577 L131103:L131113 L196639:L196649 L262175:L262185 L327711:L327721 L393247:L393257 L458783:L458793 L524319:L524329 L589855:L589865 L655391:L655401 L720927:L720937 L786463:L786473 L851999:L852009 L917535:L917545 L983071:L983081 AT10:AT16 AT65557:AT65561 AT131093:AT131097 AT196629:AT196633 AT262165:AT262169 AT327701:AT327705 AT393237:AT393241 AT458773:AT458777 AT524309:AT524313 AT589845:AT589849 AT655381:AT655385 AT720917:AT720921 AT786453:AT786457 AT851989:AT851993 AT917525:AT917529 AT983061:AT983065 AT22:AT33 AT65567:AT65577 AT131103:AT131113 AT196639:AT196649 AT262175:AT262185 F22:F33 I22:I33 L22:L33 O22:O33 R22:R33 U22:U33 X22:X33 AA22:AA33 AD22:AD33 AG22:AG33 AJ22:AJ33" xr:uid="{00000000-0002-0000-0900-000000000000}">
      <formula1>OK</formula1>
    </dataValidation>
    <dataValidation type="list" allowBlank="1" showInputMessage="1" showErrorMessage="1" sqref="F10" xr:uid="{00000000-0002-0000-0900-000001000000}">
      <formula1>OK</formula1>
    </dataValidation>
  </dataValidations>
  <hyperlinks>
    <hyperlink ref="A3" location="'Budget Gold'!A1" tooltip="Accès au Budget Gold" display="Accès au Budget" xr:uid="{00000000-0004-0000-0900-000000000000}"/>
    <hyperlink ref="A4" location="Simulateur!A1" tooltip="Simulateur d'épargne" display="Simulateur d'épargne" xr:uid="{00000000-0004-0000-0900-000001000000}"/>
    <hyperlink ref="A2" location="Menu!A1" tooltip="Accès au Menu Général" display="Accès au MENU" xr:uid="{00000000-0004-0000-0900-000002000000}"/>
  </hyperlink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xr:uid="{00000000-0002-0000-0900-000002000000}">
          <x14:formula1>
            <xm:f>Données!$F$64:$F$78</xm:f>
          </x14:formula1>
          <xm:sqref>C22:C33</xm:sqref>
        </x14:dataValidation>
        <x14:dataValidation type="list" allowBlank="1" xr:uid="{00000000-0002-0000-0900-000003000000}">
          <x14:formula1>
            <xm:f>Données!$D$64:$D$72</xm:f>
          </x14:formula1>
          <xm:sqref>C10:C16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V94"/>
  <sheetViews>
    <sheetView workbookViewId="0">
      <selection activeCell="F19" sqref="F19"/>
    </sheetView>
  </sheetViews>
  <sheetFormatPr baseColWidth="10" defaultColWidth="9.1640625" defaultRowHeight="13"/>
  <cols>
    <col min="1" max="1" width="5.6640625" style="69" customWidth="1"/>
    <col min="2" max="2" width="27.6640625" style="69" bestFit="1" customWidth="1"/>
    <col min="3" max="3" width="9.1640625" style="69"/>
    <col min="4" max="4" width="30.33203125" style="69" customWidth="1"/>
    <col min="5" max="5" width="9.1640625" style="69"/>
    <col min="6" max="6" width="26.1640625" style="69" bestFit="1" customWidth="1"/>
    <col min="7" max="7" width="9.1640625" style="69"/>
    <col min="8" max="8" width="40.33203125" style="69" customWidth="1"/>
    <col min="9" max="9" width="9.1640625" style="69"/>
    <col min="10" max="10" width="35.6640625" style="69" customWidth="1"/>
    <col min="11" max="11" width="9.1640625" style="69"/>
    <col min="12" max="12" width="37.1640625" style="69" customWidth="1"/>
    <col min="13" max="13" width="9.1640625" style="69"/>
    <col min="14" max="14" width="58" style="69" customWidth="1"/>
    <col min="15" max="15" width="9.1640625" style="69"/>
    <col min="16" max="16" width="46.6640625" style="69" customWidth="1"/>
    <col min="17" max="17" width="9.1640625" style="69"/>
    <col min="18" max="18" width="30.33203125" style="69" customWidth="1"/>
    <col min="19" max="19" width="9.1640625" style="69"/>
    <col min="20" max="20" width="37.6640625" style="69" customWidth="1"/>
    <col min="21" max="21" width="9.1640625" style="69"/>
    <col min="22" max="22" width="27" style="69" customWidth="1"/>
    <col min="23" max="16384" width="9.1640625" style="69"/>
  </cols>
  <sheetData>
    <row r="2" spans="2:18" ht="14">
      <c r="D2" s="70"/>
      <c r="L2" s="71" t="s">
        <v>391</v>
      </c>
      <c r="N2" s="71" t="s">
        <v>391</v>
      </c>
      <c r="P2" s="71" t="s">
        <v>460</v>
      </c>
      <c r="R2" s="71" t="s">
        <v>466</v>
      </c>
    </row>
    <row r="3" spans="2:18" ht="16">
      <c r="B3" s="72" t="s">
        <v>5</v>
      </c>
      <c r="L3" s="73" t="s">
        <v>392</v>
      </c>
      <c r="N3" s="73" t="s">
        <v>393</v>
      </c>
      <c r="P3" s="73"/>
      <c r="R3" s="73"/>
    </row>
    <row r="4" spans="2:18" ht="14">
      <c r="J4" s="71" t="s">
        <v>51</v>
      </c>
      <c r="L4" s="74" t="s">
        <v>354</v>
      </c>
      <c r="N4" s="74" t="s">
        <v>362</v>
      </c>
      <c r="P4" s="75" t="s">
        <v>461</v>
      </c>
      <c r="R4" s="75" t="s">
        <v>456</v>
      </c>
    </row>
    <row r="5" spans="2:18" ht="14">
      <c r="B5" s="71" t="s">
        <v>2</v>
      </c>
      <c r="C5" s="76"/>
      <c r="D5" s="71" t="s">
        <v>3</v>
      </c>
      <c r="E5" s="76"/>
      <c r="F5" s="71" t="s">
        <v>4</v>
      </c>
      <c r="G5" s="76"/>
      <c r="H5" s="71" t="s">
        <v>1</v>
      </c>
      <c r="I5" s="76"/>
      <c r="J5" s="73" t="s">
        <v>52</v>
      </c>
      <c r="L5" s="74" t="s">
        <v>355</v>
      </c>
      <c r="N5" s="74" t="s">
        <v>363</v>
      </c>
      <c r="P5" s="75" t="s">
        <v>462</v>
      </c>
      <c r="R5" s="75" t="s">
        <v>457</v>
      </c>
    </row>
    <row r="6" spans="2:18">
      <c r="B6" s="77" t="s">
        <v>16</v>
      </c>
      <c r="D6" s="69" t="s">
        <v>15</v>
      </c>
      <c r="F6" s="69" t="s">
        <v>14</v>
      </c>
      <c r="H6" s="69" t="s">
        <v>13</v>
      </c>
      <c r="J6" s="78" t="s">
        <v>10</v>
      </c>
      <c r="L6" s="74" t="s">
        <v>356</v>
      </c>
      <c r="N6" s="74" t="s">
        <v>389</v>
      </c>
      <c r="P6" s="75" t="s">
        <v>463</v>
      </c>
      <c r="R6" s="75" t="s">
        <v>458</v>
      </c>
    </row>
    <row r="7" spans="2:18">
      <c r="B7" s="79" t="s">
        <v>10</v>
      </c>
      <c r="D7" s="79" t="s">
        <v>10</v>
      </c>
      <c r="F7" s="79" t="s">
        <v>10</v>
      </c>
      <c r="H7" s="79" t="s">
        <v>10</v>
      </c>
      <c r="I7" s="80">
        <v>1</v>
      </c>
      <c r="J7" s="81" t="str">
        <f>IF('Menu 2'!E8="","",'Menu 2'!E8)</f>
        <v>Compte courant - BANXO</v>
      </c>
      <c r="L7" s="74" t="s">
        <v>357</v>
      </c>
      <c r="N7" s="74" t="s">
        <v>364</v>
      </c>
    </row>
    <row r="8" spans="2:18">
      <c r="B8" s="82" t="s">
        <v>6</v>
      </c>
      <c r="D8" s="82">
        <v>0</v>
      </c>
      <c r="E8" s="80">
        <v>1</v>
      </c>
      <c r="F8" s="82">
        <v>0</v>
      </c>
      <c r="G8" s="80">
        <v>1</v>
      </c>
      <c r="H8" s="83">
        <v>46023</v>
      </c>
      <c r="I8" s="80">
        <v>2</v>
      </c>
      <c r="J8" s="81" t="str">
        <f>IF('Menu 2'!E9="","",'Menu 2'!E9)</f>
        <v>Compte courant - Revolut</v>
      </c>
      <c r="L8" s="75" t="s">
        <v>394</v>
      </c>
      <c r="N8" s="75" t="s">
        <v>396</v>
      </c>
    </row>
    <row r="9" spans="2:18">
      <c r="B9" s="82" t="s">
        <v>7</v>
      </c>
      <c r="D9" s="82">
        <v>1</v>
      </c>
      <c r="E9" s="80">
        <v>2</v>
      </c>
      <c r="F9" s="82">
        <v>1</v>
      </c>
      <c r="G9" s="80">
        <v>2</v>
      </c>
      <c r="H9" s="83">
        <v>46054</v>
      </c>
      <c r="I9" s="80">
        <v>3</v>
      </c>
      <c r="J9" s="81" t="str">
        <f>IF('Menu 2'!E10="","",'Menu 2'!E10)</f>
        <v/>
      </c>
      <c r="L9" s="75" t="s">
        <v>395</v>
      </c>
      <c r="N9" s="75" t="s">
        <v>397</v>
      </c>
    </row>
    <row r="10" spans="2:18">
      <c r="B10" s="82" t="s">
        <v>8</v>
      </c>
      <c r="D10" s="82">
        <v>2</v>
      </c>
      <c r="E10" s="80">
        <v>3</v>
      </c>
      <c r="F10" s="82">
        <v>2</v>
      </c>
      <c r="G10" s="80">
        <v>3</v>
      </c>
      <c r="H10" s="83">
        <v>46082</v>
      </c>
      <c r="I10" s="80">
        <v>4</v>
      </c>
      <c r="J10" s="81" t="str">
        <f>IF('Menu 2'!E11="","",'Menu 2'!E11)</f>
        <v/>
      </c>
      <c r="L10" s="75" t="s">
        <v>38</v>
      </c>
      <c r="N10" s="74" t="s">
        <v>365</v>
      </c>
    </row>
    <row r="11" spans="2:18">
      <c r="B11" s="82" t="s">
        <v>11</v>
      </c>
      <c r="D11" s="82">
        <v>3</v>
      </c>
      <c r="E11" s="80">
        <v>4</v>
      </c>
      <c r="F11" s="82">
        <v>3</v>
      </c>
      <c r="G11" s="80">
        <v>4</v>
      </c>
      <c r="H11" s="83">
        <v>46113</v>
      </c>
      <c r="I11" s="80">
        <v>5</v>
      </c>
      <c r="J11" s="81" t="str">
        <f>IF('Menu 2'!E12="","",'Menu 2'!E12)</f>
        <v/>
      </c>
      <c r="L11" s="75"/>
      <c r="N11" s="74" t="s">
        <v>366</v>
      </c>
    </row>
    <row r="12" spans="2:18">
      <c r="B12" s="84" t="s">
        <v>285</v>
      </c>
      <c r="D12" s="82">
        <v>4</v>
      </c>
      <c r="E12" s="80">
        <v>5</v>
      </c>
      <c r="F12" s="82">
        <v>4</v>
      </c>
      <c r="G12" s="80">
        <v>5</v>
      </c>
      <c r="H12" s="83">
        <v>46143</v>
      </c>
      <c r="I12" s="80">
        <v>6</v>
      </c>
      <c r="J12" s="81" t="str">
        <f>IF('Menu 2'!E13="","",'Menu 2'!E13)</f>
        <v/>
      </c>
      <c r="N12" s="74" t="s">
        <v>367</v>
      </c>
    </row>
    <row r="13" spans="2:18">
      <c r="B13" s="84" t="s">
        <v>286</v>
      </c>
      <c r="D13" s="82">
        <v>5</v>
      </c>
      <c r="E13" s="80">
        <v>6</v>
      </c>
      <c r="F13" s="82">
        <v>5</v>
      </c>
      <c r="G13" s="80">
        <v>6</v>
      </c>
      <c r="H13" s="83">
        <v>46174</v>
      </c>
      <c r="I13" s="80">
        <v>7</v>
      </c>
      <c r="J13" s="81" t="str">
        <f>IF('Menu 2'!E14="","",'Menu 2'!E14)</f>
        <v/>
      </c>
      <c r="N13" s="74" t="s">
        <v>368</v>
      </c>
    </row>
    <row r="14" spans="2:18">
      <c r="D14" s="85" t="s">
        <v>9</v>
      </c>
      <c r="E14" s="80">
        <v>7</v>
      </c>
      <c r="F14" s="85" t="s">
        <v>9</v>
      </c>
      <c r="G14" s="80">
        <v>7</v>
      </c>
      <c r="H14" s="83">
        <v>46204</v>
      </c>
      <c r="I14" s="80">
        <v>8</v>
      </c>
      <c r="J14" s="81" t="str">
        <f>IF('Menu 2'!E15="","",'Menu 2'!E15)</f>
        <v/>
      </c>
      <c r="N14" s="74" t="s">
        <v>369</v>
      </c>
    </row>
    <row r="15" spans="2:18">
      <c r="H15" s="83">
        <v>46235</v>
      </c>
      <c r="I15" s="80">
        <v>9</v>
      </c>
      <c r="J15" s="81" t="str">
        <f>IF('Menu 2'!E16="","",'Menu 2'!E16)</f>
        <v/>
      </c>
      <c r="N15" s="74" t="s">
        <v>38</v>
      </c>
    </row>
    <row r="16" spans="2:18">
      <c r="H16" s="83">
        <v>46266</v>
      </c>
      <c r="I16" s="80">
        <v>10</v>
      </c>
      <c r="J16" s="81" t="str">
        <f>IF('Menu 2'!E17="","",'Menu 2'!E17)</f>
        <v/>
      </c>
      <c r="N16" s="74"/>
    </row>
    <row r="17" spans="1:22">
      <c r="H17" s="83">
        <v>46296</v>
      </c>
      <c r="I17" s="80">
        <v>11</v>
      </c>
      <c r="J17" s="81" t="str">
        <f>IF('Menu 2'!E18="","",'Menu 2'!E18)</f>
        <v/>
      </c>
    </row>
    <row r="18" spans="1:22">
      <c r="H18" s="83">
        <v>46327</v>
      </c>
      <c r="I18" s="80">
        <v>12</v>
      </c>
      <c r="J18" s="81" t="str">
        <f>IF('Menu 2'!E19="","",'Menu 2'!E19)</f>
        <v/>
      </c>
    </row>
    <row r="19" spans="1:22">
      <c r="H19" s="83">
        <v>46357</v>
      </c>
    </row>
    <row r="20" spans="1:22">
      <c r="H20" s="348"/>
    </row>
    <row r="21" spans="1:22" ht="16">
      <c r="B21" s="72" t="s">
        <v>273</v>
      </c>
    </row>
    <row r="23" spans="1:22" s="86" customFormat="1" ht="14">
      <c r="B23" s="87" t="s">
        <v>27</v>
      </c>
      <c r="D23" s="87" t="s">
        <v>44</v>
      </c>
      <c r="F23" s="87" t="s">
        <v>53</v>
      </c>
      <c r="H23" s="87" t="s">
        <v>108</v>
      </c>
      <c r="J23" s="87" t="s">
        <v>108</v>
      </c>
      <c r="L23" s="87" t="s">
        <v>109</v>
      </c>
      <c r="N23" s="87" t="s">
        <v>169</v>
      </c>
      <c r="P23" s="87" t="s">
        <v>170</v>
      </c>
      <c r="R23" s="87" t="s">
        <v>189</v>
      </c>
      <c r="T23" s="87" t="s">
        <v>215</v>
      </c>
      <c r="V23" s="87" t="s">
        <v>216</v>
      </c>
    </row>
    <row r="24" spans="1:22">
      <c r="D24" s="73" t="s">
        <v>50</v>
      </c>
      <c r="F24" s="73" t="s">
        <v>54</v>
      </c>
      <c r="H24" s="73" t="s">
        <v>110</v>
      </c>
      <c r="J24" s="73" t="s">
        <v>111</v>
      </c>
      <c r="L24" s="73" t="s">
        <v>130</v>
      </c>
      <c r="N24" s="73" t="s">
        <v>168</v>
      </c>
      <c r="P24" s="73" t="s">
        <v>185</v>
      </c>
      <c r="R24" s="73" t="s">
        <v>190</v>
      </c>
      <c r="T24" s="73" t="s">
        <v>217</v>
      </c>
      <c r="V24" s="73" t="s">
        <v>218</v>
      </c>
    </row>
    <row r="25" spans="1:22">
      <c r="A25" s="88">
        <v>0</v>
      </c>
      <c r="B25" s="89" t="s">
        <v>257</v>
      </c>
      <c r="C25" s="90" t="s">
        <v>318</v>
      </c>
      <c r="D25" s="91" t="s">
        <v>28</v>
      </c>
      <c r="F25" s="91"/>
      <c r="H25" s="91" t="s">
        <v>60</v>
      </c>
      <c r="J25" s="368" t="s">
        <v>569</v>
      </c>
      <c r="L25" s="91" t="s">
        <v>571</v>
      </c>
      <c r="N25" s="91" t="s">
        <v>136</v>
      </c>
      <c r="P25" s="368" t="s">
        <v>570</v>
      </c>
      <c r="R25" s="92" t="s">
        <v>186</v>
      </c>
      <c r="T25" s="91" t="s">
        <v>193</v>
      </c>
      <c r="V25" s="91" t="s">
        <v>194</v>
      </c>
    </row>
    <row r="26" spans="1:22">
      <c r="A26" s="88">
        <v>1</v>
      </c>
      <c r="B26" s="93" t="s">
        <v>256</v>
      </c>
      <c r="C26" s="90" t="s">
        <v>319</v>
      </c>
      <c r="D26" s="91" t="s">
        <v>29</v>
      </c>
      <c r="F26" s="91" t="s">
        <v>55</v>
      </c>
      <c r="H26" s="91" t="s">
        <v>61</v>
      </c>
      <c r="J26" s="91" t="s">
        <v>112</v>
      </c>
      <c r="L26" s="91" t="s">
        <v>86</v>
      </c>
      <c r="N26" s="91" t="s">
        <v>137</v>
      </c>
      <c r="P26" s="91" t="s">
        <v>171</v>
      </c>
      <c r="R26" s="92" t="s">
        <v>61</v>
      </c>
      <c r="T26" s="91" t="s">
        <v>195</v>
      </c>
      <c r="V26" s="92" t="s">
        <v>342</v>
      </c>
    </row>
    <row r="27" spans="1:22">
      <c r="A27" s="88">
        <v>2</v>
      </c>
      <c r="B27" s="93" t="s">
        <v>258</v>
      </c>
      <c r="C27" s="90" t="s">
        <v>320</v>
      </c>
      <c r="D27" s="91" t="s">
        <v>30</v>
      </c>
      <c r="F27" s="91" t="s">
        <v>56</v>
      </c>
      <c r="H27" s="91" t="s">
        <v>62</v>
      </c>
      <c r="J27" s="91" t="s">
        <v>113</v>
      </c>
      <c r="L27" s="91" t="s">
        <v>87</v>
      </c>
      <c r="N27" s="91" t="s">
        <v>138</v>
      </c>
      <c r="P27" s="91" t="s">
        <v>172</v>
      </c>
      <c r="R27" s="92" t="s">
        <v>68</v>
      </c>
      <c r="T27" s="91" t="s">
        <v>197</v>
      </c>
      <c r="V27" s="91" t="s">
        <v>196</v>
      </c>
    </row>
    <row r="28" spans="1:22">
      <c r="A28" s="88">
        <v>3</v>
      </c>
      <c r="B28" s="93" t="s">
        <v>259</v>
      </c>
      <c r="C28" s="90" t="s">
        <v>322</v>
      </c>
      <c r="D28" s="91" t="s">
        <v>31</v>
      </c>
      <c r="F28" s="91" t="s">
        <v>585</v>
      </c>
      <c r="H28" s="91" t="s">
        <v>63</v>
      </c>
      <c r="J28" s="91" t="s">
        <v>114</v>
      </c>
      <c r="L28" s="91" t="s">
        <v>88</v>
      </c>
      <c r="N28" s="91" t="s">
        <v>139</v>
      </c>
      <c r="P28" s="92" t="s">
        <v>412</v>
      </c>
      <c r="R28" s="92" t="s">
        <v>69</v>
      </c>
      <c r="T28" s="91" t="s">
        <v>199</v>
      </c>
      <c r="V28" s="91" t="s">
        <v>198</v>
      </c>
    </row>
    <row r="29" spans="1:22">
      <c r="A29" s="88">
        <v>4</v>
      </c>
      <c r="B29" s="93" t="s">
        <v>260</v>
      </c>
      <c r="C29" s="90" t="s">
        <v>323</v>
      </c>
      <c r="D29" s="91" t="s">
        <v>32</v>
      </c>
      <c r="H29" s="91" t="s">
        <v>64</v>
      </c>
      <c r="J29" s="91" t="s">
        <v>115</v>
      </c>
      <c r="L29" s="91" t="s">
        <v>89</v>
      </c>
      <c r="N29" s="91" t="s">
        <v>140</v>
      </c>
      <c r="P29" s="91" t="s">
        <v>173</v>
      </c>
      <c r="R29" s="92" t="s">
        <v>131</v>
      </c>
      <c r="T29" s="91" t="s">
        <v>201</v>
      </c>
      <c r="V29" s="91" t="s">
        <v>200</v>
      </c>
    </row>
    <row r="30" spans="1:22">
      <c r="A30" s="88">
        <v>5</v>
      </c>
      <c r="B30" s="93" t="s">
        <v>261</v>
      </c>
      <c r="C30" s="90" t="s">
        <v>324</v>
      </c>
      <c r="D30" s="91" t="s">
        <v>33</v>
      </c>
      <c r="H30" s="91" t="s">
        <v>65</v>
      </c>
      <c r="J30" s="91" t="s">
        <v>116</v>
      </c>
      <c r="L30" s="91" t="s">
        <v>90</v>
      </c>
      <c r="N30" s="91" t="s">
        <v>141</v>
      </c>
      <c r="P30" s="91" t="s">
        <v>174</v>
      </c>
      <c r="R30" s="92" t="s">
        <v>70</v>
      </c>
      <c r="T30" s="92" t="s">
        <v>332</v>
      </c>
      <c r="V30" s="91" t="s">
        <v>202</v>
      </c>
    </row>
    <row r="31" spans="1:22" ht="14">
      <c r="A31" s="88">
        <v>6</v>
      </c>
      <c r="B31" s="93" t="s">
        <v>262</v>
      </c>
      <c r="C31" s="90" t="s">
        <v>321</v>
      </c>
      <c r="D31" s="92" t="s">
        <v>46</v>
      </c>
      <c r="F31" s="87" t="s">
        <v>240</v>
      </c>
      <c r="H31" s="91" t="s">
        <v>66</v>
      </c>
      <c r="J31" s="91" t="s">
        <v>117</v>
      </c>
      <c r="L31" s="91" t="s">
        <v>91</v>
      </c>
      <c r="N31" s="91" t="s">
        <v>142</v>
      </c>
      <c r="P31" s="92" t="s">
        <v>413</v>
      </c>
      <c r="R31" s="92" t="s">
        <v>71</v>
      </c>
      <c r="T31" s="92" t="s">
        <v>333</v>
      </c>
      <c r="V31" s="91" t="s">
        <v>203</v>
      </c>
    </row>
    <row r="32" spans="1:22">
      <c r="A32" s="88">
        <v>7</v>
      </c>
      <c r="B32" s="93" t="s">
        <v>263</v>
      </c>
      <c r="C32" s="90" t="s">
        <v>325</v>
      </c>
      <c r="D32" s="91" t="s">
        <v>34</v>
      </c>
      <c r="F32" s="73" t="s">
        <v>239</v>
      </c>
      <c r="H32" s="91" t="s">
        <v>67</v>
      </c>
      <c r="J32" s="91" t="s">
        <v>118</v>
      </c>
      <c r="L32" s="91" t="s">
        <v>92</v>
      </c>
      <c r="N32" s="91" t="s">
        <v>143</v>
      </c>
      <c r="P32" s="92" t="s">
        <v>175</v>
      </c>
      <c r="R32" s="92" t="s">
        <v>72</v>
      </c>
      <c r="T32" s="91" t="s">
        <v>205</v>
      </c>
      <c r="V32" s="91" t="s">
        <v>204</v>
      </c>
    </row>
    <row r="33" spans="1:22">
      <c r="A33" s="88">
        <v>8</v>
      </c>
      <c r="B33" s="93" t="s">
        <v>264</v>
      </c>
      <c r="C33" s="90" t="s">
        <v>326</v>
      </c>
      <c r="D33" s="91" t="s">
        <v>35</v>
      </c>
      <c r="F33" s="91" t="s">
        <v>241</v>
      </c>
      <c r="H33" s="91" t="s">
        <v>68</v>
      </c>
      <c r="J33" s="91" t="s">
        <v>119</v>
      </c>
      <c r="L33" s="91" t="s">
        <v>93</v>
      </c>
      <c r="N33" s="91" t="s">
        <v>144</v>
      </c>
      <c r="P33" s="91" t="s">
        <v>176</v>
      </c>
      <c r="R33" s="92" t="s">
        <v>133</v>
      </c>
      <c r="T33" s="91" t="s">
        <v>207</v>
      </c>
      <c r="V33" s="91" t="s">
        <v>206</v>
      </c>
    </row>
    <row r="34" spans="1:22">
      <c r="A34" s="88">
        <v>9</v>
      </c>
      <c r="B34" s="93" t="s">
        <v>265</v>
      </c>
      <c r="C34" s="90" t="s">
        <v>327</v>
      </c>
      <c r="D34" s="92" t="s">
        <v>49</v>
      </c>
      <c r="F34" s="91" t="s">
        <v>242</v>
      </c>
      <c r="H34" s="91" t="s">
        <v>69</v>
      </c>
      <c r="J34" s="91" t="s">
        <v>120</v>
      </c>
      <c r="L34" s="91" t="s">
        <v>94</v>
      </c>
      <c r="N34" s="91" t="s">
        <v>145</v>
      </c>
      <c r="P34" s="92" t="s">
        <v>414</v>
      </c>
      <c r="R34" s="92" t="s">
        <v>132</v>
      </c>
      <c r="T34" s="91" t="s">
        <v>209</v>
      </c>
      <c r="V34" s="91" t="s">
        <v>208</v>
      </c>
    </row>
    <row r="35" spans="1:22">
      <c r="A35" s="88">
        <v>10</v>
      </c>
      <c r="B35" s="93" t="s">
        <v>266</v>
      </c>
      <c r="C35" s="90" t="s">
        <v>328</v>
      </c>
      <c r="D35" s="92" t="s">
        <v>47</v>
      </c>
      <c r="H35" s="92" t="s">
        <v>131</v>
      </c>
      <c r="J35" s="91" t="s">
        <v>121</v>
      </c>
      <c r="L35" s="91" t="s">
        <v>95</v>
      </c>
      <c r="N35" s="91" t="s">
        <v>146</v>
      </c>
      <c r="P35" s="91" t="s">
        <v>177</v>
      </c>
      <c r="R35" s="92" t="s">
        <v>187</v>
      </c>
      <c r="T35" s="91" t="s">
        <v>210</v>
      </c>
    </row>
    <row r="36" spans="1:22">
      <c r="A36" s="88">
        <v>11</v>
      </c>
      <c r="B36" s="93" t="s">
        <v>267</v>
      </c>
      <c r="C36" s="90" t="s">
        <v>329</v>
      </c>
      <c r="D36" s="92" t="s">
        <v>48</v>
      </c>
      <c r="H36" s="91" t="s">
        <v>70</v>
      </c>
      <c r="J36" s="91" t="s">
        <v>122</v>
      </c>
      <c r="L36" s="91" t="s">
        <v>96</v>
      </c>
      <c r="N36" s="91" t="s">
        <v>147</v>
      </c>
      <c r="P36" s="91" t="s">
        <v>178</v>
      </c>
      <c r="R36" s="92" t="s">
        <v>188</v>
      </c>
      <c r="T36" s="92" t="s">
        <v>334</v>
      </c>
    </row>
    <row r="37" spans="1:22">
      <c r="A37" s="88">
        <v>12</v>
      </c>
      <c r="B37" s="89" t="s">
        <v>268</v>
      </c>
      <c r="C37" s="90" t="s">
        <v>318</v>
      </c>
      <c r="D37" s="91" t="s">
        <v>36</v>
      </c>
      <c r="H37" s="91" t="s">
        <v>71</v>
      </c>
      <c r="J37" s="91" t="s">
        <v>123</v>
      </c>
      <c r="L37" s="91" t="s">
        <v>97</v>
      </c>
      <c r="N37" s="91" t="s">
        <v>148</v>
      </c>
      <c r="P37" s="91" t="s">
        <v>179</v>
      </c>
      <c r="R37" s="92"/>
      <c r="T37" s="92" t="s">
        <v>335</v>
      </c>
    </row>
    <row r="38" spans="1:22" ht="14">
      <c r="A38" s="88">
        <v>13</v>
      </c>
      <c r="B38" s="93" t="s">
        <v>269</v>
      </c>
      <c r="C38" s="90" t="s">
        <v>319</v>
      </c>
      <c r="D38" s="91" t="s">
        <v>37</v>
      </c>
      <c r="F38" s="87" t="s">
        <v>543</v>
      </c>
      <c r="H38" s="91" t="s">
        <v>72</v>
      </c>
      <c r="J38" s="91" t="s">
        <v>124</v>
      </c>
      <c r="L38" s="91" t="s">
        <v>98</v>
      </c>
      <c r="N38" s="91" t="s">
        <v>149</v>
      </c>
      <c r="P38" s="91" t="s">
        <v>180</v>
      </c>
      <c r="R38" s="92"/>
      <c r="T38" s="92" t="s">
        <v>214</v>
      </c>
    </row>
    <row r="39" spans="1:22">
      <c r="A39" s="88">
        <v>14</v>
      </c>
      <c r="B39" s="93" t="s">
        <v>270</v>
      </c>
      <c r="C39" s="90" t="s">
        <v>320</v>
      </c>
      <c r="D39" s="92" t="s">
        <v>43</v>
      </c>
      <c r="F39" s="77" t="s">
        <v>539</v>
      </c>
      <c r="H39" s="92" t="s">
        <v>132</v>
      </c>
      <c r="J39" s="91" t="s">
        <v>125</v>
      </c>
      <c r="L39" s="91" t="s">
        <v>99</v>
      </c>
      <c r="N39" s="91" t="s">
        <v>150</v>
      </c>
      <c r="P39" s="91" t="s">
        <v>181</v>
      </c>
      <c r="T39" s="92" t="s">
        <v>336</v>
      </c>
    </row>
    <row r="40" spans="1:22">
      <c r="A40" s="88">
        <v>15</v>
      </c>
      <c r="B40" s="93" t="s">
        <v>271</v>
      </c>
      <c r="C40" s="90" t="s">
        <v>322</v>
      </c>
      <c r="D40" s="91" t="s">
        <v>39</v>
      </c>
      <c r="F40" s="368" t="s">
        <v>541</v>
      </c>
      <c r="H40" s="92" t="s">
        <v>133</v>
      </c>
      <c r="J40" s="91" t="s">
        <v>126</v>
      </c>
      <c r="L40" s="91" t="s">
        <v>100</v>
      </c>
      <c r="N40" s="91" t="s">
        <v>151</v>
      </c>
      <c r="P40" s="91" t="s">
        <v>182</v>
      </c>
      <c r="T40" s="91" t="s">
        <v>211</v>
      </c>
    </row>
    <row r="41" spans="1:22">
      <c r="A41" s="88">
        <v>16</v>
      </c>
      <c r="B41" s="93" t="s">
        <v>272</v>
      </c>
      <c r="C41" s="90" t="s">
        <v>323</v>
      </c>
      <c r="D41" s="91" t="s">
        <v>40</v>
      </c>
      <c r="F41" s="368" t="s">
        <v>542</v>
      </c>
      <c r="H41" s="91" t="s">
        <v>73</v>
      </c>
      <c r="J41" s="91" t="s">
        <v>127</v>
      </c>
      <c r="L41" s="91" t="s">
        <v>101</v>
      </c>
      <c r="N41" s="91" t="s">
        <v>152</v>
      </c>
      <c r="P41" s="91" t="s">
        <v>183</v>
      </c>
      <c r="T41" s="91" t="s">
        <v>212</v>
      </c>
    </row>
    <row r="42" spans="1:22">
      <c r="A42" s="88">
        <v>17</v>
      </c>
      <c r="B42" s="93" t="s">
        <v>274</v>
      </c>
      <c r="C42" s="90" t="s">
        <v>324</v>
      </c>
      <c r="D42" s="91" t="s">
        <v>41</v>
      </c>
      <c r="H42" s="91" t="s">
        <v>74</v>
      </c>
      <c r="J42" s="91" t="s">
        <v>128</v>
      </c>
      <c r="L42" s="91" t="s">
        <v>102</v>
      </c>
      <c r="N42" s="91" t="s">
        <v>153</v>
      </c>
      <c r="P42" s="91" t="s">
        <v>184</v>
      </c>
      <c r="T42" s="91" t="s">
        <v>213</v>
      </c>
    </row>
    <row r="43" spans="1:22">
      <c r="D43" s="91" t="s">
        <v>42</v>
      </c>
      <c r="H43" s="91" t="s">
        <v>75</v>
      </c>
      <c r="J43" s="91" t="s">
        <v>129</v>
      </c>
      <c r="L43" s="91" t="s">
        <v>103</v>
      </c>
      <c r="N43" s="91" t="s">
        <v>154</v>
      </c>
      <c r="P43" s="91"/>
      <c r="T43" s="92" t="s">
        <v>337</v>
      </c>
    </row>
    <row r="44" spans="1:22">
      <c r="D44" s="92" t="s">
        <v>45</v>
      </c>
      <c r="H44" s="91" t="s">
        <v>76</v>
      </c>
      <c r="L44" s="91" t="s">
        <v>104</v>
      </c>
      <c r="N44" s="91" t="s">
        <v>155</v>
      </c>
      <c r="P44" s="91"/>
      <c r="T44" s="92" t="s">
        <v>338</v>
      </c>
    </row>
    <row r="45" spans="1:22" ht="14">
      <c r="D45" s="92" t="s">
        <v>38</v>
      </c>
      <c r="F45" s="87" t="s">
        <v>547</v>
      </c>
      <c r="H45" s="91" t="s">
        <v>77</v>
      </c>
      <c r="L45" s="91" t="s">
        <v>105</v>
      </c>
      <c r="N45" s="91" t="s">
        <v>156</v>
      </c>
      <c r="P45" s="91"/>
      <c r="T45" s="92" t="s">
        <v>339</v>
      </c>
    </row>
    <row r="46" spans="1:22">
      <c r="F46" s="77"/>
      <c r="H46" s="91" t="s">
        <v>78</v>
      </c>
      <c r="L46" s="91" t="s">
        <v>106</v>
      </c>
      <c r="N46" s="91" t="s">
        <v>157</v>
      </c>
      <c r="T46" s="92" t="s">
        <v>340</v>
      </c>
    </row>
    <row r="47" spans="1:22">
      <c r="F47" s="368" t="s">
        <v>548</v>
      </c>
      <c r="H47" s="91" t="s">
        <v>79</v>
      </c>
      <c r="L47" s="91" t="s">
        <v>107</v>
      </c>
      <c r="N47" s="91" t="s">
        <v>158</v>
      </c>
      <c r="T47" s="92" t="s">
        <v>341</v>
      </c>
    </row>
    <row r="48" spans="1:22">
      <c r="F48" s="368" t="s">
        <v>546</v>
      </c>
      <c r="H48" s="91" t="s">
        <v>80</v>
      </c>
      <c r="N48" s="91" t="s">
        <v>159</v>
      </c>
      <c r="T48" s="92" t="s">
        <v>342</v>
      </c>
    </row>
    <row r="49" spans="2:20">
      <c r="H49" s="91" t="s">
        <v>81</v>
      </c>
      <c r="N49" s="91" t="s">
        <v>160</v>
      </c>
      <c r="T49" s="91" t="s">
        <v>196</v>
      </c>
    </row>
    <row r="50" spans="2:20">
      <c r="H50" s="91" t="s">
        <v>82</v>
      </c>
      <c r="N50" s="91" t="s">
        <v>161</v>
      </c>
      <c r="T50" s="91" t="s">
        <v>198</v>
      </c>
    </row>
    <row r="51" spans="2:20" ht="14">
      <c r="F51" s="87" t="s">
        <v>547</v>
      </c>
      <c r="H51" s="91" t="s">
        <v>83</v>
      </c>
      <c r="N51" s="91" t="s">
        <v>162</v>
      </c>
      <c r="T51" s="91" t="s">
        <v>200</v>
      </c>
    </row>
    <row r="52" spans="2:20">
      <c r="F52" s="77"/>
      <c r="N52" s="91" t="s">
        <v>163</v>
      </c>
      <c r="T52" s="91" t="s">
        <v>202</v>
      </c>
    </row>
    <row r="53" spans="2:20">
      <c r="F53" s="368" t="s">
        <v>549</v>
      </c>
      <c r="N53" s="91" t="s">
        <v>164</v>
      </c>
      <c r="T53" s="91" t="s">
        <v>203</v>
      </c>
    </row>
    <row r="54" spans="2:20">
      <c r="F54" s="368" t="s">
        <v>550</v>
      </c>
      <c r="N54" s="91" t="s">
        <v>165</v>
      </c>
      <c r="T54" s="91" t="s">
        <v>204</v>
      </c>
    </row>
    <row r="55" spans="2:20">
      <c r="N55" s="91" t="s">
        <v>166</v>
      </c>
      <c r="T55" s="91" t="s">
        <v>206</v>
      </c>
    </row>
    <row r="56" spans="2:20">
      <c r="N56" s="91" t="s">
        <v>167</v>
      </c>
      <c r="T56" s="91" t="s">
        <v>208</v>
      </c>
    </row>
    <row r="59" spans="2:20" ht="16">
      <c r="B59" s="72" t="s">
        <v>230</v>
      </c>
    </row>
    <row r="62" spans="2:20">
      <c r="B62" s="94" t="s">
        <v>231</v>
      </c>
      <c r="D62" s="94" t="s">
        <v>476</v>
      </c>
      <c r="F62" s="94" t="s">
        <v>478</v>
      </c>
      <c r="H62" s="94" t="s">
        <v>487</v>
      </c>
    </row>
    <row r="63" spans="2:20">
      <c r="B63" s="73" t="s">
        <v>238</v>
      </c>
      <c r="D63" s="73"/>
      <c r="F63" s="73"/>
      <c r="H63" s="73"/>
    </row>
    <row r="64" spans="2:20">
      <c r="B64" s="95" t="s">
        <v>237</v>
      </c>
      <c r="D64" s="88" t="s">
        <v>354</v>
      </c>
      <c r="F64" s="88" t="s">
        <v>362</v>
      </c>
      <c r="H64" s="159" t="s">
        <v>491</v>
      </c>
    </row>
    <row r="65" spans="1:8">
      <c r="A65" s="69">
        <v>1</v>
      </c>
      <c r="B65" s="88" t="str">
        <f>IF('Menu 2'!E24="","",'Menu 2'!E24)</f>
        <v>Livret A - BANXO</v>
      </c>
      <c r="D65" s="159" t="s">
        <v>477</v>
      </c>
      <c r="F65" s="88" t="s">
        <v>363</v>
      </c>
      <c r="H65" s="88"/>
    </row>
    <row r="66" spans="1:8">
      <c r="A66" s="69">
        <v>2</v>
      </c>
      <c r="B66" s="88" t="str">
        <f>IF('Menu 2'!E25="","",'Menu 2'!E25)</f>
        <v>PEA - Bourse direct</v>
      </c>
      <c r="D66" s="88" t="s">
        <v>355</v>
      </c>
      <c r="F66" s="88" t="s">
        <v>389</v>
      </c>
    </row>
    <row r="67" spans="1:8">
      <c r="A67" s="69">
        <v>3</v>
      </c>
      <c r="B67" s="88" t="str">
        <f>IF('Menu 2'!E26="","",'Menu 2'!E26)</f>
        <v>Assurance vie - Finarylife</v>
      </c>
      <c r="D67" s="88" t="s">
        <v>356</v>
      </c>
      <c r="F67" s="159" t="s">
        <v>480</v>
      </c>
    </row>
    <row r="68" spans="1:8">
      <c r="A68" s="69">
        <v>4</v>
      </c>
      <c r="B68" s="88" t="str">
        <f>IF('Menu 2'!E27="","",'Menu 2'!E27)</f>
        <v xml:space="preserve">Placements financiers </v>
      </c>
      <c r="D68" s="88" t="s">
        <v>357</v>
      </c>
      <c r="F68" s="159" t="s">
        <v>483</v>
      </c>
      <c r="H68" s="94" t="s">
        <v>498</v>
      </c>
    </row>
    <row r="69" spans="1:8">
      <c r="A69" s="69">
        <v>5</v>
      </c>
      <c r="B69" s="88" t="str">
        <f>IF('Menu 2'!E28="","",'Menu 2'!E28)</f>
        <v>Fonds euros - Finarylife</v>
      </c>
      <c r="D69" s="88" t="s">
        <v>394</v>
      </c>
      <c r="F69" s="88" t="s">
        <v>398</v>
      </c>
      <c r="H69" s="73"/>
    </row>
    <row r="70" spans="1:8">
      <c r="A70" s="69">
        <v>6</v>
      </c>
      <c r="B70" s="88" t="str">
        <f>IF('Menu 2'!E29="","",'Menu 2'!E29)</f>
        <v/>
      </c>
      <c r="D70" s="159" t="s">
        <v>395</v>
      </c>
      <c r="F70" s="88" t="s">
        <v>365</v>
      </c>
      <c r="H70" s="159" t="s">
        <v>499</v>
      </c>
    </row>
    <row r="71" spans="1:8">
      <c r="A71" s="69">
        <v>7</v>
      </c>
      <c r="B71" s="88" t="str">
        <f>IF('Menu 2'!E30="","",'Menu 2'!E30)</f>
        <v/>
      </c>
      <c r="D71" s="159" t="s">
        <v>479</v>
      </c>
      <c r="F71" s="88" t="s">
        <v>366</v>
      </c>
      <c r="H71" s="159" t="s">
        <v>500</v>
      </c>
    </row>
    <row r="72" spans="1:8">
      <c r="A72" s="69">
        <v>8</v>
      </c>
      <c r="B72" s="88" t="str">
        <f>IF('Menu 2'!E31="","",'Menu 2'!E31)</f>
        <v/>
      </c>
      <c r="D72" s="88" t="s">
        <v>38</v>
      </c>
      <c r="F72" s="88" t="s">
        <v>367</v>
      </c>
      <c r="H72" s="159" t="s">
        <v>501</v>
      </c>
    </row>
    <row r="73" spans="1:8">
      <c r="A73" s="69">
        <v>9</v>
      </c>
      <c r="B73" s="88" t="str">
        <f>IF('Menu 2'!E32="","",'Menu 2'!E32)</f>
        <v/>
      </c>
      <c r="F73" s="88" t="s">
        <v>368</v>
      </c>
    </row>
    <row r="74" spans="1:8">
      <c r="A74" s="69">
        <v>10</v>
      </c>
      <c r="B74" s="88" t="str">
        <f>IF('Menu 2'!E33="","",'Menu 2'!E33)</f>
        <v/>
      </c>
      <c r="F74" s="88" t="s">
        <v>369</v>
      </c>
    </row>
    <row r="75" spans="1:8">
      <c r="A75" s="69">
        <v>11</v>
      </c>
      <c r="B75" s="88" t="str">
        <f>IF('Menu 2'!E34="","",'Menu 2'!E34)</f>
        <v/>
      </c>
      <c r="F75" s="159" t="s">
        <v>364</v>
      </c>
    </row>
    <row r="76" spans="1:8">
      <c r="A76" s="69">
        <v>12</v>
      </c>
      <c r="B76" s="88" t="str">
        <f>IF('Menu 2'!E35="","",'Menu 2'!E35)</f>
        <v/>
      </c>
      <c r="F76" s="159" t="s">
        <v>481</v>
      </c>
      <c r="H76" s="94" t="s">
        <v>502</v>
      </c>
    </row>
    <row r="77" spans="1:8">
      <c r="A77" s="73">
        <f>A76+1</f>
        <v>13</v>
      </c>
      <c r="B77" s="88" t="str">
        <f>IF('Menu 2'!E36="","",'Menu 2'!E36)</f>
        <v/>
      </c>
      <c r="F77" s="159" t="s">
        <v>482</v>
      </c>
      <c r="H77" s="73"/>
    </row>
    <row r="78" spans="1:8">
      <c r="A78" s="73">
        <f t="shared" ref="A78:A94" si="0">A77+1</f>
        <v>14</v>
      </c>
      <c r="B78" s="88" t="str">
        <f>IF('Menu 2'!E37="","",'Menu 2'!E37)</f>
        <v/>
      </c>
      <c r="F78" s="159" t="s">
        <v>38</v>
      </c>
      <c r="H78" s="159" t="s">
        <v>504</v>
      </c>
    </row>
    <row r="79" spans="1:8">
      <c r="A79" s="73">
        <f t="shared" si="0"/>
        <v>15</v>
      </c>
      <c r="B79" s="88" t="str">
        <f>IF('Menu 2'!E38="","",'Menu 2'!E38)</f>
        <v/>
      </c>
      <c r="H79" s="159" t="s">
        <v>503</v>
      </c>
    </row>
    <row r="80" spans="1:8">
      <c r="A80" s="73">
        <f t="shared" si="0"/>
        <v>16</v>
      </c>
      <c r="B80" s="88" t="str">
        <f>IF('Menu 2'!E39="","",'Menu 2'!E39)</f>
        <v/>
      </c>
    </row>
    <row r="81" spans="1:2">
      <c r="A81" s="73">
        <f t="shared" si="0"/>
        <v>17</v>
      </c>
      <c r="B81" s="88" t="str">
        <f>IF('Menu 2'!E40="","",'Menu 2'!E40)</f>
        <v/>
      </c>
    </row>
    <row r="82" spans="1:2">
      <c r="A82" s="73">
        <f t="shared" si="0"/>
        <v>18</v>
      </c>
      <c r="B82" s="88" t="str">
        <f>IF('Menu 2'!E41="","",'Menu 2'!E41)</f>
        <v/>
      </c>
    </row>
    <row r="83" spans="1:2">
      <c r="A83" s="73">
        <f t="shared" si="0"/>
        <v>19</v>
      </c>
      <c r="B83" s="88" t="str">
        <f>IF('Menu 2'!E42="","",'Menu 2'!E42)</f>
        <v/>
      </c>
    </row>
    <row r="84" spans="1:2">
      <c r="A84" s="73">
        <f t="shared" si="0"/>
        <v>20</v>
      </c>
      <c r="B84" s="88" t="str">
        <f>IF('Menu 2'!E43="","",'Menu 2'!E43)</f>
        <v/>
      </c>
    </row>
    <row r="85" spans="1:2">
      <c r="A85" s="73">
        <f t="shared" si="0"/>
        <v>21</v>
      </c>
      <c r="B85" s="88" t="str">
        <f>IF('Menu 2'!E44="","",'Menu 2'!E44)</f>
        <v/>
      </c>
    </row>
    <row r="86" spans="1:2">
      <c r="A86" s="73">
        <f t="shared" si="0"/>
        <v>22</v>
      </c>
      <c r="B86" s="88" t="str">
        <f>IF('Menu 2'!E45="","",'Menu 2'!E45)</f>
        <v/>
      </c>
    </row>
    <row r="87" spans="1:2">
      <c r="A87" s="73">
        <f t="shared" si="0"/>
        <v>23</v>
      </c>
      <c r="B87" s="88" t="str">
        <f>IF('Menu 2'!E46="","",'Menu 2'!E46)</f>
        <v/>
      </c>
    </row>
    <row r="88" spans="1:2">
      <c r="A88" s="73">
        <f t="shared" si="0"/>
        <v>24</v>
      </c>
      <c r="B88" s="88" t="str">
        <f>IF('Menu 2'!E47="","",'Menu 2'!E47)</f>
        <v/>
      </c>
    </row>
    <row r="89" spans="1:2">
      <c r="A89" s="73">
        <f t="shared" si="0"/>
        <v>25</v>
      </c>
      <c r="B89" s="88" t="str">
        <f>IF('Menu 2'!E48="","",'Menu 2'!E48)</f>
        <v/>
      </c>
    </row>
    <row r="90" spans="1:2">
      <c r="A90" s="73">
        <f t="shared" si="0"/>
        <v>26</v>
      </c>
      <c r="B90" s="88" t="str">
        <f>IF('Menu 2'!E49="","",'Menu 2'!E49)</f>
        <v/>
      </c>
    </row>
    <row r="91" spans="1:2">
      <c r="A91" s="73">
        <f t="shared" si="0"/>
        <v>27</v>
      </c>
      <c r="B91" s="88" t="str">
        <f>IF('Menu 2'!E50="","",'Menu 2'!E50)</f>
        <v/>
      </c>
    </row>
    <row r="92" spans="1:2">
      <c r="A92" s="73">
        <f t="shared" si="0"/>
        <v>28</v>
      </c>
      <c r="B92" s="88" t="str">
        <f>IF('Menu 2'!E51="","",'Menu 2'!E51)</f>
        <v/>
      </c>
    </row>
    <row r="93" spans="1:2">
      <c r="A93" s="73">
        <f t="shared" si="0"/>
        <v>29</v>
      </c>
      <c r="B93" s="88" t="str">
        <f>IF('Menu 2'!E52="","",'Menu 2'!E52)</f>
        <v/>
      </c>
    </row>
    <row r="94" spans="1:2">
      <c r="A94" s="73">
        <f t="shared" si="0"/>
        <v>30</v>
      </c>
      <c r="B94" s="88" t="str">
        <f>IF('Menu 2'!E53="","",'Menu 2'!E53)</f>
        <v>PATRIMOINE</v>
      </c>
    </row>
  </sheetData>
  <sheetProtection algorithmName="SHA-512" hashValue="Zq1W9xboQiiTipJiSLoldOX0Q5fBGAWXWNSsUTcMDvIJf9C1pJNi18bk0InUb6Ir9eoA2kTrNc93BKLpPb95VA==" saltValue="TJkiB3N3WYPX2GTvU7Dk/w==" spinCount="100000" sheet="1" objects="1" scenarios="1"/>
  <phoneticPr fontId="3" type="noConversion"/>
  <pageMargins left="0.78740157499999996" right="0.78740157499999996" top="0.984251969" bottom="0.984251969"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561"/>
  <sheetViews>
    <sheetView zoomScale="120" zoomScaleNormal="120" workbookViewId="0">
      <selection activeCell="A2" sqref="A2:A4"/>
    </sheetView>
  </sheetViews>
  <sheetFormatPr baseColWidth="10" defaultColWidth="11.33203125" defaultRowHeight="13"/>
  <cols>
    <col min="1" max="1" width="19.6640625" style="1" customWidth="1"/>
    <col min="2" max="2" width="56" style="182" customWidth="1"/>
    <col min="3" max="3" width="42" style="182" customWidth="1"/>
    <col min="4" max="4" width="2.1640625" style="1" customWidth="1"/>
    <col min="5" max="5" width="13.6640625" style="182" customWidth="1"/>
    <col min="6" max="6" width="12"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Gold'!I7</f>
        <v>46174</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Gold'!I7</f>
        <v>46174</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Gold'!J54</f>
        <v>250</v>
      </c>
      <c r="F8" s="193">
        <f>'Budget Gold'!J55</f>
        <v>0</v>
      </c>
      <c r="G8" s="194">
        <f>E8-F8</f>
        <v>250</v>
      </c>
      <c r="H8" s="6" t="str">
        <f>IF(G8&gt;0,"(+) à ajouter sur le compte épargne",IF(G8=0,"--- rien à faire ---","(-) de moins sur le compte épargne"))</f>
        <v>(+) à ajouter sur le compte épargne</v>
      </c>
      <c r="I8" s="195">
        <f>'Budget Gold'!I56</f>
        <v>39780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Gold'!J57</f>
        <v>200</v>
      </c>
      <c r="F9" s="193">
        <f>'Budget Gold'!J58</f>
        <v>0</v>
      </c>
      <c r="G9" s="194">
        <f t="shared" ref="G9:G43" si="0">E9-F9</f>
        <v>200</v>
      </c>
      <c r="H9" s="6" t="str">
        <f t="shared" ref="H9:H43" si="1">IF(G9&gt;0,"(+) à ajouter sur le compte épargne",IF(G9=0,"--- rien à faire ---","(-) de moins sur le compte épargne"))</f>
        <v>(+) à ajouter sur le compte épargne</v>
      </c>
      <c r="I9" s="195">
        <f>'Budget Gold'!I59</f>
        <v>2511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Gold'!J60</f>
        <v>100</v>
      </c>
      <c r="F10" s="193">
        <f>'Budget Gold'!J61</f>
        <v>0</v>
      </c>
      <c r="G10" s="194">
        <f t="shared" si="0"/>
        <v>100</v>
      </c>
      <c r="H10" s="6" t="str">
        <f t="shared" si="1"/>
        <v>(+) à ajouter sur le compte épargne</v>
      </c>
      <c r="I10" s="195">
        <f>'Budget Gold'!I62</f>
        <v>100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Gold'!J63</f>
        <v>25</v>
      </c>
      <c r="F11" s="193">
        <f>'Budget Gold'!J64</f>
        <v>0</v>
      </c>
      <c r="G11" s="194">
        <f t="shared" si="0"/>
        <v>25</v>
      </c>
      <c r="H11" s="6" t="str">
        <f t="shared" si="1"/>
        <v>(+) à ajouter sur le compte épargne</v>
      </c>
      <c r="I11" s="195">
        <f>'Budget Gold'!I65</f>
        <v>25</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Gold'!J66</f>
        <v>50</v>
      </c>
      <c r="F12" s="193">
        <f>'Budget Gold'!J67</f>
        <v>0</v>
      </c>
      <c r="G12" s="194">
        <f t="shared" si="0"/>
        <v>50</v>
      </c>
      <c r="H12" s="6" t="str">
        <f t="shared" si="1"/>
        <v>(+) à ajouter sur le compte épargne</v>
      </c>
      <c r="I12" s="195">
        <f>'Budget Gold'!I68</f>
        <v>50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Gold'!J69</f>
        <v>100</v>
      </c>
      <c r="F13" s="193">
        <f>'Budget Gold'!J70</f>
        <v>0</v>
      </c>
      <c r="G13" s="194">
        <f t="shared" si="0"/>
        <v>100</v>
      </c>
      <c r="H13" s="6" t="str">
        <f t="shared" si="1"/>
        <v>(+) à ajouter sur le compte épargne</v>
      </c>
      <c r="I13" s="195">
        <f>'Budget Gold'!I71</f>
        <v>8100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Gold'!J72</f>
        <v>25</v>
      </c>
      <c r="F14" s="193">
        <f>'Budget Gold'!J73</f>
        <v>0</v>
      </c>
      <c r="G14" s="194">
        <f t="shared" si="0"/>
        <v>25</v>
      </c>
      <c r="H14" s="6" t="str">
        <f t="shared" si="1"/>
        <v>(+) à ajouter sur le compte épargne</v>
      </c>
      <c r="I14" s="195">
        <f>'Budget Gold'!I74</f>
        <v>25</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Gold'!J75</f>
        <v>100</v>
      </c>
      <c r="F15" s="193">
        <f>'Budget Gold'!J76</f>
        <v>0</v>
      </c>
      <c r="G15" s="194">
        <f t="shared" si="0"/>
        <v>100</v>
      </c>
      <c r="H15" s="6" t="str">
        <f t="shared" si="1"/>
        <v>(+) à ajouter sur le compte épargne</v>
      </c>
      <c r="I15" s="195">
        <f>'Budget Gold'!I77</f>
        <v>100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Gold'!J78</f>
        <v>25</v>
      </c>
      <c r="F16" s="193">
        <f>'Budget Gold'!J79</f>
        <v>0</v>
      </c>
      <c r="G16" s="194">
        <f t="shared" si="0"/>
        <v>25</v>
      </c>
      <c r="H16" s="6" t="str">
        <f t="shared" si="1"/>
        <v>(+) à ajouter sur le compte épargne</v>
      </c>
      <c r="I16" s="195">
        <f>'Budget Gold'!I80</f>
        <v>25</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Gold'!J81</f>
        <v>100</v>
      </c>
      <c r="F17" s="193">
        <f>'Budget Gold'!J82</f>
        <v>0</v>
      </c>
      <c r="G17" s="194">
        <f t="shared" si="0"/>
        <v>100</v>
      </c>
      <c r="H17" s="6" t="str">
        <f t="shared" si="1"/>
        <v>(+) à ajouter sur le compte épargne</v>
      </c>
      <c r="I17" s="195">
        <f>'Budget Gold'!I83</f>
        <v>100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Gold'!J84</f>
        <v>36.5</v>
      </c>
      <c r="F18" s="193">
        <f>'Budget Gold'!J85</f>
        <v>0</v>
      </c>
      <c r="G18" s="194">
        <f t="shared" si="0"/>
        <v>36.5</v>
      </c>
      <c r="H18" s="6" t="str">
        <f t="shared" si="1"/>
        <v>(+) à ajouter sur le compte épargne</v>
      </c>
      <c r="I18" s="195">
        <f>'Budget Gold'!I86</f>
        <v>36.5</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Gold'!J87</f>
        <v>36.5</v>
      </c>
      <c r="F19" s="193">
        <f>'Budget Gold'!J88</f>
        <v>0</v>
      </c>
      <c r="G19" s="194">
        <f t="shared" si="0"/>
        <v>36.5</v>
      </c>
      <c r="H19" s="6" t="str">
        <f t="shared" si="1"/>
        <v>(+) à ajouter sur le compte épargne</v>
      </c>
      <c r="I19" s="195">
        <f>'Budget Gold'!I89</f>
        <v>36.5</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Gold'!J90</f>
        <v>0</v>
      </c>
      <c r="F20" s="193">
        <f>'Budget Gold'!J91</f>
        <v>0</v>
      </c>
      <c r="G20" s="194">
        <f t="shared" si="0"/>
        <v>0</v>
      </c>
      <c r="H20" s="6" t="str">
        <f t="shared" si="1"/>
        <v>--- rien à faire ---</v>
      </c>
      <c r="I20" s="195">
        <f>'Budget Gold'!I92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Gold'!J93</f>
        <v>0</v>
      </c>
      <c r="F21" s="193">
        <f>'Budget Gold'!J94</f>
        <v>0</v>
      </c>
      <c r="G21" s="194">
        <f t="shared" si="0"/>
        <v>0</v>
      </c>
      <c r="H21" s="6" t="str">
        <f t="shared" si="1"/>
        <v>--- rien à faire ---</v>
      </c>
      <c r="I21" s="195">
        <f>'Budget Gold'!I95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Gold'!J96</f>
        <v>0</v>
      </c>
      <c r="F22" s="193">
        <f>'Budget Gold'!J97</f>
        <v>0</v>
      </c>
      <c r="G22" s="194">
        <f t="shared" si="0"/>
        <v>0</v>
      </c>
      <c r="H22" s="6" t="str">
        <f t="shared" si="1"/>
        <v>--- rien à faire ---</v>
      </c>
      <c r="I22" s="195">
        <f>'Budget Gold'!I98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Gold'!J99</f>
        <v>0</v>
      </c>
      <c r="F23" s="193">
        <f>'Budget Gold'!J100</f>
        <v>0</v>
      </c>
      <c r="G23" s="194">
        <f t="shared" si="0"/>
        <v>0</v>
      </c>
      <c r="H23" s="6" t="str">
        <f t="shared" si="1"/>
        <v>--- rien à faire ---</v>
      </c>
      <c r="I23" s="195">
        <f>'Budget Gold'!I101</f>
        <v>0</v>
      </c>
    </row>
    <row r="24" spans="1:13">
      <c r="A24" s="177">
        <f t="shared" si="2"/>
        <v>17</v>
      </c>
      <c r="B24" s="191" t="str">
        <f>IF('Budget Gold'!E102="Indiquer le nom du projet à financer","",'Budget Gold'!E102)</f>
        <v/>
      </c>
      <c r="C24" s="6" t="str">
        <f>IF('Budget Gold'!E104="- compte d'épargne à saisir -","",'Budget Gold'!E104)</f>
        <v/>
      </c>
      <c r="D24" s="156"/>
      <c r="E24" s="192">
        <f>'Budget Gold'!J102</f>
        <v>0</v>
      </c>
      <c r="F24" s="193">
        <f>'Budget Gold'!J103</f>
        <v>0</v>
      </c>
      <c r="G24" s="194">
        <f t="shared" ref="G24:G27" si="3">E24-F24</f>
        <v>0</v>
      </c>
      <c r="H24" s="6" t="str">
        <f t="shared" ref="H24:H27" si="4">IF(G24&gt;0,"(+) à ajouter sur le compte épargne",IF(G24=0,"--- rien à faire ---","(-) de moins sur le compte épargne"))</f>
        <v>--- rien à faire ---</v>
      </c>
      <c r="I24" s="195">
        <f>'Budget Gold'!I104</f>
        <v>0</v>
      </c>
    </row>
    <row r="25" spans="1:13">
      <c r="A25" s="177">
        <f t="shared" si="2"/>
        <v>18</v>
      </c>
      <c r="B25" s="191" t="str">
        <f>IF('Budget Gold'!E105="Indiquer le nom du projet à financer","",'Budget Gold'!E105)</f>
        <v/>
      </c>
      <c r="C25" s="6" t="str">
        <f>IF('Budget Gold'!E107="- compte d'épargne à saisir -","",'Budget Gold'!E107)</f>
        <v/>
      </c>
      <c r="D25" s="156"/>
      <c r="E25" s="192">
        <f>'Budget Gold'!J105</f>
        <v>0</v>
      </c>
      <c r="F25" s="193">
        <f>'Budget Gold'!J106</f>
        <v>0</v>
      </c>
      <c r="G25" s="194">
        <f t="shared" si="3"/>
        <v>0</v>
      </c>
      <c r="H25" s="6" t="str">
        <f t="shared" si="4"/>
        <v>--- rien à faire ---</v>
      </c>
      <c r="I25" s="195">
        <f>'Budget Gold'!I107</f>
        <v>0</v>
      </c>
    </row>
    <row r="26" spans="1:13">
      <c r="A26" s="177">
        <f t="shared" si="2"/>
        <v>19</v>
      </c>
      <c r="B26" s="191" t="str">
        <f>IF('Budget Gold'!E108="Indiquer le nom du projet à financer","",'Budget Gold'!E108)</f>
        <v/>
      </c>
      <c r="C26" s="6" t="str">
        <f>IF('Budget Gold'!E110="- compte d'épargne à saisir -","",'Budget Gold'!E110)</f>
        <v/>
      </c>
      <c r="D26" s="156"/>
      <c r="E26" s="192">
        <f>'Budget Gold'!J108</f>
        <v>0</v>
      </c>
      <c r="F26" s="193">
        <f>'Budget Gold'!J109</f>
        <v>0</v>
      </c>
      <c r="G26" s="194">
        <f t="shared" si="3"/>
        <v>0</v>
      </c>
      <c r="H26" s="6" t="str">
        <f t="shared" si="4"/>
        <v>--- rien à faire ---</v>
      </c>
      <c r="I26" s="195">
        <f>'Budget Gold'!I110</f>
        <v>0</v>
      </c>
    </row>
    <row r="27" spans="1:13">
      <c r="A27" s="177">
        <f t="shared" si="2"/>
        <v>20</v>
      </c>
      <c r="B27" s="191" t="str">
        <f>IF('Budget Gold'!E111="Indiquer le nom du projet à financer","",'Budget Gold'!E111)</f>
        <v/>
      </c>
      <c r="C27" s="6" t="str">
        <f>IF('Budget Gold'!E113="- compte d'épargne à saisir -","",'Budget Gold'!E113)</f>
        <v/>
      </c>
      <c r="D27" s="156"/>
      <c r="E27" s="192">
        <f>'Budget Gold'!J111</f>
        <v>0</v>
      </c>
      <c r="F27" s="193">
        <f>'Budget Gold'!J112</f>
        <v>0</v>
      </c>
      <c r="G27" s="194">
        <f t="shared" si="3"/>
        <v>0</v>
      </c>
      <c r="H27" s="6" t="str">
        <f t="shared" si="4"/>
        <v>--- rien à faire ---</v>
      </c>
      <c r="I27" s="195">
        <f>'Budget Gold'!I113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Gold'!J114</f>
        <v>0</v>
      </c>
      <c r="F28" s="193">
        <f>'Budget Gold'!J115</f>
        <v>0</v>
      </c>
      <c r="G28" s="194">
        <f t="shared" ref="G28:G31" si="5">E28-F28</f>
        <v>0</v>
      </c>
      <c r="H28" s="6" t="str">
        <f t="shared" ref="H28:H30" si="6">IF(G28&gt;0,"(+) à ajouter sur le compte épargne",IF(G28=0,"--- rien à faire ---","(-) de moins sur le compte épargne"))</f>
        <v>--- rien à faire ---</v>
      </c>
      <c r="I28" s="195">
        <f>'Budget Gold'!I116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Gold'!J117</f>
        <v>0</v>
      </c>
      <c r="F29" s="193">
        <f>'Budget Gold'!J118</f>
        <v>0</v>
      </c>
      <c r="G29" s="194">
        <f t="shared" si="5"/>
        <v>0</v>
      </c>
      <c r="H29" s="6" t="str">
        <f t="shared" si="6"/>
        <v>--- rien à faire ---</v>
      </c>
      <c r="I29" s="195">
        <f>'Budget Gold'!I119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Gold'!J120</f>
        <v>0</v>
      </c>
      <c r="F30" s="193">
        <f>'Budget Gold'!J121</f>
        <v>0</v>
      </c>
      <c r="G30" s="194">
        <f t="shared" si="5"/>
        <v>0</v>
      </c>
      <c r="H30" s="6" t="str">
        <f t="shared" si="6"/>
        <v>--- rien à faire ---</v>
      </c>
      <c r="I30" s="195">
        <f>'Budget Gold'!I122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Gold'!J123</f>
        <v>0</v>
      </c>
      <c r="F31" s="193">
        <f>'Budget Gold'!J124</f>
        <v>0</v>
      </c>
      <c r="G31" s="194">
        <f t="shared" si="5"/>
        <v>0</v>
      </c>
      <c r="H31" s="6" t="str">
        <f>IF(G31&gt;0,"(+) à ajouter sur le compte épargne",IF(G31=0,"--- rien à faire ---","(-) de moins sur le compte épargne"))</f>
        <v>--- rien à faire ---</v>
      </c>
      <c r="I31" s="195">
        <f>'Budget Gold'!I125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Gold'!J160</f>
        <v>1750</v>
      </c>
      <c r="F32" s="193">
        <f>'Budget Gold'!J161</f>
        <v>0</v>
      </c>
      <c r="G32" s="194">
        <f t="shared" si="0"/>
        <v>1750</v>
      </c>
      <c r="H32" s="6" t="str">
        <f t="shared" si="1"/>
        <v>(+) à ajouter sur le compte épargne</v>
      </c>
      <c r="I32" s="195">
        <f>'Budget Gold'!I162</f>
        <v>3750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Gold'!J163</f>
        <v>300</v>
      </c>
      <c r="F33" s="193">
        <f>'Budget Gold'!J164</f>
        <v>0</v>
      </c>
      <c r="G33" s="194">
        <f t="shared" si="0"/>
        <v>300</v>
      </c>
      <c r="H33" s="6" t="str">
        <f t="shared" si="1"/>
        <v>(+) à ajouter sur le compte épargne</v>
      </c>
      <c r="I33" s="195">
        <f>'Budget Gold'!I165</f>
        <v>300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Gold'!J166</f>
        <v>50</v>
      </c>
      <c r="F34" s="193">
        <f>'Budget Gold'!J167</f>
        <v>0</v>
      </c>
      <c r="G34" s="194">
        <f t="shared" si="0"/>
        <v>50</v>
      </c>
      <c r="H34" s="6" t="str">
        <f t="shared" si="1"/>
        <v>(+) à ajouter sur le compte épargne</v>
      </c>
      <c r="I34" s="195">
        <f>'Budget Gold'!I168</f>
        <v>50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Gold'!J169</f>
        <v>100</v>
      </c>
      <c r="F35" s="193">
        <f>'Budget Gold'!J170</f>
        <v>0</v>
      </c>
      <c r="G35" s="194">
        <f t="shared" si="0"/>
        <v>100</v>
      </c>
      <c r="H35" s="6" t="str">
        <f t="shared" si="1"/>
        <v>(+) à ajouter sur le compte épargne</v>
      </c>
      <c r="I35" s="195">
        <f>'Budget Gold'!I171</f>
        <v>100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Gold'!J172</f>
        <v>300</v>
      </c>
      <c r="F36" s="193">
        <f>'Budget Gold'!J173</f>
        <v>0</v>
      </c>
      <c r="G36" s="194">
        <f t="shared" si="0"/>
        <v>300</v>
      </c>
      <c r="H36" s="6" t="str">
        <f t="shared" si="1"/>
        <v>(+) à ajouter sur le compte épargne</v>
      </c>
      <c r="I36" s="195">
        <f>'Budget Gold'!I174</f>
        <v>300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Gold'!J175</f>
        <v>300</v>
      </c>
      <c r="F37" s="193">
        <f>'Budget Gold'!J176</f>
        <v>0</v>
      </c>
      <c r="G37" s="194">
        <f t="shared" si="0"/>
        <v>300</v>
      </c>
      <c r="H37" s="6" t="str">
        <f t="shared" si="1"/>
        <v>(+) à ajouter sur le compte épargne</v>
      </c>
      <c r="I37" s="195">
        <f>'Budget Gold'!I177</f>
        <v>300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Gold'!J178</f>
        <v>10</v>
      </c>
      <c r="F38" s="193">
        <f>'Budget Gold'!J179</f>
        <v>0</v>
      </c>
      <c r="G38" s="194">
        <f t="shared" si="0"/>
        <v>10</v>
      </c>
      <c r="H38" s="6" t="str">
        <f t="shared" si="1"/>
        <v>(+) à ajouter sur le compte épargne</v>
      </c>
      <c r="I38" s="195">
        <f>'Budget Gold'!I180</f>
        <v>10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Gold'!J181</f>
        <v>200</v>
      </c>
      <c r="F39" s="193">
        <f>'Budget Gold'!J182</f>
        <v>200</v>
      </c>
      <c r="G39" s="194">
        <f t="shared" si="0"/>
        <v>0</v>
      </c>
      <c r="H39" s="6" t="str">
        <f t="shared" si="1"/>
        <v>--- rien à faire ---</v>
      </c>
      <c r="I39" s="195">
        <f>'Budget Gold'!I183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Gold'!J184</f>
        <v>0</v>
      </c>
      <c r="F40" s="193">
        <f>'Budget Gold'!J185</f>
        <v>0</v>
      </c>
      <c r="G40" s="194">
        <f t="shared" si="0"/>
        <v>0</v>
      </c>
      <c r="H40" s="6" t="str">
        <f t="shared" si="1"/>
        <v>--- rien à faire ---</v>
      </c>
      <c r="I40" s="195">
        <f>'Budget Gold'!I186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Gold'!J187</f>
        <v>0</v>
      </c>
      <c r="F41" s="193">
        <f>'Budget Gold'!J188</f>
        <v>0</v>
      </c>
      <c r="G41" s="194">
        <f t="shared" si="0"/>
        <v>0</v>
      </c>
      <c r="H41" s="6" t="str">
        <f t="shared" si="1"/>
        <v>--- rien à faire ---</v>
      </c>
      <c r="I41" s="195">
        <f>'Budget Gold'!I189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Gold'!J190</f>
        <v>0</v>
      </c>
      <c r="F42" s="193">
        <f>'Budget Gold'!J191</f>
        <v>0</v>
      </c>
      <c r="G42" s="194">
        <f t="shared" si="0"/>
        <v>0</v>
      </c>
      <c r="H42" s="6" t="str">
        <f t="shared" si="1"/>
        <v>--- rien à faire ---</v>
      </c>
      <c r="I42" s="195">
        <f>'Budget Gold'!I192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Gold'!J193</f>
        <v>0</v>
      </c>
      <c r="F43" s="193">
        <f>'Budget Gold'!J194</f>
        <v>0</v>
      </c>
      <c r="G43" s="194">
        <f t="shared" si="0"/>
        <v>0</v>
      </c>
      <c r="H43" s="6" t="str">
        <f t="shared" si="1"/>
        <v>--- rien à faire ---</v>
      </c>
      <c r="I43" s="195">
        <f>'Budget Gold'!I195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Gold'!J196</f>
        <v>0</v>
      </c>
      <c r="F44" s="193">
        <f>'Budget Gold'!J197</f>
        <v>0</v>
      </c>
      <c r="G44" s="194">
        <f t="shared" ref="G44:G47" si="7">E44-F44</f>
        <v>0</v>
      </c>
      <c r="H44" s="6" t="str">
        <f t="shared" ref="H44:H47" si="8">IF(G44&gt;0,"(+) à ajouter sur le compte épargne",IF(G44=0,"--- rien à faire ---","(-) de moins sur le compte épargne"))</f>
        <v>--- rien à faire ---</v>
      </c>
      <c r="I44" s="195">
        <f>'Budget Gold'!I198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Gold'!J199</f>
        <v>0</v>
      </c>
      <c r="F45" s="193">
        <f>'Budget Gold'!J200</f>
        <v>0</v>
      </c>
      <c r="G45" s="194">
        <f t="shared" si="7"/>
        <v>0</v>
      </c>
      <c r="H45" s="6" t="str">
        <f t="shared" si="8"/>
        <v>--- rien à faire ---</v>
      </c>
      <c r="I45" s="195">
        <f>'Budget Gold'!I201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Gold'!J202</f>
        <v>0</v>
      </c>
      <c r="F46" s="193">
        <f>'Budget Gold'!J203</f>
        <v>0</v>
      </c>
      <c r="G46" s="194">
        <f t="shared" si="7"/>
        <v>0</v>
      </c>
      <c r="H46" s="6" t="str">
        <f t="shared" si="8"/>
        <v>--- rien à faire ---</v>
      </c>
      <c r="I46" s="195">
        <f>'Budget Gold'!I204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Gold'!J205</f>
        <v>0</v>
      </c>
      <c r="F47" s="193">
        <f>'Budget Gold'!J206</f>
        <v>0</v>
      </c>
      <c r="G47" s="194">
        <f t="shared" si="7"/>
        <v>0</v>
      </c>
      <c r="H47" s="6" t="str">
        <f t="shared" si="8"/>
        <v>--- rien à faire ---</v>
      </c>
      <c r="I47" s="195">
        <f>'Budget Gold'!I207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Gold'!J208</f>
        <v>0</v>
      </c>
      <c r="F48" s="193">
        <f>'Budget Gold'!J209</f>
        <v>0</v>
      </c>
      <c r="G48" s="194">
        <f t="shared" ref="G48" si="9">E48-F48</f>
        <v>0</v>
      </c>
      <c r="H48" s="6" t="str">
        <f t="shared" ref="H48" si="10">IF(G48&gt;0,"(+) à ajouter sur le compte épargne",IF(G48=0,"--- rien à faire ---","(-) de moins sur le compte épargne"))</f>
        <v>--- rien à faire ---</v>
      </c>
      <c r="I48" s="195">
        <f>'Budget Gold'!I210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Gold'!J211</f>
        <v>0</v>
      </c>
      <c r="F49" s="193">
        <f>'Budget Gold'!J212</f>
        <v>0</v>
      </c>
      <c r="G49" s="194">
        <f t="shared" ref="G49:G51" si="11">E49-F49</f>
        <v>0</v>
      </c>
      <c r="H49" s="6" t="str">
        <f t="shared" ref="H49:H51" si="12">IF(G49&gt;0,"(+) à ajouter sur le compte épargne",IF(G49=0,"--- rien à faire ---","(-) de moins sur le compte épargne"))</f>
        <v>--- rien à faire ---</v>
      </c>
      <c r="I49" s="195">
        <f>'Budget Gold'!I213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Gold'!J214</f>
        <v>0</v>
      </c>
      <c r="F50" s="193">
        <f>'Budget Gold'!J215</f>
        <v>0</v>
      </c>
      <c r="G50" s="194">
        <f t="shared" si="11"/>
        <v>0</v>
      </c>
      <c r="H50" s="6" t="str">
        <f t="shared" si="12"/>
        <v>--- rien à faire ---</v>
      </c>
      <c r="I50" s="195">
        <f>'Budget Gold'!I216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Gold'!J217</f>
        <v>0</v>
      </c>
      <c r="F51" s="193">
        <f>'Budget Gold'!J218</f>
        <v>0</v>
      </c>
      <c r="G51" s="194">
        <f t="shared" si="11"/>
        <v>0</v>
      </c>
      <c r="H51" s="6" t="str">
        <f t="shared" si="12"/>
        <v>--- rien à faire ---</v>
      </c>
      <c r="I51" s="195">
        <f>'Budget Gold'!I219</f>
        <v>0</v>
      </c>
    </row>
    <row r="52" spans="1:13" s="1" customFormat="1">
      <c r="A52" s="156"/>
      <c r="D52" s="156"/>
      <c r="J52" s="180"/>
      <c r="K52" s="180"/>
      <c r="L52" s="180"/>
      <c r="M52" s="180"/>
    </row>
    <row r="53" spans="1:13" s="1" customFormat="1" ht="16">
      <c r="A53" s="156"/>
      <c r="D53" s="156"/>
      <c r="H53" s="248" t="s">
        <v>568</v>
      </c>
      <c r="I53" s="398">
        <f>SUM(I6:I51)</f>
        <v>55699</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Gold'!I7</f>
        <v>46174</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Gold'!I7</f>
        <v>46174</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425</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425</v>
      </c>
      <c r="H60" s="91" t="str">
        <f>IF(G60&gt;0,"(+) à ajouter sur ce compte épargne",IF(G60=0,"--- le solde ne change pas ---","(-) de moins sur ce compte épargne"))</f>
        <v>(+) à ajouter sur ce compte épargne</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8425</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66" si="13">E61-F61</f>
        <v>250</v>
      </c>
      <c r="H61" s="91" t="str">
        <f t="shared" ref="H61:H88" si="14">IF(G61&gt;0,"(+) à ajouter sur ce compte épargne",IF(G61=0,"--- le solde ne change pas ---","(-) de moins sur ce compte épargne"))</f>
        <v>(+) à ajouter sur ce compte épargne</v>
      </c>
      <c r="I61" s="201">
        <f t="shared" ref="I61:I89" si="15">(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39780</v>
      </c>
      <c r="J61" s="814"/>
      <c r="K61" s="814"/>
      <c r="L61" s="814"/>
      <c r="M61" s="814"/>
    </row>
    <row r="62" spans="1:13">
      <c r="B62" s="177">
        <f t="shared" ref="B62:B89" si="16">1+B61</f>
        <v>3</v>
      </c>
      <c r="C62" s="197" t="str">
        <f>IF('Menu 2'!E26="","",'Menu 2'!E26)</f>
        <v>Assurance vie - Finarylife</v>
      </c>
      <c r="E62" s="198">
        <f t="shared" ref="E62:E89" si="17">(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8">(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13"/>
        <v>200</v>
      </c>
      <c r="H62" s="91" t="str">
        <f t="shared" si="14"/>
        <v>(+) à ajouter sur ce compte épargne</v>
      </c>
      <c r="I62" s="201">
        <f t="shared" si="15"/>
        <v>2511</v>
      </c>
      <c r="J62" s="814"/>
      <c r="K62" s="814"/>
      <c r="L62" s="814"/>
      <c r="M62" s="814"/>
    </row>
    <row r="63" spans="1:13">
      <c r="B63" s="177">
        <f t="shared" si="16"/>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8"/>
        <v>0</v>
      </c>
      <c r="G63" s="200">
        <f t="shared" si="13"/>
        <v>0</v>
      </c>
      <c r="H63" s="91" t="str">
        <f t="shared" si="14"/>
        <v>--- le solde ne change pas ---</v>
      </c>
      <c r="I63" s="201">
        <f t="shared" si="15"/>
        <v>0</v>
      </c>
      <c r="J63" s="814"/>
      <c r="K63" s="814"/>
      <c r="L63" s="814"/>
      <c r="M63" s="814"/>
    </row>
    <row r="64" spans="1:13">
      <c r="B64" s="177">
        <f t="shared" si="16"/>
        <v>5</v>
      </c>
      <c r="C64" s="197" t="str">
        <f>IF('Menu 2'!E28="","",'Menu 2'!E28)</f>
        <v>Fonds euros - Finarylife</v>
      </c>
      <c r="E64" s="198">
        <f t="shared" si="17"/>
        <v>0</v>
      </c>
      <c r="F64" s="199">
        <f t="shared" si="18"/>
        <v>0</v>
      </c>
      <c r="G64" s="200">
        <f t="shared" si="13"/>
        <v>0</v>
      </c>
      <c r="H64" s="91" t="str">
        <f t="shared" si="14"/>
        <v>--- le solde ne change pas ---</v>
      </c>
      <c r="I64" s="201">
        <f t="shared" si="15"/>
        <v>0</v>
      </c>
      <c r="J64" s="814"/>
      <c r="K64" s="814"/>
      <c r="L64" s="814"/>
      <c r="M64" s="814"/>
    </row>
    <row r="65" spans="2:13">
      <c r="B65" s="177">
        <f t="shared" si="16"/>
        <v>6</v>
      </c>
      <c r="C65" s="197" t="str">
        <f>IF('Menu 2'!E29="","",'Menu 2'!E29)</f>
        <v/>
      </c>
      <c r="E65" s="198">
        <f t="shared" si="17"/>
        <v>3183</v>
      </c>
      <c r="F65" s="199">
        <f t="shared" si="18"/>
        <v>200</v>
      </c>
      <c r="G65" s="200">
        <f t="shared" si="13"/>
        <v>2983</v>
      </c>
      <c r="H65" s="91" t="str">
        <f>IF(G65&gt;0,"(+) à ajouter sur ce compte épargne",IF(G65=0,"--- le solde ne change pas ---","(-) de moins sur ce compte épargne"))</f>
        <v>(+) à ajouter sur ce compte épargne</v>
      </c>
      <c r="I65" s="201">
        <f t="shared" si="15"/>
        <v>4983</v>
      </c>
      <c r="J65" s="814"/>
      <c r="K65" s="814"/>
      <c r="L65" s="814"/>
      <c r="M65" s="814"/>
    </row>
    <row r="66" spans="2:13">
      <c r="B66" s="177">
        <f t="shared" si="16"/>
        <v>7</v>
      </c>
      <c r="C66" s="197" t="str">
        <f>IF('Menu 2'!E30="","",'Menu 2'!E30)</f>
        <v/>
      </c>
      <c r="E66" s="198">
        <f t="shared" si="17"/>
        <v>3183</v>
      </c>
      <c r="F66" s="199">
        <f t="shared" si="18"/>
        <v>200</v>
      </c>
      <c r="G66" s="200">
        <f t="shared" si="13"/>
        <v>2983</v>
      </c>
      <c r="H66" s="91" t="str">
        <f t="shared" si="14"/>
        <v>(+) à ajouter sur ce compte épargne</v>
      </c>
      <c r="I66" s="201">
        <f t="shared" si="15"/>
        <v>4983</v>
      </c>
      <c r="J66" s="814"/>
      <c r="K66" s="814"/>
      <c r="L66" s="814"/>
      <c r="M66" s="814"/>
    </row>
    <row r="67" spans="2:13">
      <c r="B67" s="177">
        <f t="shared" si="16"/>
        <v>8</v>
      </c>
      <c r="C67" s="197" t="str">
        <f>IF('Menu 2'!E31="","",'Menu 2'!E31)</f>
        <v/>
      </c>
      <c r="E67" s="198">
        <f t="shared" si="17"/>
        <v>3183</v>
      </c>
      <c r="F67" s="199">
        <f t="shared" si="18"/>
        <v>200</v>
      </c>
      <c r="G67" s="200">
        <f t="shared" ref="G67:G89" si="19">E67-F67</f>
        <v>2983</v>
      </c>
      <c r="H67" s="91" t="str">
        <f t="shared" si="14"/>
        <v>(+) à ajouter sur ce compte épargne</v>
      </c>
      <c r="I67" s="201">
        <f t="shared" si="15"/>
        <v>4983</v>
      </c>
      <c r="J67" s="814"/>
      <c r="K67" s="814"/>
      <c r="L67" s="814"/>
      <c r="M67" s="814"/>
    </row>
    <row r="68" spans="2:13">
      <c r="B68" s="177">
        <f t="shared" si="16"/>
        <v>9</v>
      </c>
      <c r="C68" s="197" t="str">
        <f>IF('Menu 2'!E32="","",'Menu 2'!E32)</f>
        <v/>
      </c>
      <c r="E68" s="198">
        <f t="shared" si="17"/>
        <v>3183</v>
      </c>
      <c r="F68" s="199">
        <f t="shared" si="18"/>
        <v>200</v>
      </c>
      <c r="G68" s="200">
        <f t="shared" si="19"/>
        <v>2983</v>
      </c>
      <c r="H68" s="91" t="str">
        <f t="shared" si="14"/>
        <v>(+) à ajouter sur ce compte épargne</v>
      </c>
      <c r="I68" s="201">
        <f t="shared" si="15"/>
        <v>4983</v>
      </c>
      <c r="J68" s="814"/>
      <c r="K68" s="814"/>
      <c r="L68" s="814"/>
      <c r="M68" s="814"/>
    </row>
    <row r="69" spans="2:13">
      <c r="B69" s="177">
        <f t="shared" si="16"/>
        <v>10</v>
      </c>
      <c r="C69" s="197" t="str">
        <f>IF('Menu 2'!E33="","",'Menu 2'!E33)</f>
        <v/>
      </c>
      <c r="E69" s="198">
        <f t="shared" si="17"/>
        <v>3183</v>
      </c>
      <c r="F69" s="199">
        <f t="shared" si="18"/>
        <v>200</v>
      </c>
      <c r="G69" s="200">
        <f t="shared" si="19"/>
        <v>2983</v>
      </c>
      <c r="H69" s="91" t="str">
        <f t="shared" si="14"/>
        <v>(+) à ajouter sur ce compte épargne</v>
      </c>
      <c r="I69" s="201">
        <f t="shared" si="15"/>
        <v>4983</v>
      </c>
      <c r="J69" s="814"/>
      <c r="K69" s="814"/>
      <c r="L69" s="814"/>
      <c r="M69" s="814"/>
    </row>
    <row r="70" spans="2:13">
      <c r="B70" s="177">
        <f t="shared" si="16"/>
        <v>11</v>
      </c>
      <c r="C70" s="197" t="str">
        <f>IF('Menu 2'!E34="","",'Menu 2'!E34)</f>
        <v/>
      </c>
      <c r="E70" s="198">
        <f t="shared" si="17"/>
        <v>3183</v>
      </c>
      <c r="F70" s="199">
        <f t="shared" si="18"/>
        <v>200</v>
      </c>
      <c r="G70" s="200">
        <f t="shared" si="19"/>
        <v>2983</v>
      </c>
      <c r="H70" s="91" t="str">
        <f t="shared" si="14"/>
        <v>(+) à ajouter sur ce compte épargne</v>
      </c>
      <c r="I70" s="201">
        <f t="shared" si="15"/>
        <v>4983</v>
      </c>
      <c r="J70" s="814"/>
      <c r="K70" s="814"/>
      <c r="L70" s="814"/>
      <c r="M70" s="814"/>
    </row>
    <row r="71" spans="2:13">
      <c r="B71" s="177">
        <f t="shared" si="16"/>
        <v>12</v>
      </c>
      <c r="C71" s="197" t="str">
        <f>IF('Menu 2'!E35="","",'Menu 2'!E35)</f>
        <v/>
      </c>
      <c r="E71" s="198">
        <f t="shared" si="17"/>
        <v>3183</v>
      </c>
      <c r="F71" s="199">
        <f t="shared" si="18"/>
        <v>200</v>
      </c>
      <c r="G71" s="200">
        <f t="shared" si="19"/>
        <v>2983</v>
      </c>
      <c r="H71" s="91" t="str">
        <f t="shared" si="14"/>
        <v>(+) à ajouter sur ce compte épargne</v>
      </c>
      <c r="I71" s="201">
        <f t="shared" si="15"/>
        <v>4983</v>
      </c>
      <c r="J71" s="814"/>
      <c r="K71" s="814"/>
      <c r="L71" s="814"/>
      <c r="M71" s="814"/>
    </row>
    <row r="72" spans="2:13">
      <c r="B72" s="177">
        <f t="shared" si="16"/>
        <v>13</v>
      </c>
      <c r="C72" s="197" t="str">
        <f>IF('Menu 2'!E36="","",'Menu 2'!E36)</f>
        <v/>
      </c>
      <c r="E72" s="198">
        <f t="shared" si="17"/>
        <v>3183</v>
      </c>
      <c r="F72" s="199">
        <f t="shared" si="18"/>
        <v>200</v>
      </c>
      <c r="G72" s="200">
        <f t="shared" si="19"/>
        <v>2983</v>
      </c>
      <c r="H72" s="91" t="str">
        <f t="shared" si="14"/>
        <v>(+) à ajouter sur ce compte épargne</v>
      </c>
      <c r="I72" s="201">
        <f t="shared" si="15"/>
        <v>4983</v>
      </c>
      <c r="J72" s="814"/>
      <c r="K72" s="814"/>
      <c r="L72" s="814"/>
      <c r="M72" s="814"/>
    </row>
    <row r="73" spans="2:13">
      <c r="B73" s="177">
        <f t="shared" si="16"/>
        <v>14</v>
      </c>
      <c r="C73" s="197" t="str">
        <f>IF('Menu 2'!E37="","",'Menu 2'!E37)</f>
        <v/>
      </c>
      <c r="E73" s="198">
        <f t="shared" si="17"/>
        <v>3183</v>
      </c>
      <c r="F73" s="199">
        <f t="shared" si="18"/>
        <v>200</v>
      </c>
      <c r="G73" s="200">
        <f t="shared" si="19"/>
        <v>2983</v>
      </c>
      <c r="H73" s="91" t="str">
        <f t="shared" si="14"/>
        <v>(+) à ajouter sur ce compte épargne</v>
      </c>
      <c r="I73" s="201">
        <f t="shared" si="15"/>
        <v>4983</v>
      </c>
      <c r="J73" s="814"/>
      <c r="K73" s="814"/>
      <c r="L73" s="814"/>
      <c r="M73" s="814"/>
    </row>
    <row r="74" spans="2:13">
      <c r="B74" s="177">
        <f t="shared" si="16"/>
        <v>15</v>
      </c>
      <c r="C74" s="197" t="str">
        <f>IF('Menu 2'!E38="","",'Menu 2'!E38)</f>
        <v/>
      </c>
      <c r="E74" s="198">
        <f t="shared" si="17"/>
        <v>3183</v>
      </c>
      <c r="F74" s="199">
        <f t="shared" si="18"/>
        <v>200</v>
      </c>
      <c r="G74" s="200">
        <f t="shared" si="19"/>
        <v>2983</v>
      </c>
      <c r="H74" s="91" t="str">
        <f t="shared" si="14"/>
        <v>(+) à ajouter sur ce compte épargne</v>
      </c>
      <c r="I74" s="201">
        <f t="shared" si="15"/>
        <v>4983</v>
      </c>
      <c r="J74" s="814"/>
      <c r="K74" s="814"/>
      <c r="L74" s="814"/>
      <c r="M74" s="814"/>
    </row>
    <row r="75" spans="2:13">
      <c r="B75" s="177">
        <f t="shared" si="16"/>
        <v>16</v>
      </c>
      <c r="C75" s="197" t="str">
        <f>IF('Menu 2'!E39="","",'Menu 2'!E39)</f>
        <v/>
      </c>
      <c r="E75" s="198">
        <f t="shared" si="17"/>
        <v>3183</v>
      </c>
      <c r="F75" s="199">
        <f t="shared" si="18"/>
        <v>200</v>
      </c>
      <c r="G75" s="200">
        <f t="shared" si="19"/>
        <v>2983</v>
      </c>
      <c r="H75" s="91" t="str">
        <f t="shared" si="14"/>
        <v>(+) à ajouter sur ce compte épargne</v>
      </c>
      <c r="I75" s="201">
        <f t="shared" si="15"/>
        <v>4983</v>
      </c>
    </row>
    <row r="76" spans="2:13">
      <c r="B76" s="177">
        <f t="shared" si="16"/>
        <v>17</v>
      </c>
      <c r="C76" s="197" t="str">
        <f>IF('Menu 2'!E40="","",'Menu 2'!E40)</f>
        <v/>
      </c>
      <c r="E76" s="198">
        <f t="shared" si="17"/>
        <v>3183</v>
      </c>
      <c r="F76" s="199">
        <f t="shared" si="18"/>
        <v>200</v>
      </c>
      <c r="G76" s="200">
        <f t="shared" si="19"/>
        <v>2983</v>
      </c>
      <c r="H76" s="91" t="str">
        <f t="shared" si="14"/>
        <v>(+) à ajouter sur ce compte épargne</v>
      </c>
      <c r="I76" s="201">
        <f t="shared" si="15"/>
        <v>4983</v>
      </c>
    </row>
    <row r="77" spans="2:13">
      <c r="B77" s="177">
        <f t="shared" si="16"/>
        <v>18</v>
      </c>
      <c r="C77" s="197" t="str">
        <f>IF('Menu 2'!E41="","",'Menu 2'!E41)</f>
        <v/>
      </c>
      <c r="E77" s="198">
        <f t="shared" si="17"/>
        <v>3183</v>
      </c>
      <c r="F77" s="199">
        <f t="shared" si="18"/>
        <v>200</v>
      </c>
      <c r="G77" s="200">
        <f t="shared" si="19"/>
        <v>2983</v>
      </c>
      <c r="H77" s="91" t="str">
        <f t="shared" si="14"/>
        <v>(+) à ajouter sur ce compte épargne</v>
      </c>
      <c r="I77" s="201">
        <f t="shared" si="15"/>
        <v>4983</v>
      </c>
    </row>
    <row r="78" spans="2:13">
      <c r="B78" s="177">
        <f t="shared" si="16"/>
        <v>19</v>
      </c>
      <c r="C78" s="197" t="str">
        <f>IF('Menu 2'!E42="","",'Menu 2'!E42)</f>
        <v/>
      </c>
      <c r="E78" s="198">
        <f t="shared" si="17"/>
        <v>3183</v>
      </c>
      <c r="F78" s="199">
        <f t="shared" si="18"/>
        <v>200</v>
      </c>
      <c r="G78" s="200">
        <f t="shared" si="19"/>
        <v>2983</v>
      </c>
      <c r="H78" s="91" t="str">
        <f t="shared" si="14"/>
        <v>(+) à ajouter sur ce compte épargne</v>
      </c>
      <c r="I78" s="201">
        <f t="shared" si="15"/>
        <v>4983</v>
      </c>
    </row>
    <row r="79" spans="2:13">
      <c r="B79" s="177">
        <f t="shared" si="16"/>
        <v>20</v>
      </c>
      <c r="C79" s="197" t="str">
        <f>IF('Menu 2'!E43="","",'Menu 2'!E43)</f>
        <v/>
      </c>
      <c r="E79" s="198">
        <f t="shared" si="17"/>
        <v>3183</v>
      </c>
      <c r="F79" s="199">
        <f t="shared" si="18"/>
        <v>200</v>
      </c>
      <c r="G79" s="200">
        <f t="shared" si="19"/>
        <v>2983</v>
      </c>
      <c r="H79" s="91" t="str">
        <f t="shared" si="14"/>
        <v>(+) à ajouter sur ce compte épargne</v>
      </c>
      <c r="I79" s="201">
        <f t="shared" si="15"/>
        <v>4983</v>
      </c>
    </row>
    <row r="80" spans="2:13">
      <c r="B80" s="177">
        <f t="shared" si="16"/>
        <v>21</v>
      </c>
      <c r="C80" s="197" t="str">
        <f>IF('Menu 2'!E44="","",'Menu 2'!E44)</f>
        <v/>
      </c>
      <c r="E80" s="198">
        <f t="shared" si="17"/>
        <v>3183</v>
      </c>
      <c r="F80" s="199">
        <f t="shared" si="18"/>
        <v>200</v>
      </c>
      <c r="G80" s="200">
        <f t="shared" si="19"/>
        <v>2983</v>
      </c>
      <c r="H80" s="91" t="str">
        <f t="shared" si="14"/>
        <v>(+) à ajouter sur ce compte épargne</v>
      </c>
      <c r="I80" s="201">
        <f t="shared" si="15"/>
        <v>4983</v>
      </c>
    </row>
    <row r="81" spans="2:13">
      <c r="B81" s="177">
        <f t="shared" si="16"/>
        <v>22</v>
      </c>
      <c r="C81" s="197" t="str">
        <f>IF('Menu 2'!E45="","",'Menu 2'!E45)</f>
        <v/>
      </c>
      <c r="E81" s="198">
        <f t="shared" si="17"/>
        <v>3183</v>
      </c>
      <c r="F81" s="199">
        <f t="shared" si="18"/>
        <v>200</v>
      </c>
      <c r="G81" s="200">
        <f t="shared" si="19"/>
        <v>2983</v>
      </c>
      <c r="H81" s="91" t="str">
        <f t="shared" si="14"/>
        <v>(+) à ajouter sur ce compte épargne</v>
      </c>
      <c r="I81" s="201">
        <f t="shared" si="15"/>
        <v>4983</v>
      </c>
    </row>
    <row r="82" spans="2:13">
      <c r="B82" s="177">
        <f t="shared" si="16"/>
        <v>23</v>
      </c>
      <c r="C82" s="197" t="str">
        <f>IF('Menu 2'!E46="","",'Menu 2'!E46)</f>
        <v/>
      </c>
      <c r="E82" s="198">
        <f t="shared" si="17"/>
        <v>3183</v>
      </c>
      <c r="F82" s="199">
        <f t="shared" si="18"/>
        <v>200</v>
      </c>
      <c r="G82" s="200">
        <f t="shared" si="19"/>
        <v>2983</v>
      </c>
      <c r="H82" s="91" t="str">
        <f t="shared" si="14"/>
        <v>(+) à ajouter sur ce compte épargne</v>
      </c>
      <c r="I82" s="201">
        <f t="shared" si="15"/>
        <v>4983</v>
      </c>
    </row>
    <row r="83" spans="2:13">
      <c r="B83" s="177">
        <f t="shared" si="16"/>
        <v>24</v>
      </c>
      <c r="C83" s="197" t="str">
        <f>IF('Menu 2'!E47="","",'Menu 2'!E47)</f>
        <v/>
      </c>
      <c r="E83" s="198">
        <f t="shared" si="17"/>
        <v>3183</v>
      </c>
      <c r="F83" s="199">
        <f t="shared" si="18"/>
        <v>200</v>
      </c>
      <c r="G83" s="200">
        <f t="shared" si="19"/>
        <v>2983</v>
      </c>
      <c r="H83" s="91" t="str">
        <f t="shared" si="14"/>
        <v>(+) à ajouter sur ce compte épargne</v>
      </c>
      <c r="I83" s="201">
        <f t="shared" si="15"/>
        <v>4983</v>
      </c>
    </row>
    <row r="84" spans="2:13">
      <c r="B84" s="177">
        <f t="shared" si="16"/>
        <v>25</v>
      </c>
      <c r="C84" s="197" t="str">
        <f>IF('Menu 2'!E48="","",'Menu 2'!E48)</f>
        <v/>
      </c>
      <c r="E84" s="198">
        <f t="shared" si="17"/>
        <v>3183</v>
      </c>
      <c r="F84" s="199">
        <f t="shared" si="18"/>
        <v>200</v>
      </c>
      <c r="G84" s="200">
        <f t="shared" si="19"/>
        <v>2983</v>
      </c>
      <c r="H84" s="91" t="str">
        <f t="shared" si="14"/>
        <v>(+) à ajouter sur ce compte épargne</v>
      </c>
      <c r="I84" s="201">
        <f t="shared" si="15"/>
        <v>4983</v>
      </c>
    </row>
    <row r="85" spans="2:13">
      <c r="B85" s="177">
        <f t="shared" si="16"/>
        <v>26</v>
      </c>
      <c r="C85" s="197" t="str">
        <f>IF('Menu 2'!E49="","",'Menu 2'!E49)</f>
        <v/>
      </c>
      <c r="E85" s="198">
        <f t="shared" si="17"/>
        <v>3183</v>
      </c>
      <c r="F85" s="199">
        <f t="shared" si="18"/>
        <v>200</v>
      </c>
      <c r="G85" s="200">
        <f t="shared" si="19"/>
        <v>2983</v>
      </c>
      <c r="H85" s="91" t="str">
        <f t="shared" si="14"/>
        <v>(+) à ajouter sur ce compte épargne</v>
      </c>
      <c r="I85" s="201">
        <f t="shared" si="15"/>
        <v>4983</v>
      </c>
    </row>
    <row r="86" spans="2:13">
      <c r="B86" s="177">
        <f t="shared" si="16"/>
        <v>27</v>
      </c>
      <c r="C86" s="197" t="str">
        <f>IF('Menu 2'!E50="","",'Menu 2'!E50)</f>
        <v/>
      </c>
      <c r="E86" s="198">
        <f t="shared" si="17"/>
        <v>3183</v>
      </c>
      <c r="F86" s="199">
        <f t="shared" si="18"/>
        <v>200</v>
      </c>
      <c r="G86" s="200">
        <f t="shared" si="19"/>
        <v>2983</v>
      </c>
      <c r="H86" s="91" t="str">
        <f t="shared" si="14"/>
        <v>(+) à ajouter sur ce compte épargne</v>
      </c>
      <c r="I86" s="201">
        <f t="shared" si="15"/>
        <v>4983</v>
      </c>
    </row>
    <row r="87" spans="2:13">
      <c r="B87" s="177">
        <f t="shared" si="16"/>
        <v>28</v>
      </c>
      <c r="C87" s="197" t="str">
        <f>IF('Menu 2'!E51="","",'Menu 2'!E51)</f>
        <v/>
      </c>
      <c r="E87" s="198">
        <f t="shared" si="17"/>
        <v>3183</v>
      </c>
      <c r="F87" s="199">
        <f t="shared" si="18"/>
        <v>200</v>
      </c>
      <c r="G87" s="200">
        <f t="shared" si="19"/>
        <v>2983</v>
      </c>
      <c r="H87" s="91" t="str">
        <f t="shared" si="14"/>
        <v>(+) à ajouter sur ce compte épargne</v>
      </c>
      <c r="I87" s="201">
        <f t="shared" si="15"/>
        <v>4983</v>
      </c>
    </row>
    <row r="88" spans="2:13">
      <c r="B88" s="177">
        <f t="shared" si="16"/>
        <v>29</v>
      </c>
      <c r="C88" s="197" t="str">
        <f>IF('Menu 2'!E52="","",'Menu 2'!E52)</f>
        <v/>
      </c>
      <c r="E88" s="198">
        <f t="shared" si="17"/>
        <v>3183</v>
      </c>
      <c r="F88" s="199">
        <f t="shared" si="18"/>
        <v>200</v>
      </c>
      <c r="G88" s="200">
        <f t="shared" si="19"/>
        <v>2983</v>
      </c>
      <c r="H88" s="91" t="str">
        <f t="shared" si="14"/>
        <v>(+) à ajouter sur ce compte épargne</v>
      </c>
      <c r="I88" s="201">
        <f t="shared" si="15"/>
        <v>4983</v>
      </c>
    </row>
    <row r="89" spans="2:13">
      <c r="B89" s="177">
        <f t="shared" si="16"/>
        <v>30</v>
      </c>
      <c r="C89" s="197" t="str">
        <f>IF('Menu 2'!E53="","",'Menu 2'!E53)</f>
        <v>PATRIMOINE</v>
      </c>
      <c r="E89" s="198">
        <f t="shared" si="17"/>
        <v>0</v>
      </c>
      <c r="F89" s="199">
        <f t="shared" si="18"/>
        <v>0</v>
      </c>
      <c r="G89" s="200">
        <f t="shared" si="19"/>
        <v>0</v>
      </c>
      <c r="H89" s="91" t="str">
        <f>IF(G89&gt;0,"(+) à ajouter sur ce compte épargne",IF(G89=0,"--- le solde ne change pas ---","(-) de moins sur ce compte épargne"))</f>
        <v>--- le solde ne change pas ---</v>
      </c>
      <c r="I89" s="201">
        <f t="shared" si="15"/>
        <v>0</v>
      </c>
    </row>
    <row r="90" spans="2:13" s="1" customFormat="1">
      <c r="E90" s="202"/>
      <c r="F90" s="202"/>
      <c r="G90" s="202"/>
      <c r="J90" s="180"/>
      <c r="K90" s="180"/>
      <c r="L90" s="180"/>
      <c r="M90" s="180"/>
    </row>
    <row r="91" spans="2:13" s="1" customFormat="1" ht="16">
      <c r="H91" s="248" t="s">
        <v>568</v>
      </c>
      <c r="I91" s="398">
        <f>SUM(I60:I89)</f>
        <v>170308</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aGNE5eEKaMpJ9dcEcYy1IdwmdBw192bURjFj69uJRWTGJx2DJ9DrNlylhRci/R7NVZsVpjbITVyerMzU92w75g==" saltValue="KzBmOpkkfFrQkwxUMuAScw==" spinCount="100000" sheet="1" objects="1" scenarios="1"/>
  <mergeCells count="8">
    <mergeCell ref="J59:M74"/>
    <mergeCell ref="J7:M22"/>
    <mergeCell ref="A2:A4"/>
    <mergeCell ref="A56:A58"/>
    <mergeCell ref="E56:H57"/>
    <mergeCell ref="E3:H4"/>
    <mergeCell ref="G6:H6"/>
    <mergeCell ref="G58:H58"/>
  </mergeCells>
  <conditionalFormatting sqref="G8:G51">
    <cfRule type="cellIs" dxfId="119" priority="3" operator="equal">
      <formula>0</formula>
    </cfRule>
    <cfRule type="cellIs" dxfId="118" priority="4" operator="lessThan">
      <formula>0</formula>
    </cfRule>
    <cfRule type="cellIs" dxfId="117" priority="5" operator="greaterThan">
      <formula>0</formula>
    </cfRule>
  </conditionalFormatting>
  <conditionalFormatting sqref="G60:G89">
    <cfRule type="cellIs" dxfId="116" priority="115" operator="equal">
      <formula>0</formula>
    </cfRule>
    <cfRule type="cellIs" dxfId="115" priority="116" operator="lessThan">
      <formula>0</formula>
    </cfRule>
    <cfRule type="cellIs" dxfId="114" priority="117" operator="greaterThan">
      <formula>0</formula>
    </cfRule>
  </conditionalFormatting>
  <conditionalFormatting sqref="H8:H51">
    <cfRule type="cellIs" dxfId="113" priority="1" operator="equal">
      <formula>"(-) de moins sur le compte épargne"</formula>
    </cfRule>
    <cfRule type="cellIs" dxfId="112" priority="2" operator="equal">
      <formula>"(+) à ajouter sur le compte épargne"</formula>
    </cfRule>
  </conditionalFormatting>
  <conditionalFormatting sqref="H60:H89">
    <cfRule type="cellIs" dxfId="111" priority="51" operator="equal">
      <formula>"(-) de moins sur ce compte épargne"</formula>
    </cfRule>
    <cfRule type="cellIs" dxfId="110" priority="52" operator="equal">
      <formula>"(+) à ajouter sur ce compte épargne"</formula>
    </cfRule>
  </conditionalFormatting>
  <hyperlinks>
    <hyperlink ref="A2" location="'Budget Gold'!A1" display="Retour au budget" xr:uid="{00000000-0004-0000-0B00-000000000000}"/>
    <hyperlink ref="A2:A4" location="'Budget Gold'!A1" tooltip="Retour au tableau Budget Gold" display="Retour au Budget" xr:uid="{00000000-0004-0000-0B00-000001000000}"/>
    <hyperlink ref="A56" location="'Budget Gold'!A1" display="Retour au budget" xr:uid="{00000000-0004-0000-0B00-000002000000}"/>
    <hyperlink ref="A56:A58" location="'Budget Gold'!A1" tooltip="Retour au tableau Budget Gold" display="Retour au Budget" xr:uid="{00000000-0004-0000-0B00-000003000000}"/>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561"/>
  <sheetViews>
    <sheetView workbookViewId="0"/>
  </sheetViews>
  <sheetFormatPr baseColWidth="10" defaultColWidth="11.33203125" defaultRowHeight="13"/>
  <cols>
    <col min="1" max="1" width="19.6640625" style="1" customWidth="1"/>
    <col min="2" max="2" width="56"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Gold'!L7</f>
        <v>46206</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Gold'!L7</f>
        <v>46206</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Gold'!M54</f>
        <v>250</v>
      </c>
      <c r="F8" s="193">
        <f>'Budget Gold'!M55</f>
        <v>0</v>
      </c>
      <c r="G8" s="194">
        <f>E8-F8</f>
        <v>250</v>
      </c>
      <c r="H8" s="6" t="str">
        <f>IF(G8&gt;0,"(+) à ajouter sur le compte épargne",IF(G8=0,"--- rien à faire ---","(-) de moins sur le compte épargne"))</f>
        <v>(+) à ajouter sur le compte épargne</v>
      </c>
      <c r="I8" s="195">
        <f>'Budget Gold'!L56</f>
        <v>40030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Gold'!M57</f>
        <v>200</v>
      </c>
      <c r="F9" s="193">
        <f>'Budget Gold'!M58</f>
        <v>0</v>
      </c>
      <c r="G9" s="194">
        <f t="shared" ref="G9:G43" si="0">E9-F9</f>
        <v>200</v>
      </c>
      <c r="H9" s="6" t="str">
        <f t="shared" ref="H9:H43" si="1">IF(G9&gt;0,"(+) à ajouter sur le compte épargne",IF(G9=0,"--- rien à faire ---","(-) de moins sur le compte épargne"))</f>
        <v>(+) à ajouter sur le compte épargne</v>
      </c>
      <c r="I9" s="195">
        <f>'Budget Gold'!L59</f>
        <v>2711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Gold'!M60</f>
        <v>100</v>
      </c>
      <c r="F10" s="193">
        <f>'Budget Gold'!M61</f>
        <v>0</v>
      </c>
      <c r="G10" s="194">
        <f t="shared" si="0"/>
        <v>100</v>
      </c>
      <c r="H10" s="6" t="str">
        <f t="shared" si="1"/>
        <v>(+) à ajouter sur le compte épargne</v>
      </c>
      <c r="I10" s="195">
        <f>'Budget Gold'!L62</f>
        <v>200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Gold'!M63</f>
        <v>25</v>
      </c>
      <c r="F11" s="193">
        <f>'Budget Gold'!M64</f>
        <v>0</v>
      </c>
      <c r="G11" s="194">
        <f t="shared" si="0"/>
        <v>25</v>
      </c>
      <c r="H11" s="6" t="str">
        <f t="shared" si="1"/>
        <v>(+) à ajouter sur le compte épargne</v>
      </c>
      <c r="I11" s="195">
        <f>'Budget Gold'!L65</f>
        <v>50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Gold'!M66</f>
        <v>50</v>
      </c>
      <c r="F12" s="193">
        <f>'Budget Gold'!M67</f>
        <v>0</v>
      </c>
      <c r="G12" s="194">
        <f t="shared" si="0"/>
        <v>50</v>
      </c>
      <c r="H12" s="6" t="str">
        <f t="shared" si="1"/>
        <v>(+) à ajouter sur le compte épargne</v>
      </c>
      <c r="I12" s="195">
        <f>'Budget Gold'!L68</f>
        <v>100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Gold'!M69</f>
        <v>100</v>
      </c>
      <c r="F13" s="193">
        <f>'Budget Gold'!M70</f>
        <v>0</v>
      </c>
      <c r="G13" s="194">
        <f t="shared" si="0"/>
        <v>100</v>
      </c>
      <c r="H13" s="6" t="str">
        <f t="shared" si="1"/>
        <v>(+) à ajouter sur le compte épargne</v>
      </c>
      <c r="I13" s="195">
        <f>'Budget Gold'!L71</f>
        <v>8200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Gold'!M72</f>
        <v>25</v>
      </c>
      <c r="F14" s="193">
        <f>'Budget Gold'!M73</f>
        <v>0</v>
      </c>
      <c r="G14" s="194">
        <f t="shared" si="0"/>
        <v>25</v>
      </c>
      <c r="H14" s="6" t="str">
        <f t="shared" si="1"/>
        <v>(+) à ajouter sur le compte épargne</v>
      </c>
      <c r="I14" s="195">
        <f>'Budget Gold'!L74</f>
        <v>50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Gold'!M75</f>
        <v>100</v>
      </c>
      <c r="F15" s="193">
        <f>'Budget Gold'!M76</f>
        <v>0</v>
      </c>
      <c r="G15" s="194">
        <f t="shared" si="0"/>
        <v>100</v>
      </c>
      <c r="H15" s="6" t="str">
        <f t="shared" si="1"/>
        <v>(+) à ajouter sur le compte épargne</v>
      </c>
      <c r="I15" s="195">
        <f>'Budget Gold'!L77</f>
        <v>200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Gold'!M78</f>
        <v>25</v>
      </c>
      <c r="F16" s="193">
        <f>'Budget Gold'!M79</f>
        <v>0</v>
      </c>
      <c r="G16" s="194">
        <f t="shared" si="0"/>
        <v>25</v>
      </c>
      <c r="H16" s="6" t="str">
        <f t="shared" si="1"/>
        <v>(+) à ajouter sur le compte épargne</v>
      </c>
      <c r="I16" s="195">
        <f>'Budget Gold'!L80</f>
        <v>50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Gold'!M81</f>
        <v>100</v>
      </c>
      <c r="F17" s="193">
        <f>'Budget Gold'!M82</f>
        <v>0</v>
      </c>
      <c r="G17" s="194">
        <f t="shared" si="0"/>
        <v>100</v>
      </c>
      <c r="H17" s="6" t="str">
        <f t="shared" si="1"/>
        <v>(+) à ajouter sur le compte épargne</v>
      </c>
      <c r="I17" s="195">
        <f>'Budget Gold'!L83</f>
        <v>200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Gold'!M84</f>
        <v>36.5</v>
      </c>
      <c r="F18" s="193">
        <f>'Budget Gold'!M85</f>
        <v>0</v>
      </c>
      <c r="G18" s="194">
        <f t="shared" si="0"/>
        <v>36.5</v>
      </c>
      <c r="H18" s="6" t="str">
        <f t="shared" si="1"/>
        <v>(+) à ajouter sur le compte épargne</v>
      </c>
      <c r="I18" s="195">
        <f>'Budget Gold'!L86</f>
        <v>73</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Gold'!M87</f>
        <v>36.5</v>
      </c>
      <c r="F19" s="193">
        <f>'Budget Gold'!M88</f>
        <v>0</v>
      </c>
      <c r="G19" s="194">
        <f t="shared" si="0"/>
        <v>36.5</v>
      </c>
      <c r="H19" s="6" t="str">
        <f t="shared" si="1"/>
        <v>(+) à ajouter sur le compte épargne</v>
      </c>
      <c r="I19" s="195">
        <f>'Budget Gold'!L89</f>
        <v>73</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Gold'!M90</f>
        <v>0</v>
      </c>
      <c r="F20" s="193">
        <f>'Budget Gold'!M91</f>
        <v>0</v>
      </c>
      <c r="G20" s="194">
        <f t="shared" si="0"/>
        <v>0</v>
      </c>
      <c r="H20" s="6" t="str">
        <f t="shared" si="1"/>
        <v>--- rien à faire ---</v>
      </c>
      <c r="I20" s="195">
        <f>'Budget Gold'!L92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Gold'!M93</f>
        <v>0</v>
      </c>
      <c r="F21" s="193">
        <f>'Budget Gold'!M94</f>
        <v>0</v>
      </c>
      <c r="G21" s="194">
        <f t="shared" si="0"/>
        <v>0</v>
      </c>
      <c r="H21" s="6" t="str">
        <f t="shared" si="1"/>
        <v>--- rien à faire ---</v>
      </c>
      <c r="I21" s="195">
        <f>'Budget Gold'!L95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Gold'!M96</f>
        <v>0</v>
      </c>
      <c r="F22" s="193">
        <f>'Budget Gold'!M97</f>
        <v>0</v>
      </c>
      <c r="G22" s="194">
        <f t="shared" si="0"/>
        <v>0</v>
      </c>
      <c r="H22" s="6" t="str">
        <f t="shared" si="1"/>
        <v>--- rien à faire ---</v>
      </c>
      <c r="I22" s="195">
        <f>'Budget Gold'!L98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Gold'!M99</f>
        <v>0</v>
      </c>
      <c r="F23" s="193">
        <f>'Budget Gold'!M100</f>
        <v>0</v>
      </c>
      <c r="G23" s="194">
        <f t="shared" si="0"/>
        <v>0</v>
      </c>
      <c r="H23" s="6" t="str">
        <f t="shared" si="1"/>
        <v>--- rien à faire ---</v>
      </c>
      <c r="I23" s="195">
        <f>'Budget Gold'!L101</f>
        <v>0</v>
      </c>
    </row>
    <row r="24" spans="1:13">
      <c r="A24" s="177">
        <f t="shared" si="2"/>
        <v>17</v>
      </c>
      <c r="B24" s="191" t="str">
        <f>IF('Budget Gold'!E102="Indiquer le nom du projet à financer","",'Budget Gold'!E102)</f>
        <v/>
      </c>
      <c r="C24" s="6" t="str">
        <f>IF('Budget Gold'!E104="- compte d'épargne à saisir -","",'Budget Gold'!E104)</f>
        <v/>
      </c>
      <c r="D24" s="156"/>
      <c r="E24" s="192">
        <f>'Budget Gold'!M102</f>
        <v>0</v>
      </c>
      <c r="F24" s="193">
        <f>'Budget Gold'!M103</f>
        <v>0</v>
      </c>
      <c r="G24" s="194">
        <f t="shared" ref="G24:G31" si="3">E24-F24</f>
        <v>0</v>
      </c>
      <c r="H24" s="6" t="str">
        <f t="shared" ref="H24:H30" si="4">IF(G24&gt;0,"(+) à ajouter sur le compte épargne",IF(G24=0,"--- rien à faire ---","(-) de moins sur le compte épargne"))</f>
        <v>--- rien à faire ---</v>
      </c>
      <c r="I24" s="195">
        <f>'Budget Gold'!L104</f>
        <v>0</v>
      </c>
    </row>
    <row r="25" spans="1:13">
      <c r="A25" s="177">
        <f t="shared" si="2"/>
        <v>18</v>
      </c>
      <c r="B25" s="191" t="str">
        <f>IF('Budget Gold'!E105="Indiquer le nom du projet à financer","",'Budget Gold'!E105)</f>
        <v/>
      </c>
      <c r="C25" s="6" t="str">
        <f>IF('Budget Gold'!E107="- compte d'épargne à saisir -","",'Budget Gold'!E107)</f>
        <v/>
      </c>
      <c r="D25" s="156"/>
      <c r="E25" s="192">
        <f>'Budget Gold'!M105</f>
        <v>0</v>
      </c>
      <c r="F25" s="193">
        <f>'Budget Gold'!M106</f>
        <v>0</v>
      </c>
      <c r="G25" s="194">
        <f t="shared" si="3"/>
        <v>0</v>
      </c>
      <c r="H25" s="6" t="str">
        <f t="shared" si="4"/>
        <v>--- rien à faire ---</v>
      </c>
      <c r="I25" s="195">
        <f>'Budget Gold'!L107</f>
        <v>0</v>
      </c>
    </row>
    <row r="26" spans="1:13">
      <c r="A26" s="177">
        <f t="shared" si="2"/>
        <v>19</v>
      </c>
      <c r="B26" s="191" t="str">
        <f>IF('Budget Gold'!E108="Indiquer le nom du projet à financer","",'Budget Gold'!E108)</f>
        <v/>
      </c>
      <c r="C26" s="6" t="str">
        <f>IF('Budget Gold'!E110="- compte d'épargne à saisir -","",'Budget Gold'!E110)</f>
        <v/>
      </c>
      <c r="D26" s="156"/>
      <c r="E26" s="192">
        <f>'Budget Gold'!M108</f>
        <v>0</v>
      </c>
      <c r="F26" s="193">
        <f>'Budget Gold'!M109</f>
        <v>0</v>
      </c>
      <c r="G26" s="194">
        <f t="shared" si="3"/>
        <v>0</v>
      </c>
      <c r="H26" s="6" t="str">
        <f t="shared" si="4"/>
        <v>--- rien à faire ---</v>
      </c>
      <c r="I26" s="195">
        <f>'Budget Gold'!L110</f>
        <v>0</v>
      </c>
    </row>
    <row r="27" spans="1:13">
      <c r="A27" s="177">
        <f t="shared" si="2"/>
        <v>20</v>
      </c>
      <c r="B27" s="191" t="str">
        <f>IF('Budget Gold'!E111="Indiquer le nom du projet à financer","",'Budget Gold'!E111)</f>
        <v/>
      </c>
      <c r="C27" s="6" t="str">
        <f>IF('Budget Gold'!E113="- compte d'épargne à saisir -","",'Budget Gold'!E113)</f>
        <v/>
      </c>
      <c r="D27" s="156"/>
      <c r="E27" s="192">
        <f>'Budget Gold'!M111</f>
        <v>0</v>
      </c>
      <c r="F27" s="193">
        <f>'Budget Gold'!M112</f>
        <v>0</v>
      </c>
      <c r="G27" s="194">
        <f t="shared" si="3"/>
        <v>0</v>
      </c>
      <c r="H27" s="6" t="str">
        <f t="shared" si="4"/>
        <v>--- rien à faire ---</v>
      </c>
      <c r="I27" s="195">
        <f>'Budget Gold'!L113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Gold'!M114</f>
        <v>0</v>
      </c>
      <c r="F28" s="193">
        <f>'Budget Gold'!M115</f>
        <v>0</v>
      </c>
      <c r="G28" s="194">
        <f t="shared" si="3"/>
        <v>0</v>
      </c>
      <c r="H28" s="6" t="str">
        <f t="shared" si="4"/>
        <v>--- rien à faire ---</v>
      </c>
      <c r="I28" s="195">
        <f>'Budget Gold'!L116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Gold'!M117</f>
        <v>0</v>
      </c>
      <c r="F29" s="193">
        <f>'Budget Gold'!M118</f>
        <v>0</v>
      </c>
      <c r="G29" s="194">
        <f t="shared" si="3"/>
        <v>0</v>
      </c>
      <c r="H29" s="6" t="str">
        <f t="shared" si="4"/>
        <v>--- rien à faire ---</v>
      </c>
      <c r="I29" s="195">
        <f>'Budget Gold'!L119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Gold'!M120</f>
        <v>0</v>
      </c>
      <c r="F30" s="193">
        <f>'Budget Gold'!M121</f>
        <v>0</v>
      </c>
      <c r="G30" s="194">
        <f t="shared" si="3"/>
        <v>0</v>
      </c>
      <c r="H30" s="6" t="str">
        <f t="shared" si="4"/>
        <v>--- rien à faire ---</v>
      </c>
      <c r="I30" s="195">
        <f>'Budget Gold'!L122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Gold'!M123</f>
        <v>0</v>
      </c>
      <c r="F31" s="193">
        <f>'Budget Gold'!M124</f>
        <v>0</v>
      </c>
      <c r="G31" s="194">
        <f t="shared" si="3"/>
        <v>0</v>
      </c>
      <c r="H31" s="6" t="str">
        <f>IF(G31&gt;0,"(+) à ajouter sur le compte épargne",IF(G31=0,"--- rien à faire ---","(-) de moins sur le compte épargne"))</f>
        <v>--- rien à faire ---</v>
      </c>
      <c r="I31" s="195">
        <f>'Budget Gold'!L125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Gold'!M160</f>
        <v>1750</v>
      </c>
      <c r="F32" s="193">
        <f>'Budget Gold'!M161</f>
        <v>0</v>
      </c>
      <c r="G32" s="194">
        <f t="shared" si="0"/>
        <v>1750</v>
      </c>
      <c r="H32" s="6" t="str">
        <f t="shared" si="1"/>
        <v>(+) à ajouter sur le compte épargne</v>
      </c>
      <c r="I32" s="195">
        <f>'Budget Gold'!L162</f>
        <v>5500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Gold'!M163</f>
        <v>300</v>
      </c>
      <c r="F33" s="193">
        <f>'Budget Gold'!M164</f>
        <v>0</v>
      </c>
      <c r="G33" s="194">
        <f t="shared" si="0"/>
        <v>300</v>
      </c>
      <c r="H33" s="6" t="str">
        <f t="shared" si="1"/>
        <v>(+) à ajouter sur le compte épargne</v>
      </c>
      <c r="I33" s="195">
        <f>'Budget Gold'!L165</f>
        <v>600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Gold'!M166</f>
        <v>50</v>
      </c>
      <c r="F34" s="193">
        <f>'Budget Gold'!M167</f>
        <v>0</v>
      </c>
      <c r="G34" s="194">
        <f t="shared" si="0"/>
        <v>50</v>
      </c>
      <c r="H34" s="6" t="str">
        <f t="shared" si="1"/>
        <v>(+) à ajouter sur le compte épargne</v>
      </c>
      <c r="I34" s="195">
        <f>'Budget Gold'!L168</f>
        <v>100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Gold'!M169</f>
        <v>100</v>
      </c>
      <c r="F35" s="193">
        <f>'Budget Gold'!M170</f>
        <v>0</v>
      </c>
      <c r="G35" s="194">
        <f t="shared" si="0"/>
        <v>100</v>
      </c>
      <c r="H35" s="6" t="str">
        <f t="shared" si="1"/>
        <v>(+) à ajouter sur le compte épargne</v>
      </c>
      <c r="I35" s="195">
        <f>'Budget Gold'!L171</f>
        <v>200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Gold'!M172</f>
        <v>300</v>
      </c>
      <c r="F36" s="193">
        <f>'Budget Gold'!M173</f>
        <v>0</v>
      </c>
      <c r="G36" s="194">
        <f t="shared" si="0"/>
        <v>300</v>
      </c>
      <c r="H36" s="6" t="str">
        <f t="shared" si="1"/>
        <v>(+) à ajouter sur le compte épargne</v>
      </c>
      <c r="I36" s="195">
        <f>'Budget Gold'!L174</f>
        <v>600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Gold'!M175</f>
        <v>300</v>
      </c>
      <c r="F37" s="193">
        <f>'Budget Gold'!M176</f>
        <v>0</v>
      </c>
      <c r="G37" s="194">
        <f t="shared" si="0"/>
        <v>300</v>
      </c>
      <c r="H37" s="6" t="str">
        <f t="shared" si="1"/>
        <v>(+) à ajouter sur le compte épargne</v>
      </c>
      <c r="I37" s="195">
        <f>'Budget Gold'!L177</f>
        <v>600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Gold'!M178</f>
        <v>10</v>
      </c>
      <c r="F38" s="193">
        <f>'Budget Gold'!M179</f>
        <v>0</v>
      </c>
      <c r="G38" s="194">
        <f t="shared" si="0"/>
        <v>10</v>
      </c>
      <c r="H38" s="6" t="str">
        <f t="shared" si="1"/>
        <v>(+) à ajouter sur le compte épargne</v>
      </c>
      <c r="I38" s="195">
        <f>'Budget Gold'!L180</f>
        <v>20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Gold'!M181</f>
        <v>200</v>
      </c>
      <c r="F39" s="193">
        <f>'Budget Gold'!M182</f>
        <v>200</v>
      </c>
      <c r="G39" s="194">
        <f t="shared" si="0"/>
        <v>0</v>
      </c>
      <c r="H39" s="6" t="str">
        <f t="shared" si="1"/>
        <v>--- rien à faire ---</v>
      </c>
      <c r="I39" s="195">
        <f>'Budget Gold'!L183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Gold'!M184</f>
        <v>0</v>
      </c>
      <c r="F40" s="193">
        <f>'Budget Gold'!M185</f>
        <v>0</v>
      </c>
      <c r="G40" s="194">
        <f t="shared" si="0"/>
        <v>0</v>
      </c>
      <c r="H40" s="6" t="str">
        <f t="shared" si="1"/>
        <v>--- rien à faire ---</v>
      </c>
      <c r="I40" s="195">
        <f>'Budget Gold'!L186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Gold'!M187</f>
        <v>0</v>
      </c>
      <c r="F41" s="193">
        <f>'Budget Gold'!M188</f>
        <v>0</v>
      </c>
      <c r="G41" s="194">
        <f t="shared" si="0"/>
        <v>0</v>
      </c>
      <c r="H41" s="6" t="str">
        <f t="shared" si="1"/>
        <v>--- rien à faire ---</v>
      </c>
      <c r="I41" s="195">
        <f>'Budget Gold'!L189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Gold'!M190</f>
        <v>0</v>
      </c>
      <c r="F42" s="193">
        <f>'Budget Gold'!M191</f>
        <v>0</v>
      </c>
      <c r="G42" s="194">
        <f t="shared" si="0"/>
        <v>0</v>
      </c>
      <c r="H42" s="6" t="str">
        <f t="shared" si="1"/>
        <v>--- rien à faire ---</v>
      </c>
      <c r="I42" s="195">
        <f>'Budget Gold'!L192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Gold'!M193</f>
        <v>0</v>
      </c>
      <c r="F43" s="193">
        <f>'Budget Gold'!M194</f>
        <v>0</v>
      </c>
      <c r="G43" s="194">
        <f t="shared" si="0"/>
        <v>0</v>
      </c>
      <c r="H43" s="6" t="str">
        <f t="shared" si="1"/>
        <v>--- rien à faire ---</v>
      </c>
      <c r="I43" s="195">
        <f>'Budget Gold'!L195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Gold'!M196</f>
        <v>0</v>
      </c>
      <c r="F44" s="193">
        <f>'Budget Gold'!M197</f>
        <v>0</v>
      </c>
      <c r="G44" s="194">
        <f t="shared" ref="G44:G47" si="5">E44-F44</f>
        <v>0</v>
      </c>
      <c r="H44" s="6" t="str">
        <f t="shared" ref="H44:H47" si="6">IF(G44&gt;0,"(+) à ajouter sur le compte épargne",IF(G44=0,"--- rien à faire ---","(-) de moins sur le compte épargne"))</f>
        <v>--- rien à faire ---</v>
      </c>
      <c r="I44" s="195">
        <f>'Budget Gold'!L198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Gold'!M199</f>
        <v>0</v>
      </c>
      <c r="F45" s="193">
        <f>'Budget Gold'!M200</f>
        <v>0</v>
      </c>
      <c r="G45" s="194">
        <f t="shared" si="5"/>
        <v>0</v>
      </c>
      <c r="H45" s="6" t="str">
        <f t="shared" si="6"/>
        <v>--- rien à faire ---</v>
      </c>
      <c r="I45" s="195">
        <f>'Budget Gold'!L201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Gold'!M202</f>
        <v>0</v>
      </c>
      <c r="F46" s="193">
        <f>'Budget Gold'!M203</f>
        <v>0</v>
      </c>
      <c r="G46" s="194">
        <f t="shared" si="5"/>
        <v>0</v>
      </c>
      <c r="H46" s="6" t="str">
        <f t="shared" si="6"/>
        <v>--- rien à faire ---</v>
      </c>
      <c r="I46" s="195">
        <f>'Budget Gold'!L204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Gold'!M205</f>
        <v>0</v>
      </c>
      <c r="F47" s="193">
        <f>'Budget Gold'!M206</f>
        <v>0</v>
      </c>
      <c r="G47" s="194">
        <f t="shared" si="5"/>
        <v>0</v>
      </c>
      <c r="H47" s="6" t="str">
        <f t="shared" si="6"/>
        <v>--- rien à faire ---</v>
      </c>
      <c r="I47" s="195">
        <f>'Budget Gold'!L207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Gold'!M208</f>
        <v>0</v>
      </c>
      <c r="F48" s="193">
        <f>'Budget Gold'!M209</f>
        <v>0</v>
      </c>
      <c r="G48" s="194">
        <f t="shared" ref="G48:G51" si="7">E48-F48</f>
        <v>0</v>
      </c>
      <c r="H48" s="6" t="str">
        <f t="shared" ref="H48:H51" si="8">IF(G48&gt;0,"(+) à ajouter sur le compte épargne",IF(G48=0,"--- rien à faire ---","(-) de moins sur le compte épargne"))</f>
        <v>--- rien à faire ---</v>
      </c>
      <c r="I48" s="195">
        <f>'Budget Gold'!L210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Gold'!M211</f>
        <v>0</v>
      </c>
      <c r="F49" s="193">
        <f>'Budget Gold'!M212</f>
        <v>0</v>
      </c>
      <c r="G49" s="194">
        <f t="shared" si="7"/>
        <v>0</v>
      </c>
      <c r="H49" s="6" t="str">
        <f t="shared" si="8"/>
        <v>--- rien à faire ---</v>
      </c>
      <c r="I49" s="195">
        <f>'Budget Gold'!L213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Gold'!M214</f>
        <v>0</v>
      </c>
      <c r="F50" s="193">
        <f>'Budget Gold'!M215</f>
        <v>0</v>
      </c>
      <c r="G50" s="194">
        <f t="shared" si="7"/>
        <v>0</v>
      </c>
      <c r="H50" s="6" t="str">
        <f t="shared" si="8"/>
        <v>--- rien à faire ---</v>
      </c>
      <c r="I50" s="195">
        <f>'Budget Gold'!L216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Gold'!M217</f>
        <v>0</v>
      </c>
      <c r="F51" s="193">
        <f>'Budget Gold'!M218</f>
        <v>0</v>
      </c>
      <c r="G51" s="194">
        <f t="shared" si="7"/>
        <v>0</v>
      </c>
      <c r="H51" s="6" t="str">
        <f t="shared" si="8"/>
        <v>--- rien à faire ---</v>
      </c>
      <c r="I51" s="195">
        <f>'Budget Gold'!L219</f>
        <v>0</v>
      </c>
    </row>
    <row r="52" spans="1:13" s="1" customFormat="1">
      <c r="A52" s="156"/>
      <c r="D52" s="156"/>
      <c r="J52" s="180"/>
      <c r="K52" s="180"/>
      <c r="L52" s="180"/>
      <c r="M52" s="180"/>
    </row>
    <row r="53" spans="1:13" s="1" customFormat="1" ht="16">
      <c r="A53" s="156"/>
      <c r="D53" s="156"/>
      <c r="H53" s="248" t="s">
        <v>568</v>
      </c>
      <c r="I53" s="398">
        <f>SUM(I6:I51)</f>
        <v>59557</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Gold'!L7</f>
        <v>46206</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Gold'!L7</f>
        <v>46206</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425</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425</v>
      </c>
      <c r="H60" s="91" t="str">
        <f>IF(G60&gt;0,"(+) à ajouter sur ce compte épargne",IF(G60=0,"--- le solde ne change pas ---","(-) de moins sur ce compte épargne"))</f>
        <v>(+) à ajouter sur ce compte épargne</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8850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9">E61-F61</f>
        <v>250</v>
      </c>
      <c r="H61" s="91" t="str">
        <f t="shared" ref="H61:H88" si="10">IF(G61&gt;0,"(+) à ajouter sur ce compte épargne",IF(G61=0,"--- le solde ne change pas ---","(-) de moins sur ce compte épargne"))</f>
        <v>(+) à ajouter sur ce compte épargne</v>
      </c>
      <c r="I61" s="201">
        <f t="shared" ref="I61:I89" si="11">(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40030</v>
      </c>
      <c r="J61" s="814"/>
      <c r="K61" s="814"/>
      <c r="L61" s="814"/>
      <c r="M61" s="814"/>
    </row>
    <row r="62" spans="1:13">
      <c r="B62" s="177">
        <f t="shared" ref="B62:B89" si="12">1+B61</f>
        <v>3</v>
      </c>
      <c r="C62" s="197" t="str">
        <f>IF('Menu 2'!E26="","",'Menu 2'!E26)</f>
        <v>Assurance vie - Finarylife</v>
      </c>
      <c r="E62" s="198">
        <f t="shared" ref="E62:E89" si="13">(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4">(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9"/>
        <v>200</v>
      </c>
      <c r="H62" s="91" t="str">
        <f t="shared" si="10"/>
        <v>(+) à ajouter sur ce compte épargne</v>
      </c>
      <c r="I62" s="201">
        <f t="shared" si="11"/>
        <v>2711</v>
      </c>
      <c r="J62" s="814"/>
      <c r="K62" s="814"/>
      <c r="L62" s="814"/>
      <c r="M62" s="814"/>
    </row>
    <row r="63" spans="1:13">
      <c r="B63" s="177">
        <f t="shared" si="12"/>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4"/>
        <v>0</v>
      </c>
      <c r="G63" s="200">
        <f t="shared" si="9"/>
        <v>0</v>
      </c>
      <c r="H63" s="91" t="str">
        <f t="shared" si="10"/>
        <v>--- le solde ne change pas ---</v>
      </c>
      <c r="I63" s="201">
        <f t="shared" si="11"/>
        <v>0</v>
      </c>
      <c r="J63" s="814"/>
      <c r="K63" s="814"/>
      <c r="L63" s="814"/>
      <c r="M63" s="814"/>
    </row>
    <row r="64" spans="1:13">
      <c r="B64" s="177">
        <f t="shared" si="12"/>
        <v>5</v>
      </c>
      <c r="C64" s="197" t="str">
        <f>IF('Menu 2'!E28="","",'Menu 2'!E28)</f>
        <v>Fonds euros - Finarylife</v>
      </c>
      <c r="E64" s="198">
        <f t="shared" si="13"/>
        <v>0</v>
      </c>
      <c r="F64" s="199">
        <f t="shared" si="14"/>
        <v>0</v>
      </c>
      <c r="G64" s="200">
        <f t="shared" si="9"/>
        <v>0</v>
      </c>
      <c r="H64" s="91" t="str">
        <f t="shared" si="10"/>
        <v>--- le solde ne change pas ---</v>
      </c>
      <c r="I64" s="201">
        <f t="shared" si="11"/>
        <v>0</v>
      </c>
      <c r="J64" s="814"/>
      <c r="K64" s="814"/>
      <c r="L64" s="814"/>
      <c r="M64" s="814"/>
    </row>
    <row r="65" spans="2:13">
      <c r="B65" s="177">
        <f t="shared" si="12"/>
        <v>6</v>
      </c>
      <c r="C65" s="197" t="str">
        <f>IF('Menu 2'!E29="","",'Menu 2'!E29)</f>
        <v/>
      </c>
      <c r="E65" s="198">
        <f t="shared" si="13"/>
        <v>3183</v>
      </c>
      <c r="F65" s="199">
        <f t="shared" si="14"/>
        <v>200</v>
      </c>
      <c r="G65" s="200">
        <f t="shared" si="9"/>
        <v>2983</v>
      </c>
      <c r="H65" s="91" t="str">
        <f>IF(G65&gt;0,"(+) à ajouter sur ce compte épargne",IF(G65=0,"--- le solde ne change pas ---","(-) de moins sur ce compte épargne"))</f>
        <v>(+) à ajouter sur ce compte épargne</v>
      </c>
      <c r="I65" s="201">
        <f t="shared" si="11"/>
        <v>7966</v>
      </c>
      <c r="J65" s="814"/>
      <c r="K65" s="814"/>
      <c r="L65" s="814"/>
      <c r="M65" s="814"/>
    </row>
    <row r="66" spans="2:13">
      <c r="B66" s="177">
        <f t="shared" si="12"/>
        <v>7</v>
      </c>
      <c r="C66" s="197" t="str">
        <f>IF('Menu 2'!E30="","",'Menu 2'!E30)</f>
        <v/>
      </c>
      <c r="E66" s="198">
        <f t="shared" si="13"/>
        <v>3183</v>
      </c>
      <c r="F66" s="199">
        <f t="shared" si="14"/>
        <v>200</v>
      </c>
      <c r="G66" s="200">
        <f t="shared" si="9"/>
        <v>2983</v>
      </c>
      <c r="H66" s="91" t="str">
        <f t="shared" si="10"/>
        <v>(+) à ajouter sur ce compte épargne</v>
      </c>
      <c r="I66" s="201">
        <f t="shared" si="11"/>
        <v>7966</v>
      </c>
      <c r="J66" s="814"/>
      <c r="K66" s="814"/>
      <c r="L66" s="814"/>
      <c r="M66" s="814"/>
    </row>
    <row r="67" spans="2:13">
      <c r="B67" s="177">
        <f t="shared" si="12"/>
        <v>8</v>
      </c>
      <c r="C67" s="197" t="str">
        <f>IF('Menu 2'!E31="","",'Menu 2'!E31)</f>
        <v/>
      </c>
      <c r="E67" s="198">
        <f t="shared" si="13"/>
        <v>3183</v>
      </c>
      <c r="F67" s="199">
        <f t="shared" si="14"/>
        <v>200</v>
      </c>
      <c r="G67" s="200">
        <f t="shared" si="9"/>
        <v>2983</v>
      </c>
      <c r="H67" s="91" t="str">
        <f t="shared" si="10"/>
        <v>(+) à ajouter sur ce compte épargne</v>
      </c>
      <c r="I67" s="201">
        <f t="shared" si="11"/>
        <v>7966</v>
      </c>
      <c r="J67" s="814"/>
      <c r="K67" s="814"/>
      <c r="L67" s="814"/>
      <c r="M67" s="814"/>
    </row>
    <row r="68" spans="2:13">
      <c r="B68" s="177">
        <f t="shared" si="12"/>
        <v>9</v>
      </c>
      <c r="C68" s="197" t="str">
        <f>IF('Menu 2'!E32="","",'Menu 2'!E32)</f>
        <v/>
      </c>
      <c r="E68" s="198">
        <f t="shared" si="13"/>
        <v>3183</v>
      </c>
      <c r="F68" s="199">
        <f t="shared" si="14"/>
        <v>200</v>
      </c>
      <c r="G68" s="200">
        <f t="shared" si="9"/>
        <v>2983</v>
      </c>
      <c r="H68" s="91" t="str">
        <f t="shared" si="10"/>
        <v>(+) à ajouter sur ce compte épargne</v>
      </c>
      <c r="I68" s="201">
        <f t="shared" si="11"/>
        <v>7966</v>
      </c>
      <c r="J68" s="814"/>
      <c r="K68" s="814"/>
      <c r="L68" s="814"/>
      <c r="M68" s="814"/>
    </row>
    <row r="69" spans="2:13">
      <c r="B69" s="177">
        <f t="shared" si="12"/>
        <v>10</v>
      </c>
      <c r="C69" s="197" t="str">
        <f>IF('Menu 2'!E33="","",'Menu 2'!E33)</f>
        <v/>
      </c>
      <c r="E69" s="198">
        <f t="shared" si="13"/>
        <v>3183</v>
      </c>
      <c r="F69" s="199">
        <f t="shared" si="14"/>
        <v>200</v>
      </c>
      <c r="G69" s="200">
        <f t="shared" si="9"/>
        <v>2983</v>
      </c>
      <c r="H69" s="91" t="str">
        <f t="shared" si="10"/>
        <v>(+) à ajouter sur ce compte épargne</v>
      </c>
      <c r="I69" s="201">
        <f t="shared" si="11"/>
        <v>7966</v>
      </c>
      <c r="J69" s="814"/>
      <c r="K69" s="814"/>
      <c r="L69" s="814"/>
      <c r="M69" s="814"/>
    </row>
    <row r="70" spans="2:13">
      <c r="B70" s="177">
        <f t="shared" si="12"/>
        <v>11</v>
      </c>
      <c r="C70" s="197" t="str">
        <f>IF('Menu 2'!E34="","",'Menu 2'!E34)</f>
        <v/>
      </c>
      <c r="E70" s="198">
        <f t="shared" si="13"/>
        <v>3183</v>
      </c>
      <c r="F70" s="199">
        <f t="shared" si="14"/>
        <v>200</v>
      </c>
      <c r="G70" s="200">
        <f t="shared" si="9"/>
        <v>2983</v>
      </c>
      <c r="H70" s="91" t="str">
        <f t="shared" si="10"/>
        <v>(+) à ajouter sur ce compte épargne</v>
      </c>
      <c r="I70" s="201">
        <f t="shared" si="11"/>
        <v>7966</v>
      </c>
      <c r="J70" s="814"/>
      <c r="K70" s="814"/>
      <c r="L70" s="814"/>
      <c r="M70" s="814"/>
    </row>
    <row r="71" spans="2:13">
      <c r="B71" s="177">
        <f t="shared" si="12"/>
        <v>12</v>
      </c>
      <c r="C71" s="197" t="str">
        <f>IF('Menu 2'!E35="","",'Menu 2'!E35)</f>
        <v/>
      </c>
      <c r="E71" s="198">
        <f t="shared" si="13"/>
        <v>3183</v>
      </c>
      <c r="F71" s="199">
        <f t="shared" si="14"/>
        <v>200</v>
      </c>
      <c r="G71" s="200">
        <f t="shared" si="9"/>
        <v>2983</v>
      </c>
      <c r="H71" s="91" t="str">
        <f t="shared" si="10"/>
        <v>(+) à ajouter sur ce compte épargne</v>
      </c>
      <c r="I71" s="201">
        <f t="shared" si="11"/>
        <v>7966</v>
      </c>
      <c r="J71" s="814"/>
      <c r="K71" s="814"/>
      <c r="L71" s="814"/>
      <c r="M71" s="814"/>
    </row>
    <row r="72" spans="2:13">
      <c r="B72" s="177">
        <f t="shared" si="12"/>
        <v>13</v>
      </c>
      <c r="C72" s="197" t="str">
        <f>IF('Menu 2'!E36="","",'Menu 2'!E36)</f>
        <v/>
      </c>
      <c r="E72" s="198">
        <f t="shared" si="13"/>
        <v>3183</v>
      </c>
      <c r="F72" s="199">
        <f t="shared" si="14"/>
        <v>200</v>
      </c>
      <c r="G72" s="200">
        <f t="shared" si="9"/>
        <v>2983</v>
      </c>
      <c r="H72" s="91" t="str">
        <f t="shared" si="10"/>
        <v>(+) à ajouter sur ce compte épargne</v>
      </c>
      <c r="I72" s="201">
        <f t="shared" si="11"/>
        <v>7966</v>
      </c>
      <c r="J72" s="814"/>
      <c r="K72" s="814"/>
      <c r="L72" s="814"/>
      <c r="M72" s="814"/>
    </row>
    <row r="73" spans="2:13">
      <c r="B73" s="177">
        <f t="shared" si="12"/>
        <v>14</v>
      </c>
      <c r="C73" s="197" t="str">
        <f>IF('Menu 2'!E37="","",'Menu 2'!E37)</f>
        <v/>
      </c>
      <c r="E73" s="198">
        <f t="shared" si="13"/>
        <v>3183</v>
      </c>
      <c r="F73" s="199">
        <f t="shared" si="14"/>
        <v>200</v>
      </c>
      <c r="G73" s="200">
        <f t="shared" si="9"/>
        <v>2983</v>
      </c>
      <c r="H73" s="91" t="str">
        <f t="shared" si="10"/>
        <v>(+) à ajouter sur ce compte épargne</v>
      </c>
      <c r="I73" s="201">
        <f t="shared" si="11"/>
        <v>7966</v>
      </c>
      <c r="J73" s="814"/>
      <c r="K73" s="814"/>
      <c r="L73" s="814"/>
      <c r="M73" s="814"/>
    </row>
    <row r="74" spans="2:13">
      <c r="B74" s="177">
        <f t="shared" si="12"/>
        <v>15</v>
      </c>
      <c r="C74" s="197" t="str">
        <f>IF('Menu 2'!E38="","",'Menu 2'!E38)</f>
        <v/>
      </c>
      <c r="E74" s="198">
        <f t="shared" si="13"/>
        <v>3183</v>
      </c>
      <c r="F74" s="199">
        <f t="shared" si="14"/>
        <v>200</v>
      </c>
      <c r="G74" s="200">
        <f t="shared" si="9"/>
        <v>2983</v>
      </c>
      <c r="H74" s="91" t="str">
        <f t="shared" si="10"/>
        <v>(+) à ajouter sur ce compte épargne</v>
      </c>
      <c r="I74" s="201">
        <f t="shared" si="11"/>
        <v>7966</v>
      </c>
      <c r="J74" s="814"/>
      <c r="K74" s="814"/>
      <c r="L74" s="814"/>
      <c r="M74" s="814"/>
    </row>
    <row r="75" spans="2:13">
      <c r="B75" s="177">
        <f t="shared" si="12"/>
        <v>16</v>
      </c>
      <c r="C75" s="197" t="str">
        <f>IF('Menu 2'!E39="","",'Menu 2'!E39)</f>
        <v/>
      </c>
      <c r="E75" s="198">
        <f t="shared" si="13"/>
        <v>3183</v>
      </c>
      <c r="F75" s="199">
        <f t="shared" si="14"/>
        <v>200</v>
      </c>
      <c r="G75" s="200">
        <f t="shared" si="9"/>
        <v>2983</v>
      </c>
      <c r="H75" s="91" t="str">
        <f t="shared" si="10"/>
        <v>(+) à ajouter sur ce compte épargne</v>
      </c>
      <c r="I75" s="201">
        <f t="shared" si="11"/>
        <v>7966</v>
      </c>
    </row>
    <row r="76" spans="2:13">
      <c r="B76" s="177">
        <f t="shared" si="12"/>
        <v>17</v>
      </c>
      <c r="C76" s="197" t="str">
        <f>IF('Menu 2'!E40="","",'Menu 2'!E40)</f>
        <v/>
      </c>
      <c r="E76" s="198">
        <f t="shared" si="13"/>
        <v>3183</v>
      </c>
      <c r="F76" s="199">
        <f t="shared" si="14"/>
        <v>200</v>
      </c>
      <c r="G76" s="200">
        <f t="shared" si="9"/>
        <v>2983</v>
      </c>
      <c r="H76" s="91" t="str">
        <f t="shared" si="10"/>
        <v>(+) à ajouter sur ce compte épargne</v>
      </c>
      <c r="I76" s="201">
        <f t="shared" si="11"/>
        <v>7966</v>
      </c>
    </row>
    <row r="77" spans="2:13">
      <c r="B77" s="177">
        <f t="shared" si="12"/>
        <v>18</v>
      </c>
      <c r="C77" s="197" t="str">
        <f>IF('Menu 2'!E41="","",'Menu 2'!E41)</f>
        <v/>
      </c>
      <c r="E77" s="198">
        <f t="shared" si="13"/>
        <v>3183</v>
      </c>
      <c r="F77" s="199">
        <f t="shared" si="14"/>
        <v>200</v>
      </c>
      <c r="G77" s="200">
        <f t="shared" si="9"/>
        <v>2983</v>
      </c>
      <c r="H77" s="91" t="str">
        <f t="shared" si="10"/>
        <v>(+) à ajouter sur ce compte épargne</v>
      </c>
      <c r="I77" s="201">
        <f t="shared" si="11"/>
        <v>7966</v>
      </c>
    </row>
    <row r="78" spans="2:13">
      <c r="B78" s="177">
        <f t="shared" si="12"/>
        <v>19</v>
      </c>
      <c r="C78" s="197" t="str">
        <f>IF('Menu 2'!E42="","",'Menu 2'!E42)</f>
        <v/>
      </c>
      <c r="E78" s="198">
        <f t="shared" si="13"/>
        <v>3183</v>
      </c>
      <c r="F78" s="199">
        <f t="shared" si="14"/>
        <v>200</v>
      </c>
      <c r="G78" s="200">
        <f t="shared" si="9"/>
        <v>2983</v>
      </c>
      <c r="H78" s="91" t="str">
        <f t="shared" si="10"/>
        <v>(+) à ajouter sur ce compte épargne</v>
      </c>
      <c r="I78" s="201">
        <f t="shared" si="11"/>
        <v>7966</v>
      </c>
    </row>
    <row r="79" spans="2:13">
      <c r="B79" s="177">
        <f t="shared" si="12"/>
        <v>20</v>
      </c>
      <c r="C79" s="197" t="str">
        <f>IF('Menu 2'!E43="","",'Menu 2'!E43)</f>
        <v/>
      </c>
      <c r="E79" s="198">
        <f t="shared" si="13"/>
        <v>3183</v>
      </c>
      <c r="F79" s="199">
        <f t="shared" si="14"/>
        <v>200</v>
      </c>
      <c r="G79" s="200">
        <f t="shared" si="9"/>
        <v>2983</v>
      </c>
      <c r="H79" s="91" t="str">
        <f t="shared" si="10"/>
        <v>(+) à ajouter sur ce compte épargne</v>
      </c>
      <c r="I79" s="201">
        <f t="shared" si="11"/>
        <v>7966</v>
      </c>
    </row>
    <row r="80" spans="2:13">
      <c r="B80" s="177">
        <f t="shared" si="12"/>
        <v>21</v>
      </c>
      <c r="C80" s="197" t="str">
        <f>IF('Menu 2'!E44="","",'Menu 2'!E44)</f>
        <v/>
      </c>
      <c r="E80" s="198">
        <f t="shared" si="13"/>
        <v>3183</v>
      </c>
      <c r="F80" s="199">
        <f t="shared" si="14"/>
        <v>200</v>
      </c>
      <c r="G80" s="200">
        <f t="shared" si="9"/>
        <v>2983</v>
      </c>
      <c r="H80" s="91" t="str">
        <f t="shared" si="10"/>
        <v>(+) à ajouter sur ce compte épargne</v>
      </c>
      <c r="I80" s="201">
        <f t="shared" si="11"/>
        <v>7966</v>
      </c>
    </row>
    <row r="81" spans="2:13">
      <c r="B81" s="177">
        <f t="shared" si="12"/>
        <v>22</v>
      </c>
      <c r="C81" s="197" t="str">
        <f>IF('Menu 2'!E45="","",'Menu 2'!E45)</f>
        <v/>
      </c>
      <c r="E81" s="198">
        <f t="shared" si="13"/>
        <v>3183</v>
      </c>
      <c r="F81" s="199">
        <f t="shared" si="14"/>
        <v>200</v>
      </c>
      <c r="G81" s="200">
        <f t="shared" si="9"/>
        <v>2983</v>
      </c>
      <c r="H81" s="91" t="str">
        <f t="shared" si="10"/>
        <v>(+) à ajouter sur ce compte épargne</v>
      </c>
      <c r="I81" s="201">
        <f t="shared" si="11"/>
        <v>7966</v>
      </c>
    </row>
    <row r="82" spans="2:13">
      <c r="B82" s="177">
        <f t="shared" si="12"/>
        <v>23</v>
      </c>
      <c r="C82" s="197" t="str">
        <f>IF('Menu 2'!E46="","",'Menu 2'!E46)</f>
        <v/>
      </c>
      <c r="E82" s="198">
        <f t="shared" si="13"/>
        <v>3183</v>
      </c>
      <c r="F82" s="199">
        <f t="shared" si="14"/>
        <v>200</v>
      </c>
      <c r="G82" s="200">
        <f t="shared" si="9"/>
        <v>2983</v>
      </c>
      <c r="H82" s="91" t="str">
        <f t="shared" si="10"/>
        <v>(+) à ajouter sur ce compte épargne</v>
      </c>
      <c r="I82" s="201">
        <f t="shared" si="11"/>
        <v>7966</v>
      </c>
    </row>
    <row r="83" spans="2:13">
      <c r="B83" s="177">
        <f t="shared" si="12"/>
        <v>24</v>
      </c>
      <c r="C83" s="197" t="str">
        <f>IF('Menu 2'!E47="","",'Menu 2'!E47)</f>
        <v/>
      </c>
      <c r="E83" s="198">
        <f t="shared" si="13"/>
        <v>3183</v>
      </c>
      <c r="F83" s="199">
        <f t="shared" si="14"/>
        <v>200</v>
      </c>
      <c r="G83" s="200">
        <f t="shared" si="9"/>
        <v>2983</v>
      </c>
      <c r="H83" s="91" t="str">
        <f t="shared" si="10"/>
        <v>(+) à ajouter sur ce compte épargne</v>
      </c>
      <c r="I83" s="201">
        <f t="shared" si="11"/>
        <v>7966</v>
      </c>
    </row>
    <row r="84" spans="2:13">
      <c r="B84" s="177">
        <f t="shared" si="12"/>
        <v>25</v>
      </c>
      <c r="C84" s="197" t="str">
        <f>IF('Menu 2'!E48="","",'Menu 2'!E48)</f>
        <v/>
      </c>
      <c r="E84" s="198">
        <f t="shared" si="13"/>
        <v>3183</v>
      </c>
      <c r="F84" s="199">
        <f t="shared" si="14"/>
        <v>200</v>
      </c>
      <c r="G84" s="200">
        <f t="shared" si="9"/>
        <v>2983</v>
      </c>
      <c r="H84" s="91" t="str">
        <f t="shared" si="10"/>
        <v>(+) à ajouter sur ce compte épargne</v>
      </c>
      <c r="I84" s="201">
        <f t="shared" si="11"/>
        <v>7966</v>
      </c>
    </row>
    <row r="85" spans="2:13">
      <c r="B85" s="177">
        <f t="shared" si="12"/>
        <v>26</v>
      </c>
      <c r="C85" s="197" t="str">
        <f>IF('Menu 2'!E49="","",'Menu 2'!E49)</f>
        <v/>
      </c>
      <c r="E85" s="198">
        <f t="shared" si="13"/>
        <v>3183</v>
      </c>
      <c r="F85" s="199">
        <f t="shared" si="14"/>
        <v>200</v>
      </c>
      <c r="G85" s="200">
        <f t="shared" si="9"/>
        <v>2983</v>
      </c>
      <c r="H85" s="91" t="str">
        <f t="shared" si="10"/>
        <v>(+) à ajouter sur ce compte épargne</v>
      </c>
      <c r="I85" s="201">
        <f t="shared" si="11"/>
        <v>7966</v>
      </c>
    </row>
    <row r="86" spans="2:13">
      <c r="B86" s="177">
        <f t="shared" si="12"/>
        <v>27</v>
      </c>
      <c r="C86" s="197" t="str">
        <f>IF('Menu 2'!E50="","",'Menu 2'!E50)</f>
        <v/>
      </c>
      <c r="E86" s="198">
        <f t="shared" si="13"/>
        <v>3183</v>
      </c>
      <c r="F86" s="199">
        <f t="shared" si="14"/>
        <v>200</v>
      </c>
      <c r="G86" s="200">
        <f t="shared" si="9"/>
        <v>2983</v>
      </c>
      <c r="H86" s="91" t="str">
        <f t="shared" si="10"/>
        <v>(+) à ajouter sur ce compte épargne</v>
      </c>
      <c r="I86" s="201">
        <f t="shared" si="11"/>
        <v>7966</v>
      </c>
    </row>
    <row r="87" spans="2:13">
      <c r="B87" s="177">
        <f t="shared" si="12"/>
        <v>28</v>
      </c>
      <c r="C87" s="197" t="str">
        <f>IF('Menu 2'!E51="","",'Menu 2'!E51)</f>
        <v/>
      </c>
      <c r="E87" s="198">
        <f t="shared" si="13"/>
        <v>3183</v>
      </c>
      <c r="F87" s="199">
        <f t="shared" si="14"/>
        <v>200</v>
      </c>
      <c r="G87" s="200">
        <f t="shared" si="9"/>
        <v>2983</v>
      </c>
      <c r="H87" s="91" t="str">
        <f t="shared" si="10"/>
        <v>(+) à ajouter sur ce compte épargne</v>
      </c>
      <c r="I87" s="201">
        <f t="shared" si="11"/>
        <v>7966</v>
      </c>
    </row>
    <row r="88" spans="2:13">
      <c r="B88" s="177">
        <f t="shared" si="12"/>
        <v>29</v>
      </c>
      <c r="C88" s="197" t="str">
        <f>IF('Menu 2'!E52="","",'Menu 2'!E52)</f>
        <v/>
      </c>
      <c r="E88" s="198">
        <f t="shared" si="13"/>
        <v>3183</v>
      </c>
      <c r="F88" s="199">
        <f t="shared" si="14"/>
        <v>200</v>
      </c>
      <c r="G88" s="200">
        <f t="shared" si="9"/>
        <v>2983</v>
      </c>
      <c r="H88" s="91" t="str">
        <f t="shared" si="10"/>
        <v>(+) à ajouter sur ce compte épargne</v>
      </c>
      <c r="I88" s="201">
        <f t="shared" si="11"/>
        <v>7966</v>
      </c>
    </row>
    <row r="89" spans="2:13">
      <c r="B89" s="177">
        <f t="shared" si="12"/>
        <v>30</v>
      </c>
      <c r="C89" s="197" t="str">
        <f>IF('Menu 2'!E53="","",'Menu 2'!E53)</f>
        <v>PATRIMOINE</v>
      </c>
      <c r="E89" s="198">
        <f t="shared" si="13"/>
        <v>0</v>
      </c>
      <c r="F89" s="199">
        <f t="shared" si="14"/>
        <v>0</v>
      </c>
      <c r="G89" s="200">
        <f t="shared" si="9"/>
        <v>0</v>
      </c>
      <c r="H89" s="91" t="str">
        <f>IF(G89&gt;0,"(+) à ajouter sur ce compte épargne",IF(G89=0,"--- le solde ne change pas ---","(-) de moins sur ce compte épargne"))</f>
        <v>--- le solde ne change pas ---</v>
      </c>
      <c r="I89" s="201">
        <f t="shared" si="11"/>
        <v>0</v>
      </c>
    </row>
    <row r="90" spans="2:13" s="1" customFormat="1">
      <c r="E90" s="202"/>
      <c r="F90" s="202"/>
      <c r="G90" s="202"/>
      <c r="J90" s="180"/>
      <c r="K90" s="180"/>
      <c r="L90" s="180"/>
      <c r="M90" s="180"/>
    </row>
    <row r="91" spans="2:13" s="1" customFormat="1" ht="16">
      <c r="H91" s="248" t="s">
        <v>568</v>
      </c>
      <c r="I91" s="398">
        <f>SUM(I60:I89)</f>
        <v>242775</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o4x4crteFe/M8lVISxq0A86ErxopdaVorvc52fmKl2oO7KEez5bsR/rsmuY8L9jUG38Ktb7DwcfKE7CKJBMddA==" saltValue="dVhTEo2YvEaGxrCnuO1zuw==" spinCount="100000" sheet="1" objects="1" scenarios="1"/>
  <mergeCells count="8">
    <mergeCell ref="J7:M22"/>
    <mergeCell ref="J59:M74"/>
    <mergeCell ref="A2:A4"/>
    <mergeCell ref="E3:H4"/>
    <mergeCell ref="G6:H6"/>
    <mergeCell ref="A56:A58"/>
    <mergeCell ref="E56:H57"/>
    <mergeCell ref="G58:H58"/>
  </mergeCells>
  <conditionalFormatting sqref="G8:G51">
    <cfRule type="cellIs" dxfId="109" priority="19" operator="equal">
      <formula>0</formula>
    </cfRule>
    <cfRule type="cellIs" dxfId="108" priority="20" operator="lessThan">
      <formula>0</formula>
    </cfRule>
    <cfRule type="cellIs" dxfId="107" priority="21" operator="greaterThan">
      <formula>0</formula>
    </cfRule>
  </conditionalFormatting>
  <conditionalFormatting sqref="G60:G89">
    <cfRule type="cellIs" dxfId="106" priority="5" operator="equal">
      <formula>0</formula>
    </cfRule>
    <cfRule type="cellIs" dxfId="105" priority="6" operator="lessThan">
      <formula>0</formula>
    </cfRule>
    <cfRule type="cellIs" dxfId="104" priority="7" operator="greaterThan">
      <formula>0</formula>
    </cfRule>
  </conditionalFormatting>
  <conditionalFormatting sqref="H8:H51">
    <cfRule type="cellIs" dxfId="103" priority="17" operator="equal">
      <formula>"(-) de moins sur le compte épargne"</formula>
    </cfRule>
    <cfRule type="cellIs" dxfId="102" priority="18" operator="equal">
      <formula>"(+) à ajouter sur le compte épargne"</formula>
    </cfRule>
  </conditionalFormatting>
  <conditionalFormatting sqref="H60:H89">
    <cfRule type="cellIs" dxfId="101" priority="1" operator="equal">
      <formula>"(-) de moins sur ce compte épargne"</formula>
    </cfRule>
    <cfRule type="cellIs" dxfId="100" priority="2" operator="equal">
      <formula>"(+) à ajouter sur ce compte épargne"</formula>
    </cfRule>
  </conditionalFormatting>
  <hyperlinks>
    <hyperlink ref="A2:A4" location="'Budget Gold'!A1" tooltip="Retour au tableau Budget Gold" display="Retour au Budget" xr:uid="{00000000-0004-0000-0C00-000000000000}"/>
    <hyperlink ref="A56" location="'Budget Gold'!A1" display="Retour au budget" xr:uid="{00000000-0004-0000-0C00-000001000000}"/>
    <hyperlink ref="A56:A58" location="'Budget Gold'!A1" tooltip="Retour au tableau Budget Gold" display="Retour au Budget" xr:uid="{00000000-0004-0000-0C00-000002000000}"/>
    <hyperlink ref="A2" location="'Budget Gold'!A1" tooltip="Retour au tableau Budget Gold" display="Retour au Budget" xr:uid="{00000000-0004-0000-0C00-000003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561"/>
  <sheetViews>
    <sheetView workbookViewId="0"/>
  </sheetViews>
  <sheetFormatPr baseColWidth="10" defaultColWidth="11.33203125" defaultRowHeight="13"/>
  <cols>
    <col min="1" max="1" width="19.6640625" style="1" customWidth="1"/>
    <col min="2" max="2" width="56.5"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Gold'!O7</f>
        <v>46238</v>
      </c>
      <c r="F3" s="816"/>
      <c r="G3" s="816"/>
      <c r="H3" s="816"/>
      <c r="I3" s="1"/>
    </row>
    <row r="4" spans="1:13" ht="12.75" customHeight="1">
      <c r="A4" s="452"/>
      <c r="B4" s="1"/>
      <c r="C4" s="1"/>
      <c r="D4" s="184"/>
      <c r="E4" s="816"/>
      <c r="F4" s="816"/>
      <c r="G4" s="816"/>
      <c r="H4" s="816"/>
      <c r="I4" s="1"/>
    </row>
    <row r="5" spans="1:13" s="1" customFormat="1">
      <c r="B5" s="38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Gold'!O7</f>
        <v>46238</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Gold'!P54</f>
        <v>250</v>
      </c>
      <c r="F8" s="193">
        <f>'Budget Gold'!P55</f>
        <v>0</v>
      </c>
      <c r="G8" s="194">
        <f>E8-F8</f>
        <v>250</v>
      </c>
      <c r="H8" s="6" t="str">
        <f>IF(G8&gt;0,"(+) à ajouter sur le compte épargne",IF(G8=0,"--- rien à faire ---","(-) de moins sur le compte épargne"))</f>
        <v>(+) à ajouter sur le compte épargne</v>
      </c>
      <c r="I8" s="195">
        <f>'Budget Gold'!O56</f>
        <v>40280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Gold'!P57</f>
        <v>200</v>
      </c>
      <c r="F9" s="193">
        <f>'Budget Gold'!P58</f>
        <v>0</v>
      </c>
      <c r="G9" s="194">
        <f t="shared" ref="G9:G43" si="0">E9-F9</f>
        <v>200</v>
      </c>
      <c r="H9" s="6" t="str">
        <f t="shared" ref="H9:H43" si="1">IF(G9&gt;0,"(+) à ajouter sur le compte épargne",IF(G9=0,"--- rien à faire ---","(-) de moins sur le compte épargne"))</f>
        <v>(+) à ajouter sur le compte épargne</v>
      </c>
      <c r="I9" s="195">
        <f>'Budget Gold'!O59</f>
        <v>2911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Gold'!P60</f>
        <v>100</v>
      </c>
      <c r="F10" s="193">
        <f>'Budget Gold'!P61</f>
        <v>0</v>
      </c>
      <c r="G10" s="194">
        <f t="shared" si="0"/>
        <v>100</v>
      </c>
      <c r="H10" s="6" t="str">
        <f t="shared" si="1"/>
        <v>(+) à ajouter sur le compte épargne</v>
      </c>
      <c r="I10" s="195">
        <f>'Budget Gold'!O62</f>
        <v>300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Gold'!P63</f>
        <v>25</v>
      </c>
      <c r="F11" s="193">
        <f>'Budget Gold'!P64</f>
        <v>0</v>
      </c>
      <c r="G11" s="194">
        <f t="shared" si="0"/>
        <v>25</v>
      </c>
      <c r="H11" s="6" t="str">
        <f t="shared" si="1"/>
        <v>(+) à ajouter sur le compte épargne</v>
      </c>
      <c r="I11" s="195">
        <f>'Budget Gold'!O65</f>
        <v>75</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Gold'!P66</f>
        <v>50</v>
      </c>
      <c r="F12" s="193">
        <f>'Budget Gold'!P67</f>
        <v>0</v>
      </c>
      <c r="G12" s="194">
        <f t="shared" si="0"/>
        <v>50</v>
      </c>
      <c r="H12" s="6" t="str">
        <f t="shared" si="1"/>
        <v>(+) à ajouter sur le compte épargne</v>
      </c>
      <c r="I12" s="195">
        <f>'Budget Gold'!O68</f>
        <v>150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Gold'!P69</f>
        <v>100</v>
      </c>
      <c r="F13" s="193">
        <f>'Budget Gold'!P70</f>
        <v>0</v>
      </c>
      <c r="G13" s="194">
        <f t="shared" si="0"/>
        <v>100</v>
      </c>
      <c r="H13" s="6" t="str">
        <f t="shared" si="1"/>
        <v>(+) à ajouter sur le compte épargne</v>
      </c>
      <c r="I13" s="195">
        <f>'Budget Gold'!O71</f>
        <v>8300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Gold'!P72</f>
        <v>25</v>
      </c>
      <c r="F14" s="193">
        <f>'Budget Gold'!P73</f>
        <v>0</v>
      </c>
      <c r="G14" s="194">
        <f t="shared" si="0"/>
        <v>25</v>
      </c>
      <c r="H14" s="6" t="str">
        <f t="shared" si="1"/>
        <v>(+) à ajouter sur le compte épargne</v>
      </c>
      <c r="I14" s="195">
        <f>'Budget Gold'!O74</f>
        <v>75</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Gold'!P75</f>
        <v>100</v>
      </c>
      <c r="F15" s="193">
        <f>'Budget Gold'!P76</f>
        <v>0</v>
      </c>
      <c r="G15" s="194">
        <f t="shared" si="0"/>
        <v>100</v>
      </c>
      <c r="H15" s="6" t="str">
        <f t="shared" si="1"/>
        <v>(+) à ajouter sur le compte épargne</v>
      </c>
      <c r="I15" s="195">
        <f>'Budget Gold'!O77</f>
        <v>300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Gold'!P78</f>
        <v>25</v>
      </c>
      <c r="F16" s="193">
        <f>'Budget Gold'!P79</f>
        <v>0</v>
      </c>
      <c r="G16" s="194">
        <f t="shared" si="0"/>
        <v>25</v>
      </c>
      <c r="H16" s="6" t="str">
        <f t="shared" si="1"/>
        <v>(+) à ajouter sur le compte épargne</v>
      </c>
      <c r="I16" s="195">
        <f>'Budget Gold'!O80</f>
        <v>75</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Gold'!P81</f>
        <v>100</v>
      </c>
      <c r="F17" s="193">
        <f>'Budget Gold'!P82</f>
        <v>0</v>
      </c>
      <c r="G17" s="194">
        <f t="shared" si="0"/>
        <v>100</v>
      </c>
      <c r="H17" s="6" t="str">
        <f t="shared" si="1"/>
        <v>(+) à ajouter sur le compte épargne</v>
      </c>
      <c r="I17" s="195">
        <f>'Budget Gold'!O83</f>
        <v>300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Gold'!P84</f>
        <v>36.5</v>
      </c>
      <c r="F18" s="193">
        <f>'Budget Gold'!P85</f>
        <v>0</v>
      </c>
      <c r="G18" s="194">
        <f t="shared" si="0"/>
        <v>36.5</v>
      </c>
      <c r="H18" s="6" t="str">
        <f t="shared" si="1"/>
        <v>(+) à ajouter sur le compte épargne</v>
      </c>
      <c r="I18" s="195">
        <f>'Budget Gold'!O86</f>
        <v>109.5</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Gold'!P87</f>
        <v>36.5</v>
      </c>
      <c r="F19" s="193">
        <f>'Budget Gold'!P88</f>
        <v>0</v>
      </c>
      <c r="G19" s="194">
        <f t="shared" si="0"/>
        <v>36.5</v>
      </c>
      <c r="H19" s="6" t="str">
        <f t="shared" si="1"/>
        <v>(+) à ajouter sur le compte épargne</v>
      </c>
      <c r="I19" s="195">
        <f>'Budget Gold'!O89</f>
        <v>109.5</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Gold'!P90</f>
        <v>0</v>
      </c>
      <c r="F20" s="193">
        <f>'Budget Gold'!P91</f>
        <v>0</v>
      </c>
      <c r="G20" s="194">
        <f t="shared" si="0"/>
        <v>0</v>
      </c>
      <c r="H20" s="6" t="str">
        <f t="shared" si="1"/>
        <v>--- rien à faire ---</v>
      </c>
      <c r="I20" s="195">
        <f>'Budget Gold'!O92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Gold'!P93</f>
        <v>0</v>
      </c>
      <c r="F21" s="193">
        <f>'Budget Gold'!P94</f>
        <v>0</v>
      </c>
      <c r="G21" s="194">
        <f t="shared" si="0"/>
        <v>0</v>
      </c>
      <c r="H21" s="6" t="str">
        <f t="shared" si="1"/>
        <v>--- rien à faire ---</v>
      </c>
      <c r="I21" s="195">
        <f>'Budget Gold'!O95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Gold'!P96</f>
        <v>0</v>
      </c>
      <c r="F22" s="193">
        <f>'Budget Gold'!P97</f>
        <v>0</v>
      </c>
      <c r="G22" s="194">
        <f t="shared" si="0"/>
        <v>0</v>
      </c>
      <c r="H22" s="6" t="str">
        <f t="shared" si="1"/>
        <v>--- rien à faire ---</v>
      </c>
      <c r="I22" s="195">
        <f>'Budget Gold'!O98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Gold'!P99</f>
        <v>0</v>
      </c>
      <c r="F23" s="193">
        <f>'Budget Gold'!P100</f>
        <v>0</v>
      </c>
      <c r="G23" s="194">
        <f t="shared" si="0"/>
        <v>0</v>
      </c>
      <c r="H23" s="6" t="str">
        <f t="shared" si="1"/>
        <v>--- rien à faire ---</v>
      </c>
      <c r="I23" s="195">
        <f>'Budget Gold'!O101</f>
        <v>0</v>
      </c>
    </row>
    <row r="24" spans="1:13">
      <c r="A24" s="177">
        <f t="shared" si="2"/>
        <v>17</v>
      </c>
      <c r="B24" s="191" t="str">
        <f>IF('Budget Gold'!E102="Indiquer le nom du projet à financer","",'Budget Gold'!E102)</f>
        <v/>
      </c>
      <c r="C24" s="6" t="str">
        <f>IF('Budget Gold'!E104="- compte d'épargne à saisir -","",'Budget Gold'!E104)</f>
        <v/>
      </c>
      <c r="D24" s="156"/>
      <c r="E24" s="192">
        <f>'Budget Gold'!P102</f>
        <v>0</v>
      </c>
      <c r="F24" s="193">
        <f>'Budget Gold'!P103</f>
        <v>0</v>
      </c>
      <c r="G24" s="194">
        <f t="shared" ref="G24:G31" si="3">E24-F24</f>
        <v>0</v>
      </c>
      <c r="H24" s="6" t="str">
        <f t="shared" ref="H24:H30" si="4">IF(G24&gt;0,"(+) à ajouter sur le compte épargne",IF(G24=0,"--- rien à faire ---","(-) de moins sur le compte épargne"))</f>
        <v>--- rien à faire ---</v>
      </c>
      <c r="I24" s="195">
        <f>'Budget Gold'!O104</f>
        <v>0</v>
      </c>
    </row>
    <row r="25" spans="1:13">
      <c r="A25" s="177">
        <f t="shared" si="2"/>
        <v>18</v>
      </c>
      <c r="B25" s="191" t="str">
        <f>IF('Budget Gold'!E105="Indiquer le nom du projet à financer","",'Budget Gold'!E105)</f>
        <v/>
      </c>
      <c r="C25" s="6" t="str">
        <f>IF('Budget Gold'!E107="- compte d'épargne à saisir -","",'Budget Gold'!E107)</f>
        <v/>
      </c>
      <c r="D25" s="156"/>
      <c r="E25" s="192">
        <f>'Budget Gold'!P105</f>
        <v>0</v>
      </c>
      <c r="F25" s="193">
        <f>'Budget Gold'!P106</f>
        <v>0</v>
      </c>
      <c r="G25" s="194">
        <f t="shared" si="3"/>
        <v>0</v>
      </c>
      <c r="H25" s="6" t="str">
        <f t="shared" si="4"/>
        <v>--- rien à faire ---</v>
      </c>
      <c r="I25" s="195">
        <f>'Budget Gold'!O107</f>
        <v>0</v>
      </c>
    </row>
    <row r="26" spans="1:13">
      <c r="A26" s="177">
        <f t="shared" si="2"/>
        <v>19</v>
      </c>
      <c r="B26" s="191" t="str">
        <f>IF('Budget Gold'!E108="Indiquer le nom du projet à financer","",'Budget Gold'!E108)</f>
        <v/>
      </c>
      <c r="C26" s="6" t="str">
        <f>IF('Budget Gold'!E110="- compte d'épargne à saisir -","",'Budget Gold'!E110)</f>
        <v/>
      </c>
      <c r="D26" s="156"/>
      <c r="E26" s="192">
        <f>'Budget Gold'!P108</f>
        <v>0</v>
      </c>
      <c r="F26" s="193">
        <f>'Budget Gold'!P109</f>
        <v>0</v>
      </c>
      <c r="G26" s="194">
        <f t="shared" si="3"/>
        <v>0</v>
      </c>
      <c r="H26" s="6" t="str">
        <f t="shared" si="4"/>
        <v>--- rien à faire ---</v>
      </c>
      <c r="I26" s="195">
        <f>'Budget Gold'!O110</f>
        <v>0</v>
      </c>
    </row>
    <row r="27" spans="1:13">
      <c r="A27" s="177">
        <f t="shared" si="2"/>
        <v>20</v>
      </c>
      <c r="B27" s="191" t="str">
        <f>IF('Budget Gold'!E111="Indiquer le nom du projet à financer","",'Budget Gold'!E111)</f>
        <v/>
      </c>
      <c r="C27" s="6" t="str">
        <f>IF('Budget Gold'!E113="- compte d'épargne à saisir -","",'Budget Gold'!E113)</f>
        <v/>
      </c>
      <c r="D27" s="156"/>
      <c r="E27" s="192">
        <f>'Budget Gold'!P111</f>
        <v>0</v>
      </c>
      <c r="F27" s="193">
        <f>'Budget Gold'!P112</f>
        <v>0</v>
      </c>
      <c r="G27" s="194">
        <f t="shared" si="3"/>
        <v>0</v>
      </c>
      <c r="H27" s="6" t="str">
        <f t="shared" si="4"/>
        <v>--- rien à faire ---</v>
      </c>
      <c r="I27" s="195">
        <f>'Budget Gold'!O113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Gold'!P114</f>
        <v>0</v>
      </c>
      <c r="F28" s="193">
        <f>'Budget Gold'!P115</f>
        <v>0</v>
      </c>
      <c r="G28" s="194">
        <f t="shared" si="3"/>
        <v>0</v>
      </c>
      <c r="H28" s="6" t="str">
        <f t="shared" si="4"/>
        <v>--- rien à faire ---</v>
      </c>
      <c r="I28" s="195">
        <f>'Budget Gold'!O116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Gold'!P117</f>
        <v>0</v>
      </c>
      <c r="F29" s="193">
        <f>'Budget Gold'!P118</f>
        <v>0</v>
      </c>
      <c r="G29" s="194">
        <f t="shared" si="3"/>
        <v>0</v>
      </c>
      <c r="H29" s="6" t="str">
        <f t="shared" si="4"/>
        <v>--- rien à faire ---</v>
      </c>
      <c r="I29" s="195">
        <f>'Budget Gold'!O119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Gold'!P120</f>
        <v>0</v>
      </c>
      <c r="F30" s="193">
        <f>'Budget Gold'!P121</f>
        <v>0</v>
      </c>
      <c r="G30" s="194">
        <f t="shared" si="3"/>
        <v>0</v>
      </c>
      <c r="H30" s="6" t="str">
        <f t="shared" si="4"/>
        <v>--- rien à faire ---</v>
      </c>
      <c r="I30" s="195">
        <f>'Budget Gold'!O122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Gold'!P123</f>
        <v>0</v>
      </c>
      <c r="F31" s="193">
        <f>'Budget Gold'!P124</f>
        <v>0</v>
      </c>
      <c r="G31" s="194">
        <f t="shared" si="3"/>
        <v>0</v>
      </c>
      <c r="H31" s="6" t="str">
        <f>IF(G31&gt;0,"(+) à ajouter sur le compte épargne",IF(G31=0,"--- rien à faire ---","(-) de moins sur le compte épargne"))</f>
        <v>--- rien à faire ---</v>
      </c>
      <c r="I31" s="195">
        <f>'Budget Gold'!O125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Gold'!P160</f>
        <v>1750</v>
      </c>
      <c r="F32" s="193">
        <f>'Budget Gold'!P161</f>
        <v>0</v>
      </c>
      <c r="G32" s="194">
        <f t="shared" si="0"/>
        <v>1750</v>
      </c>
      <c r="H32" s="6" t="str">
        <f t="shared" si="1"/>
        <v>(+) à ajouter sur le compte épargne</v>
      </c>
      <c r="I32" s="195">
        <f>'Budget Gold'!O162</f>
        <v>7250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Gold'!P163</f>
        <v>300</v>
      </c>
      <c r="F33" s="193">
        <f>'Budget Gold'!P164</f>
        <v>0</v>
      </c>
      <c r="G33" s="194">
        <f t="shared" si="0"/>
        <v>300</v>
      </c>
      <c r="H33" s="6" t="str">
        <f t="shared" si="1"/>
        <v>(+) à ajouter sur le compte épargne</v>
      </c>
      <c r="I33" s="195">
        <f>'Budget Gold'!O165</f>
        <v>900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Gold'!P166</f>
        <v>50</v>
      </c>
      <c r="F34" s="193">
        <f>'Budget Gold'!P167</f>
        <v>0</v>
      </c>
      <c r="G34" s="194">
        <f t="shared" si="0"/>
        <v>50</v>
      </c>
      <c r="H34" s="6" t="str">
        <f t="shared" si="1"/>
        <v>(+) à ajouter sur le compte épargne</v>
      </c>
      <c r="I34" s="195">
        <f>'Budget Gold'!O168</f>
        <v>150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Gold'!P169</f>
        <v>100</v>
      </c>
      <c r="F35" s="193">
        <f>'Budget Gold'!P170</f>
        <v>0</v>
      </c>
      <c r="G35" s="194">
        <f t="shared" si="0"/>
        <v>100</v>
      </c>
      <c r="H35" s="6" t="str">
        <f t="shared" si="1"/>
        <v>(+) à ajouter sur le compte épargne</v>
      </c>
      <c r="I35" s="195">
        <f>'Budget Gold'!O171</f>
        <v>300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Gold'!P172</f>
        <v>300</v>
      </c>
      <c r="F36" s="193">
        <f>'Budget Gold'!P173</f>
        <v>0</v>
      </c>
      <c r="G36" s="194">
        <f t="shared" si="0"/>
        <v>300</v>
      </c>
      <c r="H36" s="6" t="str">
        <f t="shared" si="1"/>
        <v>(+) à ajouter sur le compte épargne</v>
      </c>
      <c r="I36" s="195">
        <f>'Budget Gold'!O174</f>
        <v>900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Gold'!P175</f>
        <v>300</v>
      </c>
      <c r="F37" s="193">
        <f>'Budget Gold'!P176</f>
        <v>0</v>
      </c>
      <c r="G37" s="194">
        <f t="shared" si="0"/>
        <v>300</v>
      </c>
      <c r="H37" s="6" t="str">
        <f t="shared" si="1"/>
        <v>(+) à ajouter sur le compte épargne</v>
      </c>
      <c r="I37" s="195">
        <f>'Budget Gold'!O177</f>
        <v>900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Gold'!P178</f>
        <v>10</v>
      </c>
      <c r="F38" s="193">
        <f>'Budget Gold'!P179</f>
        <v>0</v>
      </c>
      <c r="G38" s="194">
        <f t="shared" si="0"/>
        <v>10</v>
      </c>
      <c r="H38" s="6" t="str">
        <f t="shared" si="1"/>
        <v>(+) à ajouter sur le compte épargne</v>
      </c>
      <c r="I38" s="195">
        <f>'Budget Gold'!O180</f>
        <v>30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Gold'!P181</f>
        <v>200</v>
      </c>
      <c r="F39" s="193">
        <f>'Budget Gold'!P182</f>
        <v>200</v>
      </c>
      <c r="G39" s="194">
        <f t="shared" si="0"/>
        <v>0</v>
      </c>
      <c r="H39" s="6" t="str">
        <f t="shared" si="1"/>
        <v>--- rien à faire ---</v>
      </c>
      <c r="I39" s="195">
        <f>'Budget Gold'!O183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Gold'!P184</f>
        <v>0</v>
      </c>
      <c r="F40" s="193">
        <f>'Budget Gold'!P185</f>
        <v>0</v>
      </c>
      <c r="G40" s="194">
        <f t="shared" si="0"/>
        <v>0</v>
      </c>
      <c r="H40" s="6" t="str">
        <f t="shared" si="1"/>
        <v>--- rien à faire ---</v>
      </c>
      <c r="I40" s="195">
        <f>'Budget Gold'!O186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Gold'!P187</f>
        <v>0</v>
      </c>
      <c r="F41" s="193">
        <f>'Budget Gold'!P188</f>
        <v>0</v>
      </c>
      <c r="G41" s="194">
        <f t="shared" si="0"/>
        <v>0</v>
      </c>
      <c r="H41" s="6" t="str">
        <f t="shared" si="1"/>
        <v>--- rien à faire ---</v>
      </c>
      <c r="I41" s="195">
        <f>'Budget Gold'!O189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Gold'!P190</f>
        <v>0</v>
      </c>
      <c r="F42" s="193">
        <f>'Budget Gold'!P191</f>
        <v>0</v>
      </c>
      <c r="G42" s="194">
        <f t="shared" si="0"/>
        <v>0</v>
      </c>
      <c r="H42" s="6" t="str">
        <f t="shared" si="1"/>
        <v>--- rien à faire ---</v>
      </c>
      <c r="I42" s="195">
        <f>'Budget Gold'!O192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Gold'!P193</f>
        <v>0</v>
      </c>
      <c r="F43" s="193">
        <f>'Budget Gold'!P194</f>
        <v>0</v>
      </c>
      <c r="G43" s="194">
        <f t="shared" si="0"/>
        <v>0</v>
      </c>
      <c r="H43" s="6" t="str">
        <f t="shared" si="1"/>
        <v>--- rien à faire ---</v>
      </c>
      <c r="I43" s="195">
        <f>'Budget Gold'!O195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Gold'!P196</f>
        <v>0</v>
      </c>
      <c r="F44" s="193">
        <f>'Budget Gold'!P197</f>
        <v>0</v>
      </c>
      <c r="G44" s="194">
        <f t="shared" ref="G44:G50" si="5">E44-F44</f>
        <v>0</v>
      </c>
      <c r="H44" s="6" t="str">
        <f t="shared" ref="H44:H51" si="6">IF(G44&gt;0,"(+) à ajouter sur le compte épargne",IF(G44=0,"--- rien à faire ---","(-) de moins sur le compte épargne"))</f>
        <v>--- rien à faire ---</v>
      </c>
      <c r="I44" s="195">
        <f>'Budget Gold'!O198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Gold'!P199</f>
        <v>0</v>
      </c>
      <c r="F45" s="193">
        <f>'Budget Gold'!P200</f>
        <v>0</v>
      </c>
      <c r="G45" s="194">
        <f t="shared" si="5"/>
        <v>0</v>
      </c>
      <c r="H45" s="6" t="str">
        <f t="shared" si="6"/>
        <v>--- rien à faire ---</v>
      </c>
      <c r="I45" s="195">
        <f>'Budget Gold'!O201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Gold'!P202</f>
        <v>0</v>
      </c>
      <c r="F46" s="193">
        <f>'Budget Gold'!P203</f>
        <v>0</v>
      </c>
      <c r="G46" s="194">
        <f t="shared" si="5"/>
        <v>0</v>
      </c>
      <c r="H46" s="6" t="str">
        <f t="shared" si="6"/>
        <v>--- rien à faire ---</v>
      </c>
      <c r="I46" s="195">
        <f>'Budget Gold'!O204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Gold'!P205</f>
        <v>0</v>
      </c>
      <c r="F47" s="193">
        <f>'Budget Gold'!P206</f>
        <v>0</v>
      </c>
      <c r="G47" s="194">
        <f t="shared" si="5"/>
        <v>0</v>
      </c>
      <c r="H47" s="6" t="str">
        <f t="shared" si="6"/>
        <v>--- rien à faire ---</v>
      </c>
      <c r="I47" s="195">
        <f>'Budget Gold'!O207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Gold'!P208</f>
        <v>0</v>
      </c>
      <c r="F48" s="193">
        <f>'Budget Gold'!P209</f>
        <v>0</v>
      </c>
      <c r="G48" s="194">
        <f t="shared" si="5"/>
        <v>0</v>
      </c>
      <c r="H48" s="6" t="str">
        <f t="shared" si="6"/>
        <v>--- rien à faire ---</v>
      </c>
      <c r="I48" s="195">
        <f>'Budget Gold'!O210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Gold'!P211</f>
        <v>0</v>
      </c>
      <c r="F49" s="193">
        <f>'Budget Gold'!P212</f>
        <v>0</v>
      </c>
      <c r="G49" s="194">
        <f t="shared" si="5"/>
        <v>0</v>
      </c>
      <c r="H49" s="6" t="str">
        <f t="shared" si="6"/>
        <v>--- rien à faire ---</v>
      </c>
      <c r="I49" s="195">
        <f>'Budget Gold'!O213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Gold'!P214</f>
        <v>0</v>
      </c>
      <c r="F50" s="193">
        <f>'Budget Gold'!P215</f>
        <v>0</v>
      </c>
      <c r="G50" s="194">
        <f t="shared" si="5"/>
        <v>0</v>
      </c>
      <c r="H50" s="6" t="str">
        <f t="shared" si="6"/>
        <v>--- rien à faire ---</v>
      </c>
      <c r="I50" s="195">
        <f>'Budget Gold'!O216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Gold'!P217</f>
        <v>0</v>
      </c>
      <c r="F51" s="193">
        <f>'Budget Gold'!P218</f>
        <v>0</v>
      </c>
      <c r="G51" s="194">
        <f>E51-F51</f>
        <v>0</v>
      </c>
      <c r="H51" s="6" t="str">
        <f t="shared" si="6"/>
        <v>--- rien à faire ---</v>
      </c>
      <c r="I51" s="195">
        <f>'Budget Gold'!O219</f>
        <v>0</v>
      </c>
    </row>
    <row r="52" spans="1:13" s="1" customFormat="1">
      <c r="A52" s="156"/>
      <c r="D52" s="156"/>
      <c r="J52" s="180"/>
      <c r="K52" s="180"/>
      <c r="L52" s="180"/>
      <c r="M52" s="180"/>
    </row>
    <row r="53" spans="1:13" s="1" customFormat="1" ht="16">
      <c r="A53" s="156"/>
      <c r="D53" s="156"/>
      <c r="H53" s="248" t="s">
        <v>568</v>
      </c>
      <c r="I53" s="398">
        <f>SUM(I6:I51)</f>
        <v>63415</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Gold'!O7</f>
        <v>46238</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Gold'!O7</f>
        <v>46238</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425</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425</v>
      </c>
      <c r="H60" s="91" t="str">
        <f>IF(G60&gt;0,"(+) à ajouter sur ce compte épargne",IF(G60=0,"--- le solde ne change pas ---","(-) de moins sur ce compte épargne"))</f>
        <v>(+) à ajouter sur ce compte épargne</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9275</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40280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2911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3183</v>
      </c>
      <c r="F65" s="199">
        <f t="shared" si="12"/>
        <v>200</v>
      </c>
      <c r="G65" s="200">
        <f t="shared" si="7"/>
        <v>2983</v>
      </c>
      <c r="H65" s="91" t="str">
        <f>IF(G65&gt;0,"(+) à ajouter sur ce compte épargne",IF(G65=0,"--- le solde ne change pas ---","(-) de moins sur ce compte épargne"))</f>
        <v>(+) à ajouter sur ce compte épargne</v>
      </c>
      <c r="I65" s="201">
        <f t="shared" si="9"/>
        <v>10949</v>
      </c>
      <c r="J65" s="814"/>
      <c r="K65" s="814"/>
      <c r="L65" s="814"/>
      <c r="M65" s="814"/>
    </row>
    <row r="66" spans="2:13">
      <c r="B66" s="177">
        <f t="shared" si="10"/>
        <v>7</v>
      </c>
      <c r="C66" s="197" t="str">
        <f>IF('Menu 2'!E30="","",'Menu 2'!E30)</f>
        <v/>
      </c>
      <c r="E66" s="198">
        <f t="shared" si="11"/>
        <v>3183</v>
      </c>
      <c r="F66" s="199">
        <f t="shared" si="12"/>
        <v>200</v>
      </c>
      <c r="G66" s="200">
        <f t="shared" si="7"/>
        <v>2983</v>
      </c>
      <c r="H66" s="91" t="str">
        <f t="shared" si="8"/>
        <v>(+) à ajouter sur ce compte épargne</v>
      </c>
      <c r="I66" s="201">
        <f t="shared" si="9"/>
        <v>10949</v>
      </c>
      <c r="J66" s="814"/>
      <c r="K66" s="814"/>
      <c r="L66" s="814"/>
      <c r="M66" s="814"/>
    </row>
    <row r="67" spans="2:13">
      <c r="B67" s="177">
        <f t="shared" si="10"/>
        <v>8</v>
      </c>
      <c r="C67" s="197" t="str">
        <f>IF('Menu 2'!E31="","",'Menu 2'!E31)</f>
        <v/>
      </c>
      <c r="E67" s="198">
        <f t="shared" si="11"/>
        <v>3183</v>
      </c>
      <c r="F67" s="199">
        <f t="shared" si="12"/>
        <v>200</v>
      </c>
      <c r="G67" s="200">
        <f t="shared" si="7"/>
        <v>2983</v>
      </c>
      <c r="H67" s="91" t="str">
        <f t="shared" si="8"/>
        <v>(+) à ajouter sur ce compte épargne</v>
      </c>
      <c r="I67" s="201">
        <f t="shared" si="9"/>
        <v>10949</v>
      </c>
      <c r="J67" s="814"/>
      <c r="K67" s="814"/>
      <c r="L67" s="814"/>
      <c r="M67" s="814"/>
    </row>
    <row r="68" spans="2:13">
      <c r="B68" s="177">
        <f t="shared" si="10"/>
        <v>9</v>
      </c>
      <c r="C68" s="197" t="str">
        <f>IF('Menu 2'!E32="","",'Menu 2'!E32)</f>
        <v/>
      </c>
      <c r="E68" s="198">
        <f t="shared" si="11"/>
        <v>3183</v>
      </c>
      <c r="F68" s="199">
        <f t="shared" si="12"/>
        <v>200</v>
      </c>
      <c r="G68" s="200">
        <f t="shared" si="7"/>
        <v>2983</v>
      </c>
      <c r="H68" s="91" t="str">
        <f t="shared" si="8"/>
        <v>(+) à ajouter sur ce compte épargne</v>
      </c>
      <c r="I68" s="201">
        <f t="shared" si="9"/>
        <v>10949</v>
      </c>
      <c r="J68" s="814"/>
      <c r="K68" s="814"/>
      <c r="L68" s="814"/>
      <c r="M68" s="814"/>
    </row>
    <row r="69" spans="2:13">
      <c r="B69" s="177">
        <f t="shared" si="10"/>
        <v>10</v>
      </c>
      <c r="C69" s="197" t="str">
        <f>IF('Menu 2'!E33="","",'Menu 2'!E33)</f>
        <v/>
      </c>
      <c r="E69" s="198">
        <f t="shared" si="11"/>
        <v>3183</v>
      </c>
      <c r="F69" s="199">
        <f t="shared" si="12"/>
        <v>200</v>
      </c>
      <c r="G69" s="200">
        <f t="shared" si="7"/>
        <v>2983</v>
      </c>
      <c r="H69" s="91" t="str">
        <f t="shared" si="8"/>
        <v>(+) à ajouter sur ce compte épargne</v>
      </c>
      <c r="I69" s="201">
        <f t="shared" si="9"/>
        <v>10949</v>
      </c>
      <c r="J69" s="814"/>
      <c r="K69" s="814"/>
      <c r="L69" s="814"/>
      <c r="M69" s="814"/>
    </row>
    <row r="70" spans="2:13">
      <c r="B70" s="177">
        <f t="shared" si="10"/>
        <v>11</v>
      </c>
      <c r="C70" s="197" t="str">
        <f>IF('Menu 2'!E34="","",'Menu 2'!E34)</f>
        <v/>
      </c>
      <c r="E70" s="198">
        <f t="shared" si="11"/>
        <v>3183</v>
      </c>
      <c r="F70" s="199">
        <f t="shared" si="12"/>
        <v>200</v>
      </c>
      <c r="G70" s="200">
        <f t="shared" si="7"/>
        <v>2983</v>
      </c>
      <c r="H70" s="91" t="str">
        <f t="shared" si="8"/>
        <v>(+) à ajouter sur ce compte épargne</v>
      </c>
      <c r="I70" s="201">
        <f t="shared" si="9"/>
        <v>10949</v>
      </c>
      <c r="J70" s="814"/>
      <c r="K70" s="814"/>
      <c r="L70" s="814"/>
      <c r="M70" s="814"/>
    </row>
    <row r="71" spans="2:13">
      <c r="B71" s="177">
        <f t="shared" si="10"/>
        <v>12</v>
      </c>
      <c r="C71" s="197" t="str">
        <f>IF('Menu 2'!E35="","",'Menu 2'!E35)</f>
        <v/>
      </c>
      <c r="E71" s="198">
        <f t="shared" si="11"/>
        <v>3183</v>
      </c>
      <c r="F71" s="199">
        <f t="shared" si="12"/>
        <v>200</v>
      </c>
      <c r="G71" s="200">
        <f t="shared" si="7"/>
        <v>2983</v>
      </c>
      <c r="H71" s="91" t="str">
        <f t="shared" si="8"/>
        <v>(+) à ajouter sur ce compte épargne</v>
      </c>
      <c r="I71" s="201">
        <f t="shared" si="9"/>
        <v>10949</v>
      </c>
      <c r="J71" s="814"/>
      <c r="K71" s="814"/>
      <c r="L71" s="814"/>
      <c r="M71" s="814"/>
    </row>
    <row r="72" spans="2:13">
      <c r="B72" s="177">
        <f t="shared" si="10"/>
        <v>13</v>
      </c>
      <c r="C72" s="197" t="str">
        <f>IF('Menu 2'!E36="","",'Menu 2'!E36)</f>
        <v/>
      </c>
      <c r="E72" s="198">
        <f t="shared" si="11"/>
        <v>3183</v>
      </c>
      <c r="F72" s="199">
        <f t="shared" si="12"/>
        <v>200</v>
      </c>
      <c r="G72" s="200">
        <f t="shared" si="7"/>
        <v>2983</v>
      </c>
      <c r="H72" s="91" t="str">
        <f t="shared" si="8"/>
        <v>(+) à ajouter sur ce compte épargne</v>
      </c>
      <c r="I72" s="201">
        <f t="shared" si="9"/>
        <v>10949</v>
      </c>
      <c r="J72" s="814"/>
      <c r="K72" s="814"/>
      <c r="L72" s="814"/>
      <c r="M72" s="814"/>
    </row>
    <row r="73" spans="2:13">
      <c r="B73" s="177">
        <f t="shared" si="10"/>
        <v>14</v>
      </c>
      <c r="C73" s="197" t="str">
        <f>IF('Menu 2'!E37="","",'Menu 2'!E37)</f>
        <v/>
      </c>
      <c r="E73" s="198">
        <f t="shared" si="11"/>
        <v>3183</v>
      </c>
      <c r="F73" s="199">
        <f t="shared" si="12"/>
        <v>200</v>
      </c>
      <c r="G73" s="200">
        <f t="shared" si="7"/>
        <v>2983</v>
      </c>
      <c r="H73" s="91" t="str">
        <f t="shared" si="8"/>
        <v>(+) à ajouter sur ce compte épargne</v>
      </c>
      <c r="I73" s="201">
        <f t="shared" si="9"/>
        <v>10949</v>
      </c>
      <c r="J73" s="814"/>
      <c r="K73" s="814"/>
      <c r="L73" s="814"/>
      <c r="M73" s="814"/>
    </row>
    <row r="74" spans="2:13">
      <c r="B74" s="177">
        <f t="shared" si="10"/>
        <v>15</v>
      </c>
      <c r="C74" s="197" t="str">
        <f>IF('Menu 2'!E38="","",'Menu 2'!E38)</f>
        <v/>
      </c>
      <c r="E74" s="198">
        <f t="shared" si="11"/>
        <v>3183</v>
      </c>
      <c r="F74" s="199">
        <f t="shared" si="12"/>
        <v>200</v>
      </c>
      <c r="G74" s="200">
        <f t="shared" si="7"/>
        <v>2983</v>
      </c>
      <c r="H74" s="91" t="str">
        <f t="shared" si="8"/>
        <v>(+) à ajouter sur ce compte épargne</v>
      </c>
      <c r="I74" s="201">
        <f t="shared" si="9"/>
        <v>10949</v>
      </c>
      <c r="J74" s="814"/>
      <c r="K74" s="814"/>
      <c r="L74" s="814"/>
      <c r="M74" s="814"/>
    </row>
    <row r="75" spans="2:13">
      <c r="B75" s="177">
        <f t="shared" si="10"/>
        <v>16</v>
      </c>
      <c r="C75" s="197" t="str">
        <f>IF('Menu 2'!E39="","",'Menu 2'!E39)</f>
        <v/>
      </c>
      <c r="E75" s="198">
        <f t="shared" si="11"/>
        <v>3183</v>
      </c>
      <c r="F75" s="199">
        <f t="shared" si="12"/>
        <v>200</v>
      </c>
      <c r="G75" s="200">
        <f t="shared" si="7"/>
        <v>2983</v>
      </c>
      <c r="H75" s="91" t="str">
        <f t="shared" si="8"/>
        <v>(+) à ajouter sur ce compte épargne</v>
      </c>
      <c r="I75" s="201">
        <f t="shared" si="9"/>
        <v>10949</v>
      </c>
    </row>
    <row r="76" spans="2:13">
      <c r="B76" s="177">
        <f t="shared" si="10"/>
        <v>17</v>
      </c>
      <c r="C76" s="197" t="str">
        <f>IF('Menu 2'!E40="","",'Menu 2'!E40)</f>
        <v/>
      </c>
      <c r="E76" s="198">
        <f t="shared" si="11"/>
        <v>3183</v>
      </c>
      <c r="F76" s="199">
        <f t="shared" si="12"/>
        <v>200</v>
      </c>
      <c r="G76" s="200">
        <f t="shared" si="7"/>
        <v>2983</v>
      </c>
      <c r="H76" s="91" t="str">
        <f t="shared" si="8"/>
        <v>(+) à ajouter sur ce compte épargne</v>
      </c>
      <c r="I76" s="201">
        <f t="shared" si="9"/>
        <v>10949</v>
      </c>
    </row>
    <row r="77" spans="2:13">
      <c r="B77" s="177">
        <f t="shared" si="10"/>
        <v>18</v>
      </c>
      <c r="C77" s="197" t="str">
        <f>IF('Menu 2'!E41="","",'Menu 2'!E41)</f>
        <v/>
      </c>
      <c r="E77" s="198">
        <f t="shared" si="11"/>
        <v>3183</v>
      </c>
      <c r="F77" s="199">
        <f t="shared" si="12"/>
        <v>200</v>
      </c>
      <c r="G77" s="200">
        <f t="shared" si="7"/>
        <v>2983</v>
      </c>
      <c r="H77" s="91" t="str">
        <f t="shared" si="8"/>
        <v>(+) à ajouter sur ce compte épargne</v>
      </c>
      <c r="I77" s="201">
        <f t="shared" si="9"/>
        <v>10949</v>
      </c>
    </row>
    <row r="78" spans="2:13">
      <c r="B78" s="177">
        <f t="shared" si="10"/>
        <v>19</v>
      </c>
      <c r="C78" s="197" t="str">
        <f>IF('Menu 2'!E42="","",'Menu 2'!E42)</f>
        <v/>
      </c>
      <c r="E78" s="198">
        <f t="shared" si="11"/>
        <v>3183</v>
      </c>
      <c r="F78" s="199">
        <f t="shared" si="12"/>
        <v>200</v>
      </c>
      <c r="G78" s="200">
        <f t="shared" si="7"/>
        <v>2983</v>
      </c>
      <c r="H78" s="91" t="str">
        <f t="shared" si="8"/>
        <v>(+) à ajouter sur ce compte épargne</v>
      </c>
      <c r="I78" s="201">
        <f t="shared" si="9"/>
        <v>10949</v>
      </c>
    </row>
    <row r="79" spans="2:13">
      <c r="B79" s="177">
        <f t="shared" si="10"/>
        <v>20</v>
      </c>
      <c r="C79" s="197" t="str">
        <f>IF('Menu 2'!E43="","",'Menu 2'!E43)</f>
        <v/>
      </c>
      <c r="E79" s="198">
        <f t="shared" si="11"/>
        <v>3183</v>
      </c>
      <c r="F79" s="199">
        <f t="shared" si="12"/>
        <v>200</v>
      </c>
      <c r="G79" s="200">
        <f t="shared" si="7"/>
        <v>2983</v>
      </c>
      <c r="H79" s="91" t="str">
        <f t="shared" si="8"/>
        <v>(+) à ajouter sur ce compte épargne</v>
      </c>
      <c r="I79" s="201">
        <f t="shared" si="9"/>
        <v>10949</v>
      </c>
    </row>
    <row r="80" spans="2:13">
      <c r="B80" s="177">
        <f t="shared" si="10"/>
        <v>21</v>
      </c>
      <c r="C80" s="197" t="str">
        <f>IF('Menu 2'!E44="","",'Menu 2'!E44)</f>
        <v/>
      </c>
      <c r="E80" s="198">
        <f t="shared" si="11"/>
        <v>3183</v>
      </c>
      <c r="F80" s="199">
        <f t="shared" si="12"/>
        <v>200</v>
      </c>
      <c r="G80" s="200">
        <f t="shared" si="7"/>
        <v>2983</v>
      </c>
      <c r="H80" s="91" t="str">
        <f t="shared" si="8"/>
        <v>(+) à ajouter sur ce compte épargne</v>
      </c>
      <c r="I80" s="201">
        <f t="shared" si="9"/>
        <v>10949</v>
      </c>
    </row>
    <row r="81" spans="2:13">
      <c r="B81" s="177">
        <f t="shared" si="10"/>
        <v>22</v>
      </c>
      <c r="C81" s="197" t="str">
        <f>IF('Menu 2'!E45="","",'Menu 2'!E45)</f>
        <v/>
      </c>
      <c r="E81" s="198">
        <f t="shared" si="11"/>
        <v>3183</v>
      </c>
      <c r="F81" s="199">
        <f t="shared" si="12"/>
        <v>200</v>
      </c>
      <c r="G81" s="200">
        <f t="shared" si="7"/>
        <v>2983</v>
      </c>
      <c r="H81" s="91" t="str">
        <f t="shared" si="8"/>
        <v>(+) à ajouter sur ce compte épargne</v>
      </c>
      <c r="I81" s="201">
        <f t="shared" si="9"/>
        <v>10949</v>
      </c>
    </row>
    <row r="82" spans="2:13">
      <c r="B82" s="177">
        <f t="shared" si="10"/>
        <v>23</v>
      </c>
      <c r="C82" s="197" t="str">
        <f>IF('Menu 2'!E46="","",'Menu 2'!E46)</f>
        <v/>
      </c>
      <c r="E82" s="198">
        <f t="shared" si="11"/>
        <v>3183</v>
      </c>
      <c r="F82" s="199">
        <f t="shared" si="12"/>
        <v>200</v>
      </c>
      <c r="G82" s="200">
        <f t="shared" si="7"/>
        <v>2983</v>
      </c>
      <c r="H82" s="91" t="str">
        <f t="shared" si="8"/>
        <v>(+) à ajouter sur ce compte épargne</v>
      </c>
      <c r="I82" s="201">
        <f t="shared" si="9"/>
        <v>10949</v>
      </c>
    </row>
    <row r="83" spans="2:13">
      <c r="B83" s="177">
        <f t="shared" si="10"/>
        <v>24</v>
      </c>
      <c r="C83" s="197" t="str">
        <f>IF('Menu 2'!E47="","",'Menu 2'!E47)</f>
        <v/>
      </c>
      <c r="E83" s="198">
        <f t="shared" si="11"/>
        <v>3183</v>
      </c>
      <c r="F83" s="199">
        <f t="shared" si="12"/>
        <v>200</v>
      </c>
      <c r="G83" s="200">
        <f t="shared" si="7"/>
        <v>2983</v>
      </c>
      <c r="H83" s="91" t="str">
        <f t="shared" si="8"/>
        <v>(+) à ajouter sur ce compte épargne</v>
      </c>
      <c r="I83" s="201">
        <f t="shared" si="9"/>
        <v>10949</v>
      </c>
    </row>
    <row r="84" spans="2:13">
      <c r="B84" s="177">
        <f t="shared" si="10"/>
        <v>25</v>
      </c>
      <c r="C84" s="197" t="str">
        <f>IF('Menu 2'!E48="","",'Menu 2'!E48)</f>
        <v/>
      </c>
      <c r="E84" s="198">
        <f t="shared" si="11"/>
        <v>3183</v>
      </c>
      <c r="F84" s="199">
        <f t="shared" si="12"/>
        <v>200</v>
      </c>
      <c r="G84" s="200">
        <f t="shared" si="7"/>
        <v>2983</v>
      </c>
      <c r="H84" s="91" t="str">
        <f t="shared" si="8"/>
        <v>(+) à ajouter sur ce compte épargne</v>
      </c>
      <c r="I84" s="201">
        <f t="shared" si="9"/>
        <v>10949</v>
      </c>
    </row>
    <row r="85" spans="2:13">
      <c r="B85" s="177">
        <f t="shared" si="10"/>
        <v>26</v>
      </c>
      <c r="C85" s="197" t="str">
        <f>IF('Menu 2'!E49="","",'Menu 2'!E49)</f>
        <v/>
      </c>
      <c r="E85" s="198">
        <f t="shared" si="11"/>
        <v>3183</v>
      </c>
      <c r="F85" s="199">
        <f t="shared" si="12"/>
        <v>200</v>
      </c>
      <c r="G85" s="200">
        <f t="shared" si="7"/>
        <v>2983</v>
      </c>
      <c r="H85" s="91" t="str">
        <f t="shared" si="8"/>
        <v>(+) à ajouter sur ce compte épargne</v>
      </c>
      <c r="I85" s="201">
        <f t="shared" si="9"/>
        <v>10949</v>
      </c>
    </row>
    <row r="86" spans="2:13">
      <c r="B86" s="177">
        <f t="shared" si="10"/>
        <v>27</v>
      </c>
      <c r="C86" s="197" t="str">
        <f>IF('Menu 2'!E50="","",'Menu 2'!E50)</f>
        <v/>
      </c>
      <c r="E86" s="198">
        <f t="shared" si="11"/>
        <v>3183</v>
      </c>
      <c r="F86" s="199">
        <f t="shared" si="12"/>
        <v>200</v>
      </c>
      <c r="G86" s="200">
        <f t="shared" si="7"/>
        <v>2983</v>
      </c>
      <c r="H86" s="91" t="str">
        <f t="shared" si="8"/>
        <v>(+) à ajouter sur ce compte épargne</v>
      </c>
      <c r="I86" s="201">
        <f t="shared" si="9"/>
        <v>10949</v>
      </c>
    </row>
    <row r="87" spans="2:13">
      <c r="B87" s="177">
        <f t="shared" si="10"/>
        <v>28</v>
      </c>
      <c r="C87" s="197" t="str">
        <f>IF('Menu 2'!E51="","",'Menu 2'!E51)</f>
        <v/>
      </c>
      <c r="E87" s="198">
        <f t="shared" si="11"/>
        <v>3183</v>
      </c>
      <c r="F87" s="199">
        <f t="shared" si="12"/>
        <v>200</v>
      </c>
      <c r="G87" s="200">
        <f t="shared" si="7"/>
        <v>2983</v>
      </c>
      <c r="H87" s="91" t="str">
        <f t="shared" si="8"/>
        <v>(+) à ajouter sur ce compte épargne</v>
      </c>
      <c r="I87" s="201">
        <f t="shared" si="9"/>
        <v>10949</v>
      </c>
    </row>
    <row r="88" spans="2:13">
      <c r="B88" s="177">
        <f t="shared" si="10"/>
        <v>29</v>
      </c>
      <c r="C88" s="197" t="str">
        <f>IF('Menu 2'!E52="","",'Menu 2'!E52)</f>
        <v/>
      </c>
      <c r="E88" s="198">
        <f t="shared" si="11"/>
        <v>3183</v>
      </c>
      <c r="F88" s="199">
        <f t="shared" si="12"/>
        <v>200</v>
      </c>
      <c r="G88" s="200">
        <f t="shared" si="7"/>
        <v>2983</v>
      </c>
      <c r="H88" s="91" t="str">
        <f t="shared" si="8"/>
        <v>(+) à ajouter sur ce compte épargne</v>
      </c>
      <c r="I88" s="201">
        <f t="shared" si="9"/>
        <v>10949</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315242</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QxHkPwUMN4hVoZ9Mm7M6QvVQQ+PlzO0140+apTeLc4pgP9VorMbkEwy3WRiANWlEScLuCvHnEe1IdbR3jzUomw==" saltValue="KDRHX2ucf0XGg/hWyo26WQ==" spinCount="100000" sheet="1" objects="1" scenarios="1"/>
  <mergeCells count="8">
    <mergeCell ref="J7:M22"/>
    <mergeCell ref="J59:M74"/>
    <mergeCell ref="A2:A4"/>
    <mergeCell ref="E3:H4"/>
    <mergeCell ref="G6:H6"/>
    <mergeCell ref="A56:A58"/>
    <mergeCell ref="E56:H57"/>
    <mergeCell ref="G58:H58"/>
  </mergeCells>
  <conditionalFormatting sqref="G8:G51">
    <cfRule type="cellIs" dxfId="99" priority="19" operator="equal">
      <formula>0</formula>
    </cfRule>
    <cfRule type="cellIs" dxfId="98" priority="20" operator="lessThan">
      <formula>0</formula>
    </cfRule>
    <cfRule type="cellIs" dxfId="97" priority="21" operator="greaterThan">
      <formula>0</formula>
    </cfRule>
  </conditionalFormatting>
  <conditionalFormatting sqref="G60:G89">
    <cfRule type="cellIs" dxfId="96" priority="5" operator="equal">
      <formula>0</formula>
    </cfRule>
    <cfRule type="cellIs" dxfId="95" priority="6" operator="lessThan">
      <formula>0</formula>
    </cfRule>
    <cfRule type="cellIs" dxfId="94" priority="7" operator="greaterThan">
      <formula>0</formula>
    </cfRule>
  </conditionalFormatting>
  <conditionalFormatting sqref="H8:H51">
    <cfRule type="cellIs" dxfId="93" priority="17" operator="equal">
      <formula>"(-) de moins sur le compte épargne"</formula>
    </cfRule>
    <cfRule type="cellIs" dxfId="92" priority="18" operator="equal">
      <formula>"(+) à ajouter sur le compte épargne"</formula>
    </cfRule>
  </conditionalFormatting>
  <conditionalFormatting sqref="H60:H89">
    <cfRule type="cellIs" dxfId="91" priority="1" operator="equal">
      <formula>"(-) de moins sur ce compte épargne"</formula>
    </cfRule>
    <cfRule type="cellIs" dxfId="90" priority="2" operator="equal">
      <formula>"(+) à ajouter sur ce compte épargne"</formula>
    </cfRule>
  </conditionalFormatting>
  <hyperlinks>
    <hyperlink ref="A2:A4" location="'Budget Gold'!A1" tooltip="Retour au tableau Budget Gold" display="Retour au Budget" xr:uid="{00000000-0004-0000-0D00-000000000000}"/>
    <hyperlink ref="A56" location="'Budget Gold'!A1" display="Retour au budget" xr:uid="{00000000-0004-0000-0D00-000001000000}"/>
    <hyperlink ref="A56:A58" location="'Budget Gold'!A1" tooltip="Retour au tableau Budget Gold" display="Retour au Budget" xr:uid="{00000000-0004-0000-0D00-000002000000}"/>
    <hyperlink ref="A2" location="'Budget Gold'!A1" tooltip="Retour au tableau Budget Gold" display="Retour au Budget" xr:uid="{00000000-0004-0000-0D00-000003000000}"/>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561"/>
  <sheetViews>
    <sheetView workbookViewId="0"/>
  </sheetViews>
  <sheetFormatPr baseColWidth="10" defaultColWidth="11.33203125" defaultRowHeight="13"/>
  <cols>
    <col min="1" max="1" width="19.6640625" style="1" customWidth="1"/>
    <col min="2" max="2" width="56.1640625"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41" s="1" customFormat="1">
      <c r="J1" s="180"/>
      <c r="K1" s="180"/>
      <c r="L1" s="180"/>
      <c r="M1" s="180"/>
    </row>
    <row r="2" spans="1:41" ht="20">
      <c r="A2" s="452" t="s">
        <v>330</v>
      </c>
      <c r="B2" s="181"/>
      <c r="C2" s="157" t="s">
        <v>305</v>
      </c>
      <c r="D2" s="181"/>
      <c r="E2" s="1"/>
      <c r="F2" s="1"/>
      <c r="G2" s="1"/>
      <c r="H2" s="157"/>
      <c r="I2" s="180"/>
      <c r="M2" s="1"/>
      <c r="AO2" s="182"/>
    </row>
    <row r="3" spans="1:41" ht="12.75" customHeight="1">
      <c r="A3" s="452"/>
      <c r="B3" s="1"/>
      <c r="C3" s="1"/>
      <c r="D3" s="183"/>
      <c r="E3" s="815">
        <f>'Budget Gold'!R7</f>
        <v>46270</v>
      </c>
      <c r="F3" s="816"/>
      <c r="G3" s="816"/>
      <c r="H3" s="816"/>
      <c r="I3" s="1"/>
    </row>
    <row r="4" spans="1:41" ht="12.75" customHeight="1">
      <c r="A4" s="452"/>
      <c r="B4" s="1"/>
      <c r="C4" s="1"/>
      <c r="D4" s="184"/>
      <c r="E4" s="816"/>
      <c r="F4" s="816"/>
      <c r="G4" s="816"/>
      <c r="H4" s="816"/>
      <c r="I4" s="1"/>
    </row>
    <row r="5" spans="1:41" s="1" customFormat="1">
      <c r="F5" s="185"/>
      <c r="J5" s="180"/>
      <c r="K5" s="180"/>
      <c r="L5" s="180"/>
      <c r="M5" s="180"/>
    </row>
    <row r="6" spans="1:41" s="156" customFormat="1">
      <c r="B6" s="156" t="s">
        <v>254</v>
      </c>
      <c r="E6" s="25" t="s">
        <v>298</v>
      </c>
      <c r="F6" s="25" t="s">
        <v>297</v>
      </c>
      <c r="G6" s="447" t="s">
        <v>296</v>
      </c>
      <c r="H6" s="447"/>
      <c r="I6" s="186" t="s">
        <v>302</v>
      </c>
      <c r="J6" s="187"/>
      <c r="K6" s="187"/>
      <c r="L6" s="187"/>
      <c r="M6" s="187"/>
    </row>
    <row r="7" spans="1:41">
      <c r="A7" s="188"/>
      <c r="B7" s="6"/>
      <c r="C7" s="6"/>
      <c r="D7" s="156"/>
      <c r="E7" s="189"/>
      <c r="F7" s="189"/>
      <c r="G7" s="189"/>
      <c r="H7" s="6"/>
      <c r="I7" s="190"/>
      <c r="J7" s="813">
        <f>'Budget Gold'!R7</f>
        <v>46270</v>
      </c>
      <c r="K7" s="814"/>
      <c r="L7" s="814"/>
      <c r="M7" s="814"/>
    </row>
    <row r="8" spans="1:41">
      <c r="A8" s="177">
        <v>1</v>
      </c>
      <c r="B8" s="191" t="str">
        <f>IF('Budget Gold'!E54="Indiquer le nom du projet à financer","",'Budget Gold'!E54)</f>
        <v>PEA - INVESTISSEMENTS</v>
      </c>
      <c r="C8" s="6" t="str">
        <f>IF('Budget Gold'!E56="- compte d'épargne à saisir -","",'Budget Gold'!E56)</f>
        <v>PEA - Bourse direct</v>
      </c>
      <c r="D8" s="156"/>
      <c r="E8" s="192">
        <f>'Budget Gold'!S54</f>
        <v>250</v>
      </c>
      <c r="F8" s="193">
        <f>'Budget Gold'!S55</f>
        <v>0</v>
      </c>
      <c r="G8" s="194">
        <f>E8-F8</f>
        <v>250</v>
      </c>
      <c r="H8" s="6" t="str">
        <f>IF(G8&gt;0,"(+) à ajouter sur le compte épargne",IF(G8=0,"--- rien à faire ---","(-) de moins sur le compte épargne"))</f>
        <v>(+) à ajouter sur le compte épargne</v>
      </c>
      <c r="I8" s="195">
        <f>'Budget Gold'!R56</f>
        <v>40530</v>
      </c>
      <c r="J8" s="814"/>
      <c r="K8" s="814"/>
      <c r="L8" s="814"/>
      <c r="M8" s="814"/>
    </row>
    <row r="9" spans="1:41">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Gold'!S57</f>
        <v>200</v>
      </c>
      <c r="F9" s="193">
        <f>'Budget Gold'!S58</f>
        <v>0</v>
      </c>
      <c r="G9" s="194">
        <f t="shared" ref="G9:G43" si="0">E9-F9</f>
        <v>200</v>
      </c>
      <c r="H9" s="6" t="str">
        <f t="shared" ref="H9:H43" si="1">IF(G9&gt;0,"(+) à ajouter sur le compte épargne",IF(G9=0,"--- rien à faire ---","(-) de moins sur le compte épargne"))</f>
        <v>(+) à ajouter sur le compte épargne</v>
      </c>
      <c r="I9" s="195">
        <f>'Budget Gold'!R59</f>
        <v>3111</v>
      </c>
      <c r="J9" s="814"/>
      <c r="K9" s="814"/>
      <c r="L9" s="814"/>
      <c r="M9" s="814"/>
    </row>
    <row r="10" spans="1:41">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Gold'!S60</f>
        <v>100</v>
      </c>
      <c r="F10" s="193">
        <f>'Budget Gold'!S61</f>
        <v>0</v>
      </c>
      <c r="G10" s="194">
        <f t="shared" si="0"/>
        <v>100</v>
      </c>
      <c r="H10" s="6" t="str">
        <f t="shared" si="1"/>
        <v>(+) à ajouter sur le compte épargne</v>
      </c>
      <c r="I10" s="195">
        <f>'Budget Gold'!R62</f>
        <v>400</v>
      </c>
      <c r="J10" s="814"/>
      <c r="K10" s="814"/>
      <c r="L10" s="814"/>
      <c r="M10" s="814"/>
    </row>
    <row r="11" spans="1:41">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Gold'!S63</f>
        <v>25</v>
      </c>
      <c r="F11" s="193">
        <f>'Budget Gold'!S64</f>
        <v>0</v>
      </c>
      <c r="G11" s="194">
        <f t="shared" si="0"/>
        <v>25</v>
      </c>
      <c r="H11" s="6" t="str">
        <f t="shared" si="1"/>
        <v>(+) à ajouter sur le compte épargne</v>
      </c>
      <c r="I11" s="195">
        <f>'Budget Gold'!R65</f>
        <v>100</v>
      </c>
      <c r="J11" s="814"/>
      <c r="K11" s="814"/>
      <c r="L11" s="814"/>
      <c r="M11" s="814"/>
    </row>
    <row r="12" spans="1:41">
      <c r="A12" s="177">
        <f t="shared" si="2"/>
        <v>5</v>
      </c>
      <c r="B12" s="191" t="str">
        <f>IF('Budget Gold'!E66="Indiquer le nom du projet à financer","",'Budget Gold'!E66)</f>
        <v>Epargne pour "Mariage"</v>
      </c>
      <c r="C12" s="6" t="str">
        <f>IF('Budget Gold'!E68="- compte d'épargne à saisir -","",'Budget Gold'!E68)</f>
        <v>Livret A - BANXO</v>
      </c>
      <c r="D12" s="156"/>
      <c r="E12" s="192">
        <f>'Budget Gold'!S66</f>
        <v>50</v>
      </c>
      <c r="F12" s="193">
        <f>'Budget Gold'!S67</f>
        <v>0</v>
      </c>
      <c r="G12" s="194">
        <f t="shared" si="0"/>
        <v>50</v>
      </c>
      <c r="H12" s="6" t="str">
        <f t="shared" si="1"/>
        <v>(+) à ajouter sur le compte épargne</v>
      </c>
      <c r="I12" s="195">
        <f>'Budget Gold'!R68</f>
        <v>200</v>
      </c>
      <c r="J12" s="814"/>
      <c r="K12" s="814"/>
      <c r="L12" s="814"/>
      <c r="M12" s="814"/>
    </row>
    <row r="13" spans="1:41">
      <c r="A13" s="177">
        <f t="shared" si="2"/>
        <v>6</v>
      </c>
      <c r="B13" s="191" t="str">
        <f>IF('Budget Gold'!E69="Indiquer le nom du projet à financer","",'Budget Gold'!E69)</f>
        <v>Epargne pour "IMPREVUS"</v>
      </c>
      <c r="C13" s="6" t="str">
        <f>IF('Budget Gold'!E71="- compte d'épargne à saisir -","",'Budget Gold'!E71)</f>
        <v>Livret A - BANXO</v>
      </c>
      <c r="D13" s="156"/>
      <c r="E13" s="192">
        <f>'Budget Gold'!S69</f>
        <v>100</v>
      </c>
      <c r="F13" s="193">
        <f>'Budget Gold'!S70</f>
        <v>0</v>
      </c>
      <c r="G13" s="194">
        <f t="shared" si="0"/>
        <v>100</v>
      </c>
      <c r="H13" s="6" t="str">
        <f t="shared" si="1"/>
        <v>(+) à ajouter sur le compte épargne</v>
      </c>
      <c r="I13" s="195">
        <f>'Budget Gold'!R71</f>
        <v>8400</v>
      </c>
      <c r="J13" s="814"/>
      <c r="K13" s="814"/>
      <c r="L13" s="814"/>
      <c r="M13" s="814"/>
    </row>
    <row r="14" spans="1:41">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Gold'!S72</f>
        <v>25</v>
      </c>
      <c r="F14" s="193">
        <f>'Budget Gold'!S73</f>
        <v>0</v>
      </c>
      <c r="G14" s="194">
        <f t="shared" si="0"/>
        <v>25</v>
      </c>
      <c r="H14" s="6" t="str">
        <f t="shared" si="1"/>
        <v>(+) à ajouter sur le compte épargne</v>
      </c>
      <c r="I14" s="195">
        <f>'Budget Gold'!R74</f>
        <v>100</v>
      </c>
      <c r="J14" s="814"/>
      <c r="K14" s="814"/>
      <c r="L14" s="814"/>
      <c r="M14" s="814"/>
    </row>
    <row r="15" spans="1:41">
      <c r="A15" s="177">
        <f t="shared" si="2"/>
        <v>8</v>
      </c>
      <c r="B15" s="191" t="str">
        <f>IF('Budget Gold'!E75="Indiquer le nom du projet à financer","",'Budget Gold'!E75)</f>
        <v>Epargne "ACHAT VOITURE"</v>
      </c>
      <c r="C15" s="6" t="str">
        <f>IF('Budget Gold'!E77="- compte d'épargne à saisir -","",'Budget Gold'!E77)</f>
        <v>Livret A - BANXO</v>
      </c>
      <c r="D15" s="156"/>
      <c r="E15" s="192">
        <f>'Budget Gold'!S75</f>
        <v>100</v>
      </c>
      <c r="F15" s="193">
        <f>'Budget Gold'!S76</f>
        <v>0</v>
      </c>
      <c r="G15" s="194">
        <f t="shared" si="0"/>
        <v>100</v>
      </c>
      <c r="H15" s="6" t="str">
        <f t="shared" si="1"/>
        <v>(+) à ajouter sur le compte épargne</v>
      </c>
      <c r="I15" s="195">
        <f>'Budget Gold'!R77</f>
        <v>400</v>
      </c>
      <c r="J15" s="814"/>
      <c r="K15" s="814"/>
      <c r="L15" s="814"/>
      <c r="M15" s="814"/>
    </row>
    <row r="16" spans="1:41">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Gold'!S78</f>
        <v>25</v>
      </c>
      <c r="F16" s="193">
        <f>'Budget Gold'!S79</f>
        <v>0</v>
      </c>
      <c r="G16" s="194">
        <f t="shared" si="0"/>
        <v>25</v>
      </c>
      <c r="H16" s="6" t="str">
        <f t="shared" si="1"/>
        <v>(+) à ajouter sur le compte épargne</v>
      </c>
      <c r="I16" s="195">
        <f>'Budget Gold'!R80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Gold'!S81</f>
        <v>100</v>
      </c>
      <c r="F17" s="193">
        <f>'Budget Gold'!S82</f>
        <v>0</v>
      </c>
      <c r="G17" s="194">
        <f t="shared" si="0"/>
        <v>100</v>
      </c>
      <c r="H17" s="6" t="str">
        <f t="shared" si="1"/>
        <v>(+) à ajouter sur le compte épargne</v>
      </c>
      <c r="I17" s="195">
        <f>'Budget Gold'!R83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Gold'!S84</f>
        <v>36.5</v>
      </c>
      <c r="F18" s="193">
        <f>'Budget Gold'!S85</f>
        <v>0</v>
      </c>
      <c r="G18" s="194">
        <f t="shared" si="0"/>
        <v>36.5</v>
      </c>
      <c r="H18" s="6" t="str">
        <f t="shared" si="1"/>
        <v>(+) à ajouter sur le compte épargne</v>
      </c>
      <c r="I18" s="195">
        <f>'Budget Gold'!R86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Gold'!S87</f>
        <v>36.5</v>
      </c>
      <c r="F19" s="193">
        <f>'Budget Gold'!S88</f>
        <v>0</v>
      </c>
      <c r="G19" s="194">
        <f t="shared" si="0"/>
        <v>36.5</v>
      </c>
      <c r="H19" s="6" t="str">
        <f t="shared" si="1"/>
        <v>(+) à ajouter sur le compte épargne</v>
      </c>
      <c r="I19" s="195">
        <f>'Budget Gold'!R89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Gold'!S90</f>
        <v>0</v>
      </c>
      <c r="F20" s="193">
        <f>'Budget Gold'!S91</f>
        <v>0</v>
      </c>
      <c r="G20" s="194">
        <f t="shared" si="0"/>
        <v>0</v>
      </c>
      <c r="H20" s="6" t="str">
        <f t="shared" si="1"/>
        <v>--- rien à faire ---</v>
      </c>
      <c r="I20" s="195">
        <f>'Budget Gold'!R92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Gold'!S93</f>
        <v>0</v>
      </c>
      <c r="F21" s="193">
        <f>'Budget Gold'!S94</f>
        <v>0</v>
      </c>
      <c r="G21" s="194">
        <f t="shared" si="0"/>
        <v>0</v>
      </c>
      <c r="H21" s="6" t="str">
        <f t="shared" si="1"/>
        <v>--- rien à faire ---</v>
      </c>
      <c r="I21" s="195">
        <f>'Budget Gold'!R95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Gold'!S96</f>
        <v>0</v>
      </c>
      <c r="F22" s="193">
        <f>'Budget Gold'!S97</f>
        <v>0</v>
      </c>
      <c r="G22" s="194">
        <f t="shared" si="0"/>
        <v>0</v>
      </c>
      <c r="H22" s="6" t="str">
        <f t="shared" si="1"/>
        <v>--- rien à faire ---</v>
      </c>
      <c r="I22" s="195">
        <f>'Budget Gold'!R98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Gold'!S99</f>
        <v>0</v>
      </c>
      <c r="F23" s="193">
        <f>'Budget Gold'!S100</f>
        <v>0</v>
      </c>
      <c r="G23" s="194">
        <f t="shared" si="0"/>
        <v>0</v>
      </c>
      <c r="H23" s="6" t="str">
        <f t="shared" si="1"/>
        <v>--- rien à faire ---</v>
      </c>
      <c r="I23" s="195">
        <f>'Budget Gold'!R101</f>
        <v>0</v>
      </c>
    </row>
    <row r="24" spans="1:13">
      <c r="A24" s="177">
        <f t="shared" si="2"/>
        <v>17</v>
      </c>
      <c r="B24" s="191" t="str">
        <f>IF('Budget Gold'!E102="Indiquer le nom du projet à financer","",'Budget Gold'!E102)</f>
        <v/>
      </c>
      <c r="C24" s="6" t="str">
        <f>IF('Budget Gold'!E104="- compte d'épargne à saisir -","",'Budget Gold'!E104)</f>
        <v/>
      </c>
      <c r="D24" s="156"/>
      <c r="E24" s="192">
        <f>'Budget Gold'!S102</f>
        <v>0</v>
      </c>
      <c r="F24" s="193">
        <f>'Budget Gold'!S103</f>
        <v>0</v>
      </c>
      <c r="G24" s="194">
        <f t="shared" ref="G24:G31" si="3">E24-F24</f>
        <v>0</v>
      </c>
      <c r="H24" s="6" t="str">
        <f t="shared" ref="H24:H30" si="4">IF(G24&gt;0,"(+) à ajouter sur le compte épargne",IF(G24=0,"--- rien à faire ---","(-) de moins sur le compte épargne"))</f>
        <v>--- rien à faire ---</v>
      </c>
      <c r="I24" s="195">
        <f>'Budget Gold'!R104</f>
        <v>0</v>
      </c>
    </row>
    <row r="25" spans="1:13">
      <c r="A25" s="177">
        <f t="shared" si="2"/>
        <v>18</v>
      </c>
      <c r="B25" s="191" t="str">
        <f>IF('Budget Gold'!E105="Indiquer le nom du projet à financer","",'Budget Gold'!E105)</f>
        <v/>
      </c>
      <c r="C25" s="6" t="str">
        <f>IF('Budget Gold'!E107="- compte d'épargne à saisir -","",'Budget Gold'!E107)</f>
        <v/>
      </c>
      <c r="D25" s="156"/>
      <c r="E25" s="192">
        <f>'Budget Gold'!S105</f>
        <v>0</v>
      </c>
      <c r="F25" s="193">
        <f>'Budget Gold'!S106</f>
        <v>0</v>
      </c>
      <c r="G25" s="194">
        <f t="shared" si="3"/>
        <v>0</v>
      </c>
      <c r="H25" s="6" t="str">
        <f t="shared" si="4"/>
        <v>--- rien à faire ---</v>
      </c>
      <c r="I25" s="195">
        <f>'Budget Gold'!R107</f>
        <v>0</v>
      </c>
    </row>
    <row r="26" spans="1:13">
      <c r="A26" s="177">
        <f t="shared" si="2"/>
        <v>19</v>
      </c>
      <c r="B26" s="191" t="str">
        <f>IF('Budget Gold'!E108="Indiquer le nom du projet à financer","",'Budget Gold'!E108)</f>
        <v/>
      </c>
      <c r="C26" s="6" t="str">
        <f>IF('Budget Gold'!E110="- compte d'épargne à saisir -","",'Budget Gold'!E110)</f>
        <v/>
      </c>
      <c r="D26" s="156"/>
      <c r="E26" s="192">
        <f>'Budget Gold'!S108</f>
        <v>0</v>
      </c>
      <c r="F26" s="193">
        <f>'Budget Gold'!S109</f>
        <v>0</v>
      </c>
      <c r="G26" s="194">
        <f t="shared" si="3"/>
        <v>0</v>
      </c>
      <c r="H26" s="6" t="str">
        <f t="shared" si="4"/>
        <v>--- rien à faire ---</v>
      </c>
      <c r="I26" s="195">
        <f>'Budget Gold'!R110</f>
        <v>0</v>
      </c>
    </row>
    <row r="27" spans="1:13">
      <c r="A27" s="177">
        <f t="shared" si="2"/>
        <v>20</v>
      </c>
      <c r="B27" s="191" t="str">
        <f>IF('Budget Gold'!E111="Indiquer le nom du projet à financer","",'Budget Gold'!E111)</f>
        <v/>
      </c>
      <c r="C27" s="6" t="str">
        <f>IF('Budget Gold'!E113="- compte d'épargne à saisir -","",'Budget Gold'!E113)</f>
        <v/>
      </c>
      <c r="D27" s="156"/>
      <c r="E27" s="192">
        <f>'Budget Gold'!S111</f>
        <v>0</v>
      </c>
      <c r="F27" s="193">
        <f>'Budget Gold'!S112</f>
        <v>0</v>
      </c>
      <c r="G27" s="194">
        <f t="shared" si="3"/>
        <v>0</v>
      </c>
      <c r="H27" s="6" t="str">
        <f t="shared" si="4"/>
        <v>--- rien à faire ---</v>
      </c>
      <c r="I27" s="195">
        <f>'Budget Gold'!R113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Gold'!S114</f>
        <v>0</v>
      </c>
      <c r="F28" s="193">
        <f>'Budget Gold'!S115</f>
        <v>0</v>
      </c>
      <c r="G28" s="194">
        <f t="shared" si="3"/>
        <v>0</v>
      </c>
      <c r="H28" s="6" t="str">
        <f t="shared" si="4"/>
        <v>--- rien à faire ---</v>
      </c>
      <c r="I28" s="195">
        <f>'Budget Gold'!R116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Gold'!S117</f>
        <v>0</v>
      </c>
      <c r="F29" s="193">
        <f>'Budget Gold'!S118</f>
        <v>0</v>
      </c>
      <c r="G29" s="194">
        <f t="shared" si="3"/>
        <v>0</v>
      </c>
      <c r="H29" s="6" t="str">
        <f t="shared" si="4"/>
        <v>--- rien à faire ---</v>
      </c>
      <c r="I29" s="195">
        <f>'Budget Gold'!R119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Gold'!S120</f>
        <v>0</v>
      </c>
      <c r="F30" s="193">
        <f>'Budget Gold'!S121</f>
        <v>0</v>
      </c>
      <c r="G30" s="194">
        <f t="shared" si="3"/>
        <v>0</v>
      </c>
      <c r="H30" s="6" t="str">
        <f t="shared" si="4"/>
        <v>--- rien à faire ---</v>
      </c>
      <c r="I30" s="195">
        <f>'Budget Gold'!R122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Gold'!S123</f>
        <v>0</v>
      </c>
      <c r="F31" s="193">
        <f>'Budget Gold'!S124</f>
        <v>0</v>
      </c>
      <c r="G31" s="194">
        <f t="shared" si="3"/>
        <v>0</v>
      </c>
      <c r="H31" s="6" t="str">
        <f>IF(G31&gt;0,"(+) à ajouter sur le compte épargne",IF(G31=0,"--- rien à faire ---","(-) de moins sur le compte épargne"))</f>
        <v>--- rien à faire ---</v>
      </c>
      <c r="I31" s="195">
        <f>'Budget Gold'!R125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Gold'!S160</f>
        <v>1750</v>
      </c>
      <c r="F32" s="193">
        <f>'Budget Gold'!S161</f>
        <v>7000</v>
      </c>
      <c r="G32" s="194">
        <f t="shared" si="0"/>
        <v>-5250</v>
      </c>
      <c r="H32" s="6" t="str">
        <f t="shared" si="1"/>
        <v>(-) de moins sur le compte épargne</v>
      </c>
      <c r="I32" s="195">
        <f>'Budget Gold'!R162</f>
        <v>2000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Gold'!S163</f>
        <v>300</v>
      </c>
      <c r="F33" s="193">
        <f>'Budget Gold'!S164</f>
        <v>0</v>
      </c>
      <c r="G33" s="194">
        <f t="shared" si="0"/>
        <v>300</v>
      </c>
      <c r="H33" s="6" t="str">
        <f t="shared" si="1"/>
        <v>(+) à ajouter sur le compte épargne</v>
      </c>
      <c r="I33" s="195">
        <f>'Budget Gold'!R165</f>
        <v>1200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Gold'!S166</f>
        <v>50</v>
      </c>
      <c r="F34" s="193">
        <f>'Budget Gold'!S167</f>
        <v>0</v>
      </c>
      <c r="G34" s="194">
        <f t="shared" si="0"/>
        <v>50</v>
      </c>
      <c r="H34" s="6" t="str">
        <f t="shared" si="1"/>
        <v>(+) à ajouter sur le compte épargne</v>
      </c>
      <c r="I34" s="195">
        <f>'Budget Gold'!R168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Gold'!S169</f>
        <v>100</v>
      </c>
      <c r="F35" s="193">
        <f>'Budget Gold'!S170</f>
        <v>0</v>
      </c>
      <c r="G35" s="194">
        <f t="shared" si="0"/>
        <v>100</v>
      </c>
      <c r="H35" s="6" t="str">
        <f t="shared" si="1"/>
        <v>(+) à ajouter sur le compte épargne</v>
      </c>
      <c r="I35" s="195">
        <f>'Budget Gold'!R171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Gold'!S172</f>
        <v>300</v>
      </c>
      <c r="F36" s="193">
        <f>'Budget Gold'!S173</f>
        <v>0</v>
      </c>
      <c r="G36" s="194">
        <f t="shared" si="0"/>
        <v>300</v>
      </c>
      <c r="H36" s="6" t="str">
        <f t="shared" si="1"/>
        <v>(+) à ajouter sur le compte épargne</v>
      </c>
      <c r="I36" s="195">
        <f>'Budget Gold'!R174</f>
        <v>1200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Gold'!S175</f>
        <v>300</v>
      </c>
      <c r="F37" s="193">
        <f>'Budget Gold'!S176</f>
        <v>0</v>
      </c>
      <c r="G37" s="194">
        <f t="shared" si="0"/>
        <v>300</v>
      </c>
      <c r="H37" s="6" t="str">
        <f t="shared" si="1"/>
        <v>(+) à ajouter sur le compte épargne</v>
      </c>
      <c r="I37" s="195">
        <f>'Budget Gold'!R177</f>
        <v>1200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Gold'!S178</f>
        <v>10</v>
      </c>
      <c r="F38" s="193">
        <f>'Budget Gold'!S179</f>
        <v>0</v>
      </c>
      <c r="G38" s="194">
        <f t="shared" si="0"/>
        <v>10</v>
      </c>
      <c r="H38" s="6" t="str">
        <f t="shared" si="1"/>
        <v>(+) à ajouter sur le compte épargne</v>
      </c>
      <c r="I38" s="195">
        <f>'Budget Gold'!R180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Gold'!S181</f>
        <v>200</v>
      </c>
      <c r="F39" s="193">
        <f>'Budget Gold'!S182</f>
        <v>200</v>
      </c>
      <c r="G39" s="194">
        <f t="shared" si="0"/>
        <v>0</v>
      </c>
      <c r="H39" s="6" t="str">
        <f t="shared" si="1"/>
        <v>--- rien à faire ---</v>
      </c>
      <c r="I39" s="195">
        <f>'Budget Gold'!R183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Gold'!S184</f>
        <v>0</v>
      </c>
      <c r="F40" s="193">
        <f>'Budget Gold'!S185</f>
        <v>0</v>
      </c>
      <c r="G40" s="194">
        <f t="shared" si="0"/>
        <v>0</v>
      </c>
      <c r="H40" s="6" t="str">
        <f t="shared" si="1"/>
        <v>--- rien à faire ---</v>
      </c>
      <c r="I40" s="195">
        <f>'Budget Gold'!R186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Gold'!S187</f>
        <v>0</v>
      </c>
      <c r="F41" s="193">
        <f>'Budget Gold'!S188</f>
        <v>0</v>
      </c>
      <c r="G41" s="194">
        <f t="shared" si="0"/>
        <v>0</v>
      </c>
      <c r="H41" s="6" t="str">
        <f t="shared" si="1"/>
        <v>--- rien à faire ---</v>
      </c>
      <c r="I41" s="195">
        <f>'Budget Gold'!R189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Gold'!S190</f>
        <v>0</v>
      </c>
      <c r="F42" s="193">
        <f>'Budget Gold'!S191</f>
        <v>0</v>
      </c>
      <c r="G42" s="194">
        <f t="shared" si="0"/>
        <v>0</v>
      </c>
      <c r="H42" s="6" t="str">
        <f t="shared" si="1"/>
        <v>--- rien à faire ---</v>
      </c>
      <c r="I42" s="195">
        <f>'Budget Gold'!R192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Gold'!S193</f>
        <v>0</v>
      </c>
      <c r="F43" s="193">
        <f>'Budget Gold'!S194</f>
        <v>0</v>
      </c>
      <c r="G43" s="194">
        <f t="shared" si="0"/>
        <v>0</v>
      </c>
      <c r="H43" s="6" t="str">
        <f t="shared" si="1"/>
        <v>--- rien à faire ---</v>
      </c>
      <c r="I43" s="195">
        <f>'Budget Gold'!R195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Gold'!S196</f>
        <v>0</v>
      </c>
      <c r="F44" s="193">
        <f>'Budget Gold'!S197</f>
        <v>0</v>
      </c>
      <c r="G44" s="194">
        <f t="shared" ref="G44:G51" si="5">E44-F44</f>
        <v>0</v>
      </c>
      <c r="H44" s="6" t="str">
        <f t="shared" ref="H44:H51" si="6">IF(G44&gt;0,"(+) à ajouter sur le compte épargne",IF(G44=0,"--- rien à faire ---","(-) de moins sur le compte épargne"))</f>
        <v>--- rien à faire ---</v>
      </c>
      <c r="I44" s="195">
        <f>'Budget Gold'!R198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Gold'!S199</f>
        <v>0</v>
      </c>
      <c r="F45" s="193">
        <f>'Budget Gold'!S200</f>
        <v>0</v>
      </c>
      <c r="G45" s="194">
        <f t="shared" si="5"/>
        <v>0</v>
      </c>
      <c r="H45" s="6" t="str">
        <f t="shared" si="6"/>
        <v>--- rien à faire ---</v>
      </c>
      <c r="I45" s="195">
        <f>'Budget Gold'!R201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Gold'!S202</f>
        <v>0</v>
      </c>
      <c r="F46" s="193">
        <f>'Budget Gold'!S203</f>
        <v>0</v>
      </c>
      <c r="G46" s="194">
        <f t="shared" si="5"/>
        <v>0</v>
      </c>
      <c r="H46" s="6" t="str">
        <f t="shared" si="6"/>
        <v>--- rien à faire ---</v>
      </c>
      <c r="I46" s="195">
        <f>'Budget Gold'!R204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Gold'!S205</f>
        <v>0</v>
      </c>
      <c r="F47" s="193">
        <f>'Budget Gold'!S206</f>
        <v>0</v>
      </c>
      <c r="G47" s="194">
        <f t="shared" si="5"/>
        <v>0</v>
      </c>
      <c r="H47" s="6" t="str">
        <f t="shared" si="6"/>
        <v>--- rien à faire ---</v>
      </c>
      <c r="I47" s="195">
        <f>'Budget Gold'!R207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Gold'!S208</f>
        <v>0</v>
      </c>
      <c r="F48" s="193">
        <f>'Budget Gold'!S209</f>
        <v>0</v>
      </c>
      <c r="G48" s="194">
        <f t="shared" si="5"/>
        <v>0</v>
      </c>
      <c r="H48" s="6" t="str">
        <f t="shared" si="6"/>
        <v>--- rien à faire ---</v>
      </c>
      <c r="I48" s="195">
        <f>'Budget Gold'!R210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Gold'!S211</f>
        <v>0</v>
      </c>
      <c r="F49" s="193">
        <f>'Budget Gold'!S212</f>
        <v>0</v>
      </c>
      <c r="G49" s="194">
        <f t="shared" si="5"/>
        <v>0</v>
      </c>
      <c r="H49" s="6" t="str">
        <f t="shared" si="6"/>
        <v>--- rien à faire ---</v>
      </c>
      <c r="I49" s="195">
        <f>'Budget Gold'!R213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Gold'!S214</f>
        <v>0</v>
      </c>
      <c r="F50" s="193">
        <f>'Budget Gold'!S215</f>
        <v>0</v>
      </c>
      <c r="G50" s="194">
        <f t="shared" si="5"/>
        <v>0</v>
      </c>
      <c r="H50" s="6" t="str">
        <f t="shared" si="6"/>
        <v>--- rien à faire ---</v>
      </c>
      <c r="I50" s="195">
        <f>'Budget Gold'!R216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Gold'!S217</f>
        <v>0</v>
      </c>
      <c r="F51" s="193">
        <f>'Budget Gold'!S218</f>
        <v>0</v>
      </c>
      <c r="G51" s="194">
        <f t="shared" si="5"/>
        <v>0</v>
      </c>
      <c r="H51" s="6" t="str">
        <f t="shared" si="6"/>
        <v>--- rien à faire ---</v>
      </c>
      <c r="I51" s="195">
        <f>'Budget Gold'!R219</f>
        <v>0</v>
      </c>
    </row>
    <row r="52" spans="1:13" s="1" customFormat="1">
      <c r="A52" s="156"/>
      <c r="D52" s="156"/>
      <c r="J52" s="180"/>
      <c r="K52" s="180"/>
      <c r="L52" s="180"/>
      <c r="M52" s="180"/>
    </row>
    <row r="53" spans="1:13" s="1" customFormat="1" ht="16">
      <c r="A53" s="156"/>
      <c r="D53" s="156"/>
      <c r="H53" s="248" t="s">
        <v>568</v>
      </c>
      <c r="I53" s="398">
        <f>SUM(I6:I51)</f>
        <v>60273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Gold'!R7</f>
        <v>46270</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Gold'!R7</f>
        <v>46270</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425</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425</v>
      </c>
      <c r="H60" s="91" t="str">
        <f>IF(G60&gt;0,"(+) à ajouter sur ce compte épargne",IF(G60=0,"--- le solde ne change pas ---","(-) de moins sur ce compte épargne"))</f>
        <v>(+) à ajouter sur ce compte épargne</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9700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40530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3111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3183</v>
      </c>
      <c r="F65" s="199">
        <f t="shared" si="12"/>
        <v>7200</v>
      </c>
      <c r="G65" s="200">
        <f t="shared" si="7"/>
        <v>-4017</v>
      </c>
      <c r="H65" s="91" t="str">
        <f>IF(G65&gt;0,"(+) à ajouter sur ce compte épargne",IF(G65=0,"--- le solde ne change pas ---","(-) de moins sur ce compte épargne"))</f>
        <v>(-) de moins sur ce compte épargne</v>
      </c>
      <c r="I65" s="201">
        <f t="shared" si="9"/>
        <v>6932</v>
      </c>
      <c r="J65" s="814"/>
      <c r="K65" s="814"/>
      <c r="L65" s="814"/>
      <c r="M65" s="814"/>
    </row>
    <row r="66" spans="2:13">
      <c r="B66" s="177">
        <f t="shared" si="10"/>
        <v>7</v>
      </c>
      <c r="C66" s="197" t="str">
        <f>IF('Menu 2'!E30="","",'Menu 2'!E30)</f>
        <v/>
      </c>
      <c r="E66" s="198">
        <f t="shared" si="11"/>
        <v>3183</v>
      </c>
      <c r="F66" s="199">
        <f t="shared" si="12"/>
        <v>7200</v>
      </c>
      <c r="G66" s="200">
        <f t="shared" si="7"/>
        <v>-4017</v>
      </c>
      <c r="H66" s="91" t="str">
        <f t="shared" si="8"/>
        <v>(-) de moins sur ce compte épargne</v>
      </c>
      <c r="I66" s="201">
        <f t="shared" si="9"/>
        <v>6932</v>
      </c>
      <c r="J66" s="814"/>
      <c r="K66" s="814"/>
      <c r="L66" s="814"/>
      <c r="M66" s="814"/>
    </row>
    <row r="67" spans="2:13">
      <c r="B67" s="177">
        <f t="shared" si="10"/>
        <v>8</v>
      </c>
      <c r="C67" s="197" t="str">
        <f>IF('Menu 2'!E31="","",'Menu 2'!E31)</f>
        <v/>
      </c>
      <c r="E67" s="198">
        <f t="shared" si="11"/>
        <v>3183</v>
      </c>
      <c r="F67" s="199">
        <f t="shared" si="12"/>
        <v>7200</v>
      </c>
      <c r="G67" s="200">
        <f t="shared" si="7"/>
        <v>-4017</v>
      </c>
      <c r="H67" s="91" t="str">
        <f t="shared" si="8"/>
        <v>(-) de moins sur ce compte épargne</v>
      </c>
      <c r="I67" s="201">
        <f t="shared" si="9"/>
        <v>6932</v>
      </c>
      <c r="J67" s="814"/>
      <c r="K67" s="814"/>
      <c r="L67" s="814"/>
      <c r="M67" s="814"/>
    </row>
    <row r="68" spans="2:13">
      <c r="B68" s="177">
        <f t="shared" si="10"/>
        <v>9</v>
      </c>
      <c r="C68" s="197" t="str">
        <f>IF('Menu 2'!E32="","",'Menu 2'!E32)</f>
        <v/>
      </c>
      <c r="E68" s="198">
        <f t="shared" si="11"/>
        <v>3183</v>
      </c>
      <c r="F68" s="199">
        <f t="shared" si="12"/>
        <v>7200</v>
      </c>
      <c r="G68" s="200">
        <f t="shared" si="7"/>
        <v>-4017</v>
      </c>
      <c r="H68" s="91" t="str">
        <f t="shared" si="8"/>
        <v>(-) de moins sur ce compte épargne</v>
      </c>
      <c r="I68" s="201">
        <f t="shared" si="9"/>
        <v>6932</v>
      </c>
      <c r="J68" s="814"/>
      <c r="K68" s="814"/>
      <c r="L68" s="814"/>
      <c r="M68" s="814"/>
    </row>
    <row r="69" spans="2:13">
      <c r="B69" s="177">
        <f t="shared" si="10"/>
        <v>10</v>
      </c>
      <c r="C69" s="197" t="str">
        <f>IF('Menu 2'!E33="","",'Menu 2'!E33)</f>
        <v/>
      </c>
      <c r="E69" s="198">
        <f t="shared" si="11"/>
        <v>3183</v>
      </c>
      <c r="F69" s="199">
        <f t="shared" si="12"/>
        <v>7200</v>
      </c>
      <c r="G69" s="200">
        <f t="shared" si="7"/>
        <v>-4017</v>
      </c>
      <c r="H69" s="91" t="str">
        <f t="shared" si="8"/>
        <v>(-) de moins sur ce compte épargne</v>
      </c>
      <c r="I69" s="201">
        <f t="shared" si="9"/>
        <v>6932</v>
      </c>
      <c r="J69" s="814"/>
      <c r="K69" s="814"/>
      <c r="L69" s="814"/>
      <c r="M69" s="814"/>
    </row>
    <row r="70" spans="2:13">
      <c r="B70" s="177">
        <f t="shared" si="10"/>
        <v>11</v>
      </c>
      <c r="C70" s="197" t="str">
        <f>IF('Menu 2'!E34="","",'Menu 2'!E34)</f>
        <v/>
      </c>
      <c r="E70" s="198">
        <f t="shared" si="11"/>
        <v>3183</v>
      </c>
      <c r="F70" s="199">
        <f t="shared" si="12"/>
        <v>7200</v>
      </c>
      <c r="G70" s="200">
        <f t="shared" si="7"/>
        <v>-4017</v>
      </c>
      <c r="H70" s="91" t="str">
        <f t="shared" si="8"/>
        <v>(-) de moins sur ce compte épargne</v>
      </c>
      <c r="I70" s="201">
        <f t="shared" si="9"/>
        <v>6932</v>
      </c>
      <c r="J70" s="814"/>
      <c r="K70" s="814"/>
      <c r="L70" s="814"/>
      <c r="M70" s="814"/>
    </row>
    <row r="71" spans="2:13">
      <c r="B71" s="177">
        <f t="shared" si="10"/>
        <v>12</v>
      </c>
      <c r="C71" s="197" t="str">
        <f>IF('Menu 2'!E35="","",'Menu 2'!E35)</f>
        <v/>
      </c>
      <c r="E71" s="198">
        <f t="shared" si="11"/>
        <v>3183</v>
      </c>
      <c r="F71" s="199">
        <f t="shared" si="12"/>
        <v>7200</v>
      </c>
      <c r="G71" s="200">
        <f t="shared" si="7"/>
        <v>-4017</v>
      </c>
      <c r="H71" s="91" t="str">
        <f t="shared" si="8"/>
        <v>(-) de moins sur ce compte épargne</v>
      </c>
      <c r="I71" s="201">
        <f t="shared" si="9"/>
        <v>6932</v>
      </c>
      <c r="J71" s="814"/>
      <c r="K71" s="814"/>
      <c r="L71" s="814"/>
      <c r="M71" s="814"/>
    </row>
    <row r="72" spans="2:13">
      <c r="B72" s="177">
        <f t="shared" si="10"/>
        <v>13</v>
      </c>
      <c r="C72" s="197" t="str">
        <f>IF('Menu 2'!E36="","",'Menu 2'!E36)</f>
        <v/>
      </c>
      <c r="E72" s="198">
        <f t="shared" si="11"/>
        <v>3183</v>
      </c>
      <c r="F72" s="199">
        <f t="shared" si="12"/>
        <v>7200</v>
      </c>
      <c r="G72" s="200">
        <f t="shared" si="7"/>
        <v>-4017</v>
      </c>
      <c r="H72" s="91" t="str">
        <f t="shared" si="8"/>
        <v>(-) de moins sur ce compte épargne</v>
      </c>
      <c r="I72" s="201">
        <f t="shared" si="9"/>
        <v>6932</v>
      </c>
      <c r="J72" s="814"/>
      <c r="K72" s="814"/>
      <c r="L72" s="814"/>
      <c r="M72" s="814"/>
    </row>
    <row r="73" spans="2:13">
      <c r="B73" s="177">
        <f t="shared" si="10"/>
        <v>14</v>
      </c>
      <c r="C73" s="197" t="str">
        <f>IF('Menu 2'!E37="","",'Menu 2'!E37)</f>
        <v/>
      </c>
      <c r="E73" s="198">
        <f t="shared" si="11"/>
        <v>3183</v>
      </c>
      <c r="F73" s="199">
        <f t="shared" si="12"/>
        <v>7200</v>
      </c>
      <c r="G73" s="200">
        <f t="shared" si="7"/>
        <v>-4017</v>
      </c>
      <c r="H73" s="91" t="str">
        <f t="shared" si="8"/>
        <v>(-) de moins sur ce compte épargne</v>
      </c>
      <c r="I73" s="201">
        <f t="shared" si="9"/>
        <v>6932</v>
      </c>
      <c r="J73" s="814"/>
      <c r="K73" s="814"/>
      <c r="L73" s="814"/>
      <c r="M73" s="814"/>
    </row>
    <row r="74" spans="2:13">
      <c r="B74" s="177">
        <f t="shared" si="10"/>
        <v>15</v>
      </c>
      <c r="C74" s="197" t="str">
        <f>IF('Menu 2'!E38="","",'Menu 2'!E38)</f>
        <v/>
      </c>
      <c r="E74" s="198">
        <f t="shared" si="11"/>
        <v>3183</v>
      </c>
      <c r="F74" s="199">
        <f t="shared" si="12"/>
        <v>7200</v>
      </c>
      <c r="G74" s="200">
        <f t="shared" si="7"/>
        <v>-4017</v>
      </c>
      <c r="H74" s="91" t="str">
        <f t="shared" si="8"/>
        <v>(-) de moins sur ce compte épargne</v>
      </c>
      <c r="I74" s="201">
        <f t="shared" si="9"/>
        <v>6932</v>
      </c>
      <c r="J74" s="814"/>
      <c r="K74" s="814"/>
      <c r="L74" s="814"/>
      <c r="M74" s="814"/>
    </row>
    <row r="75" spans="2:13">
      <c r="B75" s="177">
        <f t="shared" si="10"/>
        <v>16</v>
      </c>
      <c r="C75" s="197" t="str">
        <f>IF('Menu 2'!E39="","",'Menu 2'!E39)</f>
        <v/>
      </c>
      <c r="E75" s="198">
        <f t="shared" si="11"/>
        <v>3183</v>
      </c>
      <c r="F75" s="199">
        <f t="shared" si="12"/>
        <v>7200</v>
      </c>
      <c r="G75" s="200">
        <f t="shared" si="7"/>
        <v>-4017</v>
      </c>
      <c r="H75" s="91" t="str">
        <f t="shared" si="8"/>
        <v>(-) de moins sur ce compte épargne</v>
      </c>
      <c r="I75" s="201">
        <f t="shared" si="9"/>
        <v>6932</v>
      </c>
    </row>
    <row r="76" spans="2:13">
      <c r="B76" s="177">
        <f t="shared" si="10"/>
        <v>17</v>
      </c>
      <c r="C76" s="197" t="str">
        <f>IF('Menu 2'!E40="","",'Menu 2'!E40)</f>
        <v/>
      </c>
      <c r="E76" s="198">
        <f t="shared" si="11"/>
        <v>3183</v>
      </c>
      <c r="F76" s="199">
        <f t="shared" si="12"/>
        <v>7200</v>
      </c>
      <c r="G76" s="200">
        <f t="shared" si="7"/>
        <v>-4017</v>
      </c>
      <c r="H76" s="91" t="str">
        <f t="shared" si="8"/>
        <v>(-) de moins sur ce compte épargne</v>
      </c>
      <c r="I76" s="201">
        <f t="shared" si="9"/>
        <v>6932</v>
      </c>
    </row>
    <row r="77" spans="2:13">
      <c r="B77" s="177">
        <f t="shared" si="10"/>
        <v>18</v>
      </c>
      <c r="C77" s="197" t="str">
        <f>IF('Menu 2'!E41="","",'Menu 2'!E41)</f>
        <v/>
      </c>
      <c r="E77" s="198">
        <f t="shared" si="11"/>
        <v>3183</v>
      </c>
      <c r="F77" s="199">
        <f t="shared" si="12"/>
        <v>7200</v>
      </c>
      <c r="G77" s="200">
        <f t="shared" si="7"/>
        <v>-4017</v>
      </c>
      <c r="H77" s="91" t="str">
        <f t="shared" si="8"/>
        <v>(-) de moins sur ce compte épargne</v>
      </c>
      <c r="I77" s="201">
        <f t="shared" si="9"/>
        <v>6932</v>
      </c>
    </row>
    <row r="78" spans="2:13">
      <c r="B78" s="177">
        <f t="shared" si="10"/>
        <v>19</v>
      </c>
      <c r="C78" s="197" t="str">
        <f>IF('Menu 2'!E42="","",'Menu 2'!E42)</f>
        <v/>
      </c>
      <c r="E78" s="198">
        <f t="shared" si="11"/>
        <v>3183</v>
      </c>
      <c r="F78" s="199">
        <f t="shared" si="12"/>
        <v>7200</v>
      </c>
      <c r="G78" s="200">
        <f t="shared" si="7"/>
        <v>-4017</v>
      </c>
      <c r="H78" s="91" t="str">
        <f t="shared" si="8"/>
        <v>(-) de moins sur ce compte épargne</v>
      </c>
      <c r="I78" s="201">
        <f t="shared" si="9"/>
        <v>6932</v>
      </c>
    </row>
    <row r="79" spans="2:13">
      <c r="B79" s="177">
        <f t="shared" si="10"/>
        <v>20</v>
      </c>
      <c r="C79" s="197" t="str">
        <f>IF('Menu 2'!E43="","",'Menu 2'!E43)</f>
        <v/>
      </c>
      <c r="E79" s="198">
        <f t="shared" si="11"/>
        <v>3183</v>
      </c>
      <c r="F79" s="199">
        <f t="shared" si="12"/>
        <v>7200</v>
      </c>
      <c r="G79" s="200">
        <f t="shared" si="7"/>
        <v>-4017</v>
      </c>
      <c r="H79" s="91" t="str">
        <f t="shared" si="8"/>
        <v>(-) de moins sur ce compte épargne</v>
      </c>
      <c r="I79" s="201">
        <f t="shared" si="9"/>
        <v>6932</v>
      </c>
    </row>
    <row r="80" spans="2:13">
      <c r="B80" s="177">
        <f t="shared" si="10"/>
        <v>21</v>
      </c>
      <c r="C80" s="197" t="str">
        <f>IF('Menu 2'!E44="","",'Menu 2'!E44)</f>
        <v/>
      </c>
      <c r="E80" s="198">
        <f t="shared" si="11"/>
        <v>3183</v>
      </c>
      <c r="F80" s="199">
        <f t="shared" si="12"/>
        <v>7200</v>
      </c>
      <c r="G80" s="200">
        <f t="shared" si="7"/>
        <v>-4017</v>
      </c>
      <c r="H80" s="91" t="str">
        <f t="shared" si="8"/>
        <v>(-) de moins sur ce compte épargne</v>
      </c>
      <c r="I80" s="201">
        <f t="shared" si="9"/>
        <v>6932</v>
      </c>
    </row>
    <row r="81" spans="2:13">
      <c r="B81" s="177">
        <f t="shared" si="10"/>
        <v>22</v>
      </c>
      <c r="C81" s="197" t="str">
        <f>IF('Menu 2'!E45="","",'Menu 2'!E45)</f>
        <v/>
      </c>
      <c r="E81" s="198">
        <f t="shared" si="11"/>
        <v>3183</v>
      </c>
      <c r="F81" s="199">
        <f t="shared" si="12"/>
        <v>7200</v>
      </c>
      <c r="G81" s="200">
        <f t="shared" si="7"/>
        <v>-4017</v>
      </c>
      <c r="H81" s="91" t="str">
        <f t="shared" si="8"/>
        <v>(-) de moins sur ce compte épargne</v>
      </c>
      <c r="I81" s="201">
        <f t="shared" si="9"/>
        <v>6932</v>
      </c>
    </row>
    <row r="82" spans="2:13">
      <c r="B82" s="177">
        <f t="shared" si="10"/>
        <v>23</v>
      </c>
      <c r="C82" s="197" t="str">
        <f>IF('Menu 2'!E46="","",'Menu 2'!E46)</f>
        <v/>
      </c>
      <c r="E82" s="198">
        <f t="shared" si="11"/>
        <v>3183</v>
      </c>
      <c r="F82" s="199">
        <f t="shared" si="12"/>
        <v>7200</v>
      </c>
      <c r="G82" s="200">
        <f t="shared" si="7"/>
        <v>-4017</v>
      </c>
      <c r="H82" s="91" t="str">
        <f t="shared" si="8"/>
        <v>(-) de moins sur ce compte épargne</v>
      </c>
      <c r="I82" s="201">
        <f t="shared" si="9"/>
        <v>6932</v>
      </c>
    </row>
    <row r="83" spans="2:13">
      <c r="B83" s="177">
        <f t="shared" si="10"/>
        <v>24</v>
      </c>
      <c r="C83" s="197" t="str">
        <f>IF('Menu 2'!E47="","",'Menu 2'!E47)</f>
        <v/>
      </c>
      <c r="E83" s="198">
        <f t="shared" si="11"/>
        <v>3183</v>
      </c>
      <c r="F83" s="199">
        <f t="shared" si="12"/>
        <v>7200</v>
      </c>
      <c r="G83" s="200">
        <f t="shared" si="7"/>
        <v>-4017</v>
      </c>
      <c r="H83" s="91" t="str">
        <f t="shared" si="8"/>
        <v>(-) de moins sur ce compte épargne</v>
      </c>
      <c r="I83" s="201">
        <f t="shared" si="9"/>
        <v>6932</v>
      </c>
    </row>
    <row r="84" spans="2:13">
      <c r="B84" s="177">
        <f t="shared" si="10"/>
        <v>25</v>
      </c>
      <c r="C84" s="197" t="str">
        <f>IF('Menu 2'!E48="","",'Menu 2'!E48)</f>
        <v/>
      </c>
      <c r="E84" s="198">
        <f t="shared" si="11"/>
        <v>3183</v>
      </c>
      <c r="F84" s="199">
        <f t="shared" si="12"/>
        <v>7200</v>
      </c>
      <c r="G84" s="200">
        <f t="shared" si="7"/>
        <v>-4017</v>
      </c>
      <c r="H84" s="91" t="str">
        <f t="shared" si="8"/>
        <v>(-) de moins sur ce compte épargne</v>
      </c>
      <c r="I84" s="201">
        <f t="shared" si="9"/>
        <v>6932</v>
      </c>
    </row>
    <row r="85" spans="2:13">
      <c r="B85" s="177">
        <f t="shared" si="10"/>
        <v>26</v>
      </c>
      <c r="C85" s="197" t="str">
        <f>IF('Menu 2'!E49="","",'Menu 2'!E49)</f>
        <v/>
      </c>
      <c r="E85" s="198">
        <f t="shared" si="11"/>
        <v>3183</v>
      </c>
      <c r="F85" s="199">
        <f t="shared" si="12"/>
        <v>7200</v>
      </c>
      <c r="G85" s="200">
        <f t="shared" si="7"/>
        <v>-4017</v>
      </c>
      <c r="H85" s="91" t="str">
        <f t="shared" si="8"/>
        <v>(-) de moins sur ce compte épargne</v>
      </c>
      <c r="I85" s="201">
        <f t="shared" si="9"/>
        <v>6932</v>
      </c>
    </row>
    <row r="86" spans="2:13">
      <c r="B86" s="177">
        <f t="shared" si="10"/>
        <v>27</v>
      </c>
      <c r="C86" s="197" t="str">
        <f>IF('Menu 2'!E50="","",'Menu 2'!E50)</f>
        <v/>
      </c>
      <c r="E86" s="198">
        <f t="shared" si="11"/>
        <v>3183</v>
      </c>
      <c r="F86" s="199">
        <f t="shared" si="12"/>
        <v>7200</v>
      </c>
      <c r="G86" s="200">
        <f t="shared" si="7"/>
        <v>-4017</v>
      </c>
      <c r="H86" s="91" t="str">
        <f t="shared" si="8"/>
        <v>(-) de moins sur ce compte épargne</v>
      </c>
      <c r="I86" s="201">
        <f t="shared" si="9"/>
        <v>6932</v>
      </c>
    </row>
    <row r="87" spans="2:13">
      <c r="B87" s="177">
        <f t="shared" si="10"/>
        <v>28</v>
      </c>
      <c r="C87" s="197" t="str">
        <f>IF('Menu 2'!E51="","",'Menu 2'!E51)</f>
        <v/>
      </c>
      <c r="E87" s="198">
        <f t="shared" si="11"/>
        <v>3183</v>
      </c>
      <c r="F87" s="199">
        <f t="shared" si="12"/>
        <v>7200</v>
      </c>
      <c r="G87" s="200">
        <f t="shared" si="7"/>
        <v>-4017</v>
      </c>
      <c r="H87" s="91" t="str">
        <f t="shared" si="8"/>
        <v>(-) de moins sur ce compte épargne</v>
      </c>
      <c r="I87" s="201">
        <f t="shared" si="9"/>
        <v>6932</v>
      </c>
    </row>
    <row r="88" spans="2:13">
      <c r="B88" s="177">
        <f t="shared" si="10"/>
        <v>29</v>
      </c>
      <c r="C88" s="197" t="str">
        <f>IF('Menu 2'!E52="","",'Menu 2'!E52)</f>
        <v/>
      </c>
      <c r="E88" s="198">
        <f t="shared" si="11"/>
        <v>3183</v>
      </c>
      <c r="F88" s="199">
        <f t="shared" si="12"/>
        <v>7200</v>
      </c>
      <c r="G88" s="200">
        <f t="shared" si="7"/>
        <v>-4017</v>
      </c>
      <c r="H88" s="91" t="str">
        <f t="shared" si="8"/>
        <v>(-) de moins sur ce compte épargne</v>
      </c>
      <c r="I88" s="201">
        <f t="shared" si="9"/>
        <v>6932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219709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Sm4sD1VZng9nFUsd/x0Ae78nfGAii6e/hke4oA+40jotj2pzx2hZuzfq7psHBck6GkI+GFiWSLzN7sP9rO6XVg==" saltValue="uxM8Aa1ClgdLXFHVia5Jsw=="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89" priority="19" operator="equal">
      <formula>0</formula>
    </cfRule>
    <cfRule type="cellIs" dxfId="88" priority="20" operator="lessThan">
      <formula>0</formula>
    </cfRule>
    <cfRule type="cellIs" dxfId="87" priority="21" operator="greaterThan">
      <formula>0</formula>
    </cfRule>
  </conditionalFormatting>
  <conditionalFormatting sqref="G60:G89">
    <cfRule type="cellIs" dxfId="86" priority="5" operator="equal">
      <formula>0</formula>
    </cfRule>
    <cfRule type="cellIs" dxfId="85" priority="6" operator="lessThan">
      <formula>0</formula>
    </cfRule>
    <cfRule type="cellIs" dxfId="84" priority="7" operator="greaterThan">
      <formula>0</formula>
    </cfRule>
  </conditionalFormatting>
  <conditionalFormatting sqref="H8:H51">
    <cfRule type="cellIs" dxfId="83" priority="17" operator="equal">
      <formula>"(-) de moins sur le compte épargne"</formula>
    </cfRule>
    <cfRule type="cellIs" dxfId="82" priority="18" operator="equal">
      <formula>"(+) à ajouter sur le compte épargne"</formula>
    </cfRule>
  </conditionalFormatting>
  <conditionalFormatting sqref="H60:H89">
    <cfRule type="cellIs" dxfId="81" priority="1" operator="equal">
      <formula>"(-) de moins sur ce compte épargne"</formula>
    </cfRule>
    <cfRule type="cellIs" dxfId="80" priority="2" operator="equal">
      <formula>"(+) à ajouter sur ce compte épargne"</formula>
    </cfRule>
  </conditionalFormatting>
  <hyperlinks>
    <hyperlink ref="A2:A4" location="'Budget Gold'!A1" tooltip="Retour au tableau Budget Gold" display="Retour au Budget" xr:uid="{00000000-0004-0000-0E00-000000000000}"/>
    <hyperlink ref="A56" location="'Budget Gold'!A1" display="Retour au budget" xr:uid="{00000000-0004-0000-0E00-000001000000}"/>
    <hyperlink ref="A56:A58" location="'Budget Gold'!A1" tooltip="Retour au tableau Budget Gold" display="Retour au Budget" xr:uid="{00000000-0004-0000-0E00-000002000000}"/>
    <hyperlink ref="A2" location="'Budget Gold'!A1" tooltip="Retour au tableau Budget Gold" display="Retour au Budget" xr:uid="{00000000-0004-0000-0E00-000003000000}"/>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561"/>
  <sheetViews>
    <sheetView workbookViewId="0"/>
  </sheetViews>
  <sheetFormatPr baseColWidth="10" defaultColWidth="11.33203125" defaultRowHeight="13"/>
  <cols>
    <col min="1" max="1" width="19.6640625" style="1" customWidth="1"/>
    <col min="2" max="2" width="55.83203125" style="182" customWidth="1"/>
    <col min="3" max="3" width="42.332031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41" s="1" customFormat="1">
      <c r="J1" s="180"/>
      <c r="K1" s="180"/>
      <c r="L1" s="180"/>
      <c r="M1" s="180"/>
    </row>
    <row r="2" spans="1:41" ht="20">
      <c r="A2" s="452" t="s">
        <v>330</v>
      </c>
      <c r="B2" s="181"/>
      <c r="C2" s="157" t="s">
        <v>305</v>
      </c>
      <c r="D2" s="181"/>
      <c r="E2" s="1"/>
      <c r="F2" s="1"/>
      <c r="G2" s="1"/>
      <c r="H2" s="157"/>
      <c r="I2" s="180"/>
      <c r="M2" s="1"/>
      <c r="AO2" s="182"/>
    </row>
    <row r="3" spans="1:41" ht="12.75" customHeight="1">
      <c r="A3" s="452"/>
      <c r="B3" s="1"/>
      <c r="C3" s="1"/>
      <c r="D3" s="183"/>
      <c r="E3" s="815">
        <f>'Budget Gold'!U7</f>
        <v>46302</v>
      </c>
      <c r="F3" s="816"/>
      <c r="G3" s="816"/>
      <c r="H3" s="816"/>
      <c r="I3" s="1"/>
    </row>
    <row r="4" spans="1:41" ht="12.75" customHeight="1">
      <c r="A4" s="452"/>
      <c r="B4" s="1"/>
      <c r="C4" s="1"/>
      <c r="D4" s="184"/>
      <c r="E4" s="816"/>
      <c r="F4" s="816"/>
      <c r="G4" s="816"/>
      <c r="H4" s="816"/>
      <c r="I4" s="1"/>
    </row>
    <row r="5" spans="1:41" s="1" customFormat="1">
      <c r="F5" s="185"/>
      <c r="J5" s="180"/>
      <c r="K5" s="180"/>
      <c r="L5" s="180"/>
      <c r="M5" s="180"/>
    </row>
    <row r="6" spans="1:41" s="156" customFormat="1">
      <c r="B6" s="156" t="s">
        <v>254</v>
      </c>
      <c r="E6" s="25" t="s">
        <v>298</v>
      </c>
      <c r="F6" s="25" t="s">
        <v>297</v>
      </c>
      <c r="G6" s="447" t="s">
        <v>296</v>
      </c>
      <c r="H6" s="447"/>
      <c r="I6" s="186" t="s">
        <v>302</v>
      </c>
      <c r="J6" s="187"/>
      <c r="K6" s="187"/>
      <c r="L6" s="187"/>
      <c r="M6" s="187"/>
    </row>
    <row r="7" spans="1:41">
      <c r="A7" s="188"/>
      <c r="B7" s="6"/>
      <c r="C7" s="6"/>
      <c r="D7" s="156"/>
      <c r="E7" s="189"/>
      <c r="F7" s="189"/>
      <c r="G7" s="189"/>
      <c r="H7" s="6"/>
      <c r="I7" s="190"/>
      <c r="J7" s="813">
        <f>'Budget Gold'!U7</f>
        <v>46302</v>
      </c>
      <c r="K7" s="814"/>
      <c r="L7" s="814"/>
      <c r="M7" s="814"/>
    </row>
    <row r="8" spans="1:41">
      <c r="A8" s="177">
        <v>1</v>
      </c>
      <c r="B8" s="191" t="str">
        <f>IF('Budget Gold'!E54="Indiquer le nom du projet à financer","",'Budget Gold'!E54)</f>
        <v>PEA - INVESTISSEMENTS</v>
      </c>
      <c r="C8" s="6" t="str">
        <f>IF('Budget Gold'!E56="- compte d'épargne à saisir -","",'Budget Gold'!E56)</f>
        <v>PEA - Bourse direct</v>
      </c>
      <c r="D8" s="156"/>
      <c r="E8" s="192">
        <f>'Budget Gold'!V54</f>
        <v>250</v>
      </c>
      <c r="F8" s="193">
        <f>'Budget Gold'!V55</f>
        <v>0</v>
      </c>
      <c r="G8" s="194">
        <f>E8-F8</f>
        <v>250</v>
      </c>
      <c r="H8" s="6" t="str">
        <f>IF(G8&gt;0,"(+) à ajouter sur le compte épargne",IF(G8=0,"--- rien à faire ---","(-) de moins sur le compte épargne"))</f>
        <v>(+) à ajouter sur le compte épargne</v>
      </c>
      <c r="I8" s="195">
        <f>'Budget Gold'!U56</f>
        <v>40780</v>
      </c>
      <c r="J8" s="814"/>
      <c r="K8" s="814"/>
      <c r="L8" s="814"/>
      <c r="M8" s="814"/>
    </row>
    <row r="9" spans="1:41">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Gold'!V57</f>
        <v>200</v>
      </c>
      <c r="F9" s="193">
        <f>'Budget Gold'!V58</f>
        <v>0</v>
      </c>
      <c r="G9" s="194">
        <f t="shared" ref="G9:G43" si="0">E9-F9</f>
        <v>200</v>
      </c>
      <c r="H9" s="6" t="str">
        <f t="shared" ref="H9:H43" si="1">IF(G9&gt;0,"(+) à ajouter sur le compte épargne",IF(G9=0,"--- rien à faire ---","(-) de moins sur le compte épargne"))</f>
        <v>(+) à ajouter sur le compte épargne</v>
      </c>
      <c r="I9" s="195">
        <f>'Budget Gold'!U59</f>
        <v>3311</v>
      </c>
      <c r="J9" s="814"/>
      <c r="K9" s="814"/>
      <c r="L9" s="814"/>
      <c r="M9" s="814"/>
    </row>
    <row r="10" spans="1:41">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Gold'!V60</f>
        <v>0</v>
      </c>
      <c r="F10" s="193">
        <f>'Budget Gold'!V61</f>
        <v>0</v>
      </c>
      <c r="G10" s="194">
        <f t="shared" si="0"/>
        <v>0</v>
      </c>
      <c r="H10" s="6" t="str">
        <f t="shared" si="1"/>
        <v>--- rien à faire ---</v>
      </c>
      <c r="I10" s="195">
        <f>'Budget Gold'!U62</f>
        <v>400</v>
      </c>
      <c r="J10" s="814"/>
      <c r="K10" s="814"/>
      <c r="L10" s="814"/>
      <c r="M10" s="814"/>
    </row>
    <row r="11" spans="1:41">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Gold'!V63</f>
        <v>0</v>
      </c>
      <c r="F11" s="193">
        <f>'Budget Gold'!V64</f>
        <v>0</v>
      </c>
      <c r="G11" s="194">
        <f t="shared" si="0"/>
        <v>0</v>
      </c>
      <c r="H11" s="6" t="str">
        <f t="shared" si="1"/>
        <v>--- rien à faire ---</v>
      </c>
      <c r="I11" s="195">
        <f>'Budget Gold'!U65</f>
        <v>100</v>
      </c>
      <c r="J11" s="814"/>
      <c r="K11" s="814"/>
      <c r="L11" s="814"/>
      <c r="M11" s="814"/>
    </row>
    <row r="12" spans="1:41">
      <c r="A12" s="177">
        <f t="shared" si="2"/>
        <v>5</v>
      </c>
      <c r="B12" s="191" t="str">
        <f>IF('Budget Gold'!E66="Indiquer le nom du projet à financer","",'Budget Gold'!E66)</f>
        <v>Epargne pour "Mariage"</v>
      </c>
      <c r="C12" s="6" t="str">
        <f>IF('Budget Gold'!E68="- compte d'épargne à saisir -","",'Budget Gold'!E68)</f>
        <v>Livret A - BANXO</v>
      </c>
      <c r="D12" s="156"/>
      <c r="E12" s="192">
        <f>'Budget Gold'!V66</f>
        <v>0</v>
      </c>
      <c r="F12" s="193">
        <f>'Budget Gold'!V67</f>
        <v>0</v>
      </c>
      <c r="G12" s="194">
        <f t="shared" si="0"/>
        <v>0</v>
      </c>
      <c r="H12" s="6" t="str">
        <f t="shared" si="1"/>
        <v>--- rien à faire ---</v>
      </c>
      <c r="I12" s="195">
        <f>'Budget Gold'!U68</f>
        <v>200</v>
      </c>
      <c r="J12" s="814"/>
      <c r="K12" s="814"/>
      <c r="L12" s="814"/>
      <c r="M12" s="814"/>
    </row>
    <row r="13" spans="1:41">
      <c r="A13" s="177">
        <f t="shared" si="2"/>
        <v>6</v>
      </c>
      <c r="B13" s="191" t="str">
        <f>IF('Budget Gold'!E69="Indiquer le nom du projet à financer","",'Budget Gold'!E69)</f>
        <v>Epargne pour "IMPREVUS"</v>
      </c>
      <c r="C13" s="6" t="str">
        <f>IF('Budget Gold'!E71="- compte d'épargne à saisir -","",'Budget Gold'!E71)</f>
        <v>Livret A - BANXO</v>
      </c>
      <c r="D13" s="156"/>
      <c r="E13" s="192">
        <f>'Budget Gold'!V69</f>
        <v>0</v>
      </c>
      <c r="F13" s="193">
        <f>'Budget Gold'!V70</f>
        <v>0</v>
      </c>
      <c r="G13" s="194">
        <f t="shared" si="0"/>
        <v>0</v>
      </c>
      <c r="H13" s="6" t="str">
        <f t="shared" si="1"/>
        <v>--- rien à faire ---</v>
      </c>
      <c r="I13" s="195">
        <f>'Budget Gold'!U71</f>
        <v>8400</v>
      </c>
      <c r="J13" s="814"/>
      <c r="K13" s="814"/>
      <c r="L13" s="814"/>
      <c r="M13" s="814"/>
    </row>
    <row r="14" spans="1:41">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Gold'!V72</f>
        <v>0</v>
      </c>
      <c r="F14" s="193">
        <f>'Budget Gold'!V73</f>
        <v>0</v>
      </c>
      <c r="G14" s="194">
        <f t="shared" si="0"/>
        <v>0</v>
      </c>
      <c r="H14" s="6" t="str">
        <f t="shared" si="1"/>
        <v>--- rien à faire ---</v>
      </c>
      <c r="I14" s="195">
        <f>'Budget Gold'!U74</f>
        <v>100</v>
      </c>
      <c r="J14" s="814"/>
      <c r="K14" s="814"/>
      <c r="L14" s="814"/>
      <c r="M14" s="814"/>
    </row>
    <row r="15" spans="1:41">
      <c r="A15" s="177">
        <f t="shared" si="2"/>
        <v>8</v>
      </c>
      <c r="B15" s="191" t="str">
        <f>IF('Budget Gold'!E75="Indiquer le nom du projet à financer","",'Budget Gold'!E75)</f>
        <v>Epargne "ACHAT VOITURE"</v>
      </c>
      <c r="C15" s="6" t="str">
        <f>IF('Budget Gold'!E77="- compte d'épargne à saisir -","",'Budget Gold'!E77)</f>
        <v>Livret A - BANXO</v>
      </c>
      <c r="D15" s="156"/>
      <c r="E15" s="192">
        <f>'Budget Gold'!V75</f>
        <v>350</v>
      </c>
      <c r="F15" s="193">
        <f>'Budget Gold'!V76</f>
        <v>0</v>
      </c>
      <c r="G15" s="194">
        <f t="shared" si="0"/>
        <v>350</v>
      </c>
      <c r="H15" s="6" t="str">
        <f t="shared" si="1"/>
        <v>(+) à ajouter sur le compte épargne</v>
      </c>
      <c r="I15" s="195">
        <f>'Budget Gold'!U77</f>
        <v>750</v>
      </c>
      <c r="J15" s="814"/>
      <c r="K15" s="814"/>
      <c r="L15" s="814"/>
      <c r="M15" s="814"/>
    </row>
    <row r="16" spans="1:41">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Gold'!V78</f>
        <v>0</v>
      </c>
      <c r="F16" s="193">
        <f>'Budget Gold'!V79</f>
        <v>0</v>
      </c>
      <c r="G16" s="194">
        <f t="shared" si="0"/>
        <v>0</v>
      </c>
      <c r="H16" s="6" t="str">
        <f t="shared" si="1"/>
        <v>--- rien à faire ---</v>
      </c>
      <c r="I16" s="195">
        <f>'Budget Gold'!U80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Gold'!V81</f>
        <v>0</v>
      </c>
      <c r="F17" s="193">
        <f>'Budget Gold'!V82</f>
        <v>0</v>
      </c>
      <c r="G17" s="194">
        <f t="shared" si="0"/>
        <v>0</v>
      </c>
      <c r="H17" s="6" t="str">
        <f t="shared" si="1"/>
        <v>--- rien à faire ---</v>
      </c>
      <c r="I17" s="195">
        <f>'Budget Gold'!U83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Gold'!V84</f>
        <v>0</v>
      </c>
      <c r="F18" s="193">
        <f>'Budget Gold'!V85</f>
        <v>0</v>
      </c>
      <c r="G18" s="194">
        <f t="shared" si="0"/>
        <v>0</v>
      </c>
      <c r="H18" s="6" t="str">
        <f t="shared" si="1"/>
        <v>--- rien à faire ---</v>
      </c>
      <c r="I18" s="195">
        <f>'Budget Gold'!U86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Gold'!V87</f>
        <v>0</v>
      </c>
      <c r="F19" s="193">
        <f>'Budget Gold'!V88</f>
        <v>0</v>
      </c>
      <c r="G19" s="194">
        <f t="shared" si="0"/>
        <v>0</v>
      </c>
      <c r="H19" s="6" t="str">
        <f t="shared" si="1"/>
        <v>--- rien à faire ---</v>
      </c>
      <c r="I19" s="195">
        <f>'Budget Gold'!U89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Gold'!V90</f>
        <v>0</v>
      </c>
      <c r="F20" s="193">
        <f>'Budget Gold'!V91</f>
        <v>0</v>
      </c>
      <c r="G20" s="194">
        <f t="shared" si="0"/>
        <v>0</v>
      </c>
      <c r="H20" s="6" t="str">
        <f t="shared" si="1"/>
        <v>--- rien à faire ---</v>
      </c>
      <c r="I20" s="195">
        <f>'Budget Gold'!U92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Gold'!V93</f>
        <v>0</v>
      </c>
      <c r="F21" s="193">
        <f>'Budget Gold'!V94</f>
        <v>0</v>
      </c>
      <c r="G21" s="194">
        <f t="shared" si="0"/>
        <v>0</v>
      </c>
      <c r="H21" s="6" t="str">
        <f t="shared" si="1"/>
        <v>--- rien à faire ---</v>
      </c>
      <c r="I21" s="195">
        <f>'Budget Gold'!U95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Gold'!V96</f>
        <v>0</v>
      </c>
      <c r="F22" s="193">
        <f>'Budget Gold'!V97</f>
        <v>0</v>
      </c>
      <c r="G22" s="194">
        <f t="shared" si="0"/>
        <v>0</v>
      </c>
      <c r="H22" s="6" t="str">
        <f t="shared" si="1"/>
        <v>--- rien à faire ---</v>
      </c>
      <c r="I22" s="195">
        <f>'Budget Gold'!U98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Gold'!V99</f>
        <v>0</v>
      </c>
      <c r="F23" s="193">
        <f>'Budget Gold'!V100</f>
        <v>0</v>
      </c>
      <c r="G23" s="194">
        <f t="shared" si="0"/>
        <v>0</v>
      </c>
      <c r="H23" s="6" t="str">
        <f t="shared" si="1"/>
        <v>--- rien à faire ---</v>
      </c>
      <c r="I23" s="195">
        <f>'Budget Gold'!U101</f>
        <v>0</v>
      </c>
    </row>
    <row r="24" spans="1:13">
      <c r="A24" s="177">
        <f t="shared" si="2"/>
        <v>17</v>
      </c>
      <c r="B24" s="191" t="str">
        <f>IF('Budget Gold'!E102="Indiquer le nom du projet à financer","",'Budget Gold'!E102)</f>
        <v/>
      </c>
      <c r="C24" s="6" t="str">
        <f>IF('Budget Gold'!E104="- compte d'épargne à saisir -","",'Budget Gold'!E104)</f>
        <v/>
      </c>
      <c r="D24" s="156"/>
      <c r="E24" s="192">
        <f>'Budget Gold'!V102</f>
        <v>0</v>
      </c>
      <c r="F24" s="193">
        <f>'Budget Gold'!V103</f>
        <v>0</v>
      </c>
      <c r="G24" s="194">
        <f t="shared" ref="G24:G31" si="3">E24-F24</f>
        <v>0</v>
      </c>
      <c r="H24" s="6" t="str">
        <f t="shared" ref="H24:H30" si="4">IF(G24&gt;0,"(+) à ajouter sur le compte épargne",IF(G24=0,"--- rien à faire ---","(-) de moins sur le compte épargne"))</f>
        <v>--- rien à faire ---</v>
      </c>
      <c r="I24" s="195">
        <f>'Budget Gold'!U104</f>
        <v>0</v>
      </c>
    </row>
    <row r="25" spans="1:13">
      <c r="A25" s="177">
        <f t="shared" si="2"/>
        <v>18</v>
      </c>
      <c r="B25" s="191" t="str">
        <f>IF('Budget Gold'!E105="Indiquer le nom du projet à financer","",'Budget Gold'!E105)</f>
        <v/>
      </c>
      <c r="C25" s="6" t="str">
        <f>IF('Budget Gold'!E107="- compte d'épargne à saisir -","",'Budget Gold'!E107)</f>
        <v/>
      </c>
      <c r="D25" s="156"/>
      <c r="E25" s="192">
        <f>'Budget Gold'!V105</f>
        <v>0</v>
      </c>
      <c r="F25" s="193">
        <f>'Budget Gold'!V106</f>
        <v>0</v>
      </c>
      <c r="G25" s="194">
        <f t="shared" si="3"/>
        <v>0</v>
      </c>
      <c r="H25" s="6" t="str">
        <f t="shared" si="4"/>
        <v>--- rien à faire ---</v>
      </c>
      <c r="I25" s="195">
        <f>'Budget Gold'!U107</f>
        <v>0</v>
      </c>
    </row>
    <row r="26" spans="1:13">
      <c r="A26" s="177">
        <f t="shared" si="2"/>
        <v>19</v>
      </c>
      <c r="B26" s="191" t="str">
        <f>IF('Budget Gold'!E108="Indiquer le nom du projet à financer","",'Budget Gold'!E108)</f>
        <v/>
      </c>
      <c r="C26" s="6" t="str">
        <f>IF('Budget Gold'!E110="- compte d'épargne à saisir -","",'Budget Gold'!E110)</f>
        <v/>
      </c>
      <c r="D26" s="156"/>
      <c r="E26" s="192">
        <f>'Budget Gold'!V108</f>
        <v>0</v>
      </c>
      <c r="F26" s="193">
        <f>'Budget Gold'!V109</f>
        <v>0</v>
      </c>
      <c r="G26" s="194">
        <f t="shared" si="3"/>
        <v>0</v>
      </c>
      <c r="H26" s="6" t="str">
        <f t="shared" si="4"/>
        <v>--- rien à faire ---</v>
      </c>
      <c r="I26" s="195">
        <f>'Budget Gold'!U110</f>
        <v>0</v>
      </c>
    </row>
    <row r="27" spans="1:13">
      <c r="A27" s="177">
        <f t="shared" si="2"/>
        <v>20</v>
      </c>
      <c r="B27" s="191" t="str">
        <f>IF('Budget Gold'!E111="Indiquer le nom du projet à financer","",'Budget Gold'!E111)</f>
        <v/>
      </c>
      <c r="C27" s="6" t="str">
        <f>IF('Budget Gold'!E113="- compte d'épargne à saisir -","",'Budget Gold'!E113)</f>
        <v/>
      </c>
      <c r="D27" s="156"/>
      <c r="E27" s="192">
        <f>'Budget Gold'!V111</f>
        <v>0</v>
      </c>
      <c r="F27" s="193">
        <f>'Budget Gold'!V112</f>
        <v>0</v>
      </c>
      <c r="G27" s="194">
        <f t="shared" si="3"/>
        <v>0</v>
      </c>
      <c r="H27" s="6" t="str">
        <f t="shared" si="4"/>
        <v>--- rien à faire ---</v>
      </c>
      <c r="I27" s="195">
        <f>'Budget Gold'!U113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Gold'!V114</f>
        <v>0</v>
      </c>
      <c r="F28" s="193">
        <f>'Budget Gold'!V115</f>
        <v>0</v>
      </c>
      <c r="G28" s="194">
        <f t="shared" si="3"/>
        <v>0</v>
      </c>
      <c r="H28" s="6" t="str">
        <f t="shared" si="4"/>
        <v>--- rien à faire ---</v>
      </c>
      <c r="I28" s="195">
        <f>'Budget Gold'!U116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Gold'!V117</f>
        <v>0</v>
      </c>
      <c r="F29" s="193">
        <f>'Budget Gold'!V118</f>
        <v>0</v>
      </c>
      <c r="G29" s="194">
        <f t="shared" si="3"/>
        <v>0</v>
      </c>
      <c r="H29" s="6" t="str">
        <f t="shared" si="4"/>
        <v>--- rien à faire ---</v>
      </c>
      <c r="I29" s="195">
        <f>'Budget Gold'!U119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Gold'!V120</f>
        <v>0</v>
      </c>
      <c r="F30" s="193">
        <f>'Budget Gold'!V121</f>
        <v>0</v>
      </c>
      <c r="G30" s="194">
        <f t="shared" si="3"/>
        <v>0</v>
      </c>
      <c r="H30" s="6" t="str">
        <f t="shared" si="4"/>
        <v>--- rien à faire ---</v>
      </c>
      <c r="I30" s="195">
        <f>'Budget Gold'!U122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Gold'!V123</f>
        <v>0</v>
      </c>
      <c r="F31" s="193">
        <f>'Budget Gold'!V124</f>
        <v>0</v>
      </c>
      <c r="G31" s="194">
        <f t="shared" si="3"/>
        <v>0</v>
      </c>
      <c r="H31" s="6" t="str">
        <f>IF(G31&gt;0,"(+) à ajouter sur le compte épargne",IF(G31=0,"--- rien à faire ---","(-) de moins sur le compte épargne"))</f>
        <v>--- rien à faire ---</v>
      </c>
      <c r="I31" s="195">
        <f>'Budget Gold'!U125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Gold'!V160</f>
        <v>350</v>
      </c>
      <c r="F32" s="193">
        <f>'Budget Gold'!V161</f>
        <v>2000</v>
      </c>
      <c r="G32" s="194">
        <f t="shared" si="0"/>
        <v>-1650</v>
      </c>
      <c r="H32" s="6" t="str">
        <f t="shared" si="1"/>
        <v>(-) de moins sur le compte épargne</v>
      </c>
      <c r="I32" s="195">
        <f>'Budget Gold'!U162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Gold'!V163</f>
        <v>350</v>
      </c>
      <c r="F33" s="193">
        <f>'Budget Gold'!V164</f>
        <v>0</v>
      </c>
      <c r="G33" s="194">
        <f t="shared" si="0"/>
        <v>350</v>
      </c>
      <c r="H33" s="6" t="str">
        <f t="shared" si="1"/>
        <v>(+) à ajouter sur le compte épargne</v>
      </c>
      <c r="I33" s="195">
        <f>'Budget Gold'!U165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Gold'!V166</f>
        <v>0</v>
      </c>
      <c r="F34" s="193">
        <f>'Budget Gold'!V167</f>
        <v>0</v>
      </c>
      <c r="G34" s="194">
        <f t="shared" si="0"/>
        <v>0</v>
      </c>
      <c r="H34" s="6" t="str">
        <f t="shared" si="1"/>
        <v>--- rien à faire ---</v>
      </c>
      <c r="I34" s="195">
        <f>'Budget Gold'!U168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Gold'!V169</f>
        <v>0</v>
      </c>
      <c r="F35" s="193">
        <f>'Budget Gold'!V170</f>
        <v>0</v>
      </c>
      <c r="G35" s="194">
        <f t="shared" si="0"/>
        <v>0</v>
      </c>
      <c r="H35" s="6" t="str">
        <f t="shared" si="1"/>
        <v>--- rien à faire ---</v>
      </c>
      <c r="I35" s="195">
        <f>'Budget Gold'!U171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Gold'!V172</f>
        <v>350</v>
      </c>
      <c r="F36" s="193">
        <f>'Budget Gold'!V173</f>
        <v>0</v>
      </c>
      <c r="G36" s="194">
        <f t="shared" si="0"/>
        <v>350</v>
      </c>
      <c r="H36" s="6" t="str">
        <f t="shared" si="1"/>
        <v>(+) à ajouter sur le compte épargne</v>
      </c>
      <c r="I36" s="195">
        <f>'Budget Gold'!U174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Gold'!V175</f>
        <v>350</v>
      </c>
      <c r="F37" s="193">
        <f>'Budget Gold'!V176</f>
        <v>0</v>
      </c>
      <c r="G37" s="194">
        <f t="shared" si="0"/>
        <v>350</v>
      </c>
      <c r="H37" s="6" t="str">
        <f t="shared" si="1"/>
        <v>(+) à ajouter sur le compte épargne</v>
      </c>
      <c r="I37" s="195">
        <f>'Budget Gold'!U177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Gold'!V178</f>
        <v>0</v>
      </c>
      <c r="F38" s="193">
        <f>'Budget Gold'!V179</f>
        <v>0</v>
      </c>
      <c r="G38" s="194">
        <f t="shared" si="0"/>
        <v>0</v>
      </c>
      <c r="H38" s="6" t="str">
        <f t="shared" si="1"/>
        <v>--- rien à faire ---</v>
      </c>
      <c r="I38" s="195">
        <f>'Budget Gold'!U180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Gold'!V181</f>
        <v>200</v>
      </c>
      <c r="F39" s="193">
        <f>'Budget Gold'!V182</f>
        <v>200</v>
      </c>
      <c r="G39" s="194">
        <f t="shared" si="0"/>
        <v>0</v>
      </c>
      <c r="H39" s="6" t="str">
        <f t="shared" si="1"/>
        <v>--- rien à faire ---</v>
      </c>
      <c r="I39" s="195">
        <f>'Budget Gold'!U183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Gold'!V184</f>
        <v>0</v>
      </c>
      <c r="F40" s="193">
        <f>'Budget Gold'!V185</f>
        <v>0</v>
      </c>
      <c r="G40" s="194">
        <f t="shared" si="0"/>
        <v>0</v>
      </c>
      <c r="H40" s="6" t="str">
        <f t="shared" si="1"/>
        <v>--- rien à faire ---</v>
      </c>
      <c r="I40" s="195">
        <f>'Budget Gold'!U186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Gold'!V187</f>
        <v>0</v>
      </c>
      <c r="F41" s="193">
        <f>'Budget Gold'!V188</f>
        <v>0</v>
      </c>
      <c r="G41" s="194">
        <f t="shared" si="0"/>
        <v>0</v>
      </c>
      <c r="H41" s="6" t="str">
        <f t="shared" si="1"/>
        <v>--- rien à faire ---</v>
      </c>
      <c r="I41" s="195">
        <f>'Budget Gold'!U189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Gold'!V190</f>
        <v>0</v>
      </c>
      <c r="F42" s="193">
        <f>'Budget Gold'!V191</f>
        <v>0</v>
      </c>
      <c r="G42" s="194">
        <f t="shared" si="0"/>
        <v>0</v>
      </c>
      <c r="H42" s="6" t="str">
        <f t="shared" si="1"/>
        <v>--- rien à faire ---</v>
      </c>
      <c r="I42" s="195">
        <f>'Budget Gold'!U192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Gold'!V193</f>
        <v>0</v>
      </c>
      <c r="F43" s="193">
        <f>'Budget Gold'!V194</f>
        <v>0</v>
      </c>
      <c r="G43" s="194">
        <f t="shared" si="0"/>
        <v>0</v>
      </c>
      <c r="H43" s="6" t="str">
        <f t="shared" si="1"/>
        <v>--- rien à faire ---</v>
      </c>
      <c r="I43" s="195">
        <f>'Budget Gold'!U195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Gold'!V196</f>
        <v>0</v>
      </c>
      <c r="F44" s="193">
        <f>'Budget Gold'!V197</f>
        <v>0</v>
      </c>
      <c r="G44" s="194">
        <f t="shared" ref="G44:G51" si="5">E44-F44</f>
        <v>0</v>
      </c>
      <c r="H44" s="6" t="str">
        <f t="shared" ref="H44:H51" si="6">IF(G44&gt;0,"(+) à ajouter sur le compte épargne",IF(G44=0,"--- rien à faire ---","(-) de moins sur le compte épargne"))</f>
        <v>--- rien à faire ---</v>
      </c>
      <c r="I44" s="195">
        <f>'Budget Gold'!U198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Gold'!V199</f>
        <v>0</v>
      </c>
      <c r="F45" s="193">
        <f>'Budget Gold'!V200</f>
        <v>0</v>
      </c>
      <c r="G45" s="194">
        <f t="shared" si="5"/>
        <v>0</v>
      </c>
      <c r="H45" s="6" t="str">
        <f t="shared" si="6"/>
        <v>--- rien à faire ---</v>
      </c>
      <c r="I45" s="195">
        <f>'Budget Gold'!U201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Gold'!V202</f>
        <v>0</v>
      </c>
      <c r="F46" s="193">
        <f>'Budget Gold'!V203</f>
        <v>0</v>
      </c>
      <c r="G46" s="194">
        <f t="shared" si="5"/>
        <v>0</v>
      </c>
      <c r="H46" s="6" t="str">
        <f t="shared" si="6"/>
        <v>--- rien à faire ---</v>
      </c>
      <c r="I46" s="195">
        <f>'Budget Gold'!U204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Gold'!V205</f>
        <v>0</v>
      </c>
      <c r="F47" s="193">
        <f>'Budget Gold'!V206</f>
        <v>0</v>
      </c>
      <c r="G47" s="194">
        <f t="shared" si="5"/>
        <v>0</v>
      </c>
      <c r="H47" s="6" t="str">
        <f t="shared" si="6"/>
        <v>--- rien à faire ---</v>
      </c>
      <c r="I47" s="195">
        <f>'Budget Gold'!U207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Gold'!V208</f>
        <v>0</v>
      </c>
      <c r="F48" s="193">
        <f>'Budget Gold'!V209</f>
        <v>0</v>
      </c>
      <c r="G48" s="194">
        <f t="shared" si="5"/>
        <v>0</v>
      </c>
      <c r="H48" s="6" t="str">
        <f t="shared" si="6"/>
        <v>--- rien à faire ---</v>
      </c>
      <c r="I48" s="195">
        <f>'Budget Gold'!U210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Gold'!V211</f>
        <v>0</v>
      </c>
      <c r="F49" s="193">
        <f>'Budget Gold'!V212</f>
        <v>0</v>
      </c>
      <c r="G49" s="194">
        <f t="shared" si="5"/>
        <v>0</v>
      </c>
      <c r="H49" s="6" t="str">
        <f t="shared" si="6"/>
        <v>--- rien à faire ---</v>
      </c>
      <c r="I49" s="195">
        <f>'Budget Gold'!U213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Gold'!V214</f>
        <v>0</v>
      </c>
      <c r="F50" s="193">
        <f>'Budget Gold'!V215</f>
        <v>0</v>
      </c>
      <c r="G50" s="194">
        <f t="shared" si="5"/>
        <v>0</v>
      </c>
      <c r="H50" s="6" t="str">
        <f t="shared" si="6"/>
        <v>--- rien à faire ---</v>
      </c>
      <c r="I50" s="195">
        <f>'Budget Gold'!U216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Gold'!V217</f>
        <v>0</v>
      </c>
      <c r="F51" s="193">
        <f>'Budget Gold'!V218</f>
        <v>0</v>
      </c>
      <c r="G51" s="194">
        <f t="shared" si="5"/>
        <v>0</v>
      </c>
      <c r="H51" s="6" t="str">
        <f t="shared" si="6"/>
        <v>--- rien à faire ---</v>
      </c>
      <c r="I51" s="195">
        <f>'Budget Gold'!U219</f>
        <v>0</v>
      </c>
    </row>
    <row r="52" spans="1:13" s="1" customFormat="1">
      <c r="A52" s="156"/>
      <c r="D52" s="156"/>
      <c r="J52" s="180"/>
      <c r="K52" s="180"/>
      <c r="L52" s="180"/>
      <c r="M52" s="180"/>
    </row>
    <row r="53" spans="1:13" s="1" customFormat="1" ht="16">
      <c r="A53" s="156"/>
      <c r="D53" s="156"/>
      <c r="H53" s="248" t="s">
        <v>568</v>
      </c>
      <c r="I53" s="398">
        <f>SUM(I6:I51)</f>
        <v>60473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Gold'!U7</f>
        <v>46302</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Gold'!U7</f>
        <v>46302</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350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350</v>
      </c>
      <c r="H60" s="91" t="str">
        <f>IF(G60&gt;0,"(+) à ajouter sur ce compte épargne",IF(G60=0,"--- le solde ne change pas ---","(-) de moins sur ce compte épargne"))</f>
        <v>(+) à ajouter sur ce compte épargne</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10050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40780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3311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1600</v>
      </c>
      <c r="F65" s="199">
        <f t="shared" si="12"/>
        <v>2200</v>
      </c>
      <c r="G65" s="200">
        <f t="shared" si="7"/>
        <v>-600</v>
      </c>
      <c r="H65" s="91" t="str">
        <f>IF(G65&gt;0,"(+) à ajouter sur ce compte épargne",IF(G65=0,"--- le solde ne change pas ---","(-) de moins sur ce compte épargne"))</f>
        <v>(-) de moins sur ce compte épargne</v>
      </c>
      <c r="I65" s="201">
        <f t="shared" si="9"/>
        <v>6332</v>
      </c>
      <c r="J65" s="814"/>
      <c r="K65" s="814"/>
      <c r="L65" s="814"/>
      <c r="M65" s="814"/>
    </row>
    <row r="66" spans="2:13">
      <c r="B66" s="177">
        <f t="shared" si="10"/>
        <v>7</v>
      </c>
      <c r="C66" s="197" t="str">
        <f>IF('Menu 2'!E30="","",'Menu 2'!E30)</f>
        <v/>
      </c>
      <c r="E66" s="198">
        <f t="shared" si="11"/>
        <v>1600</v>
      </c>
      <c r="F66" s="199">
        <f t="shared" si="12"/>
        <v>2200</v>
      </c>
      <c r="G66" s="200">
        <f t="shared" si="7"/>
        <v>-600</v>
      </c>
      <c r="H66" s="91" t="str">
        <f t="shared" si="8"/>
        <v>(-) de moins sur ce compte épargne</v>
      </c>
      <c r="I66" s="201">
        <f t="shared" si="9"/>
        <v>6332</v>
      </c>
      <c r="J66" s="814"/>
      <c r="K66" s="814"/>
      <c r="L66" s="814"/>
      <c r="M66" s="814"/>
    </row>
    <row r="67" spans="2:13">
      <c r="B67" s="177">
        <f t="shared" si="10"/>
        <v>8</v>
      </c>
      <c r="C67" s="197" t="str">
        <f>IF('Menu 2'!E31="","",'Menu 2'!E31)</f>
        <v/>
      </c>
      <c r="E67" s="198">
        <f t="shared" si="11"/>
        <v>1600</v>
      </c>
      <c r="F67" s="199">
        <f t="shared" si="12"/>
        <v>2200</v>
      </c>
      <c r="G67" s="200">
        <f t="shared" si="7"/>
        <v>-600</v>
      </c>
      <c r="H67" s="91" t="str">
        <f t="shared" si="8"/>
        <v>(-) de moins sur ce compte épargne</v>
      </c>
      <c r="I67" s="201">
        <f t="shared" si="9"/>
        <v>6332</v>
      </c>
      <c r="J67" s="814"/>
      <c r="K67" s="814"/>
      <c r="L67" s="814"/>
      <c r="M67" s="814"/>
    </row>
    <row r="68" spans="2:13">
      <c r="B68" s="177">
        <f t="shared" si="10"/>
        <v>9</v>
      </c>
      <c r="C68" s="197" t="str">
        <f>IF('Menu 2'!E32="","",'Menu 2'!E32)</f>
        <v/>
      </c>
      <c r="E68" s="198">
        <f t="shared" si="11"/>
        <v>1600</v>
      </c>
      <c r="F68" s="199">
        <f t="shared" si="12"/>
        <v>2200</v>
      </c>
      <c r="G68" s="200">
        <f t="shared" si="7"/>
        <v>-600</v>
      </c>
      <c r="H68" s="91" t="str">
        <f t="shared" si="8"/>
        <v>(-) de moins sur ce compte épargne</v>
      </c>
      <c r="I68" s="201">
        <f t="shared" si="9"/>
        <v>6332</v>
      </c>
      <c r="J68" s="814"/>
      <c r="K68" s="814"/>
      <c r="L68" s="814"/>
      <c r="M68" s="814"/>
    </row>
    <row r="69" spans="2:13">
      <c r="B69" s="177">
        <f t="shared" si="10"/>
        <v>10</v>
      </c>
      <c r="C69" s="197" t="str">
        <f>IF('Menu 2'!E33="","",'Menu 2'!E33)</f>
        <v/>
      </c>
      <c r="E69" s="198">
        <f t="shared" si="11"/>
        <v>1600</v>
      </c>
      <c r="F69" s="199">
        <f t="shared" si="12"/>
        <v>2200</v>
      </c>
      <c r="G69" s="200">
        <f t="shared" si="7"/>
        <v>-600</v>
      </c>
      <c r="H69" s="91" t="str">
        <f t="shared" si="8"/>
        <v>(-) de moins sur ce compte épargne</v>
      </c>
      <c r="I69" s="201">
        <f t="shared" si="9"/>
        <v>6332</v>
      </c>
      <c r="J69" s="814"/>
      <c r="K69" s="814"/>
      <c r="L69" s="814"/>
      <c r="M69" s="814"/>
    </row>
    <row r="70" spans="2:13">
      <c r="B70" s="177">
        <f t="shared" si="10"/>
        <v>11</v>
      </c>
      <c r="C70" s="197" t="str">
        <f>IF('Menu 2'!E34="","",'Menu 2'!E34)</f>
        <v/>
      </c>
      <c r="E70" s="198">
        <f t="shared" si="11"/>
        <v>1600</v>
      </c>
      <c r="F70" s="199">
        <f t="shared" si="12"/>
        <v>2200</v>
      </c>
      <c r="G70" s="200">
        <f t="shared" si="7"/>
        <v>-600</v>
      </c>
      <c r="H70" s="91" t="str">
        <f t="shared" si="8"/>
        <v>(-) de moins sur ce compte épargne</v>
      </c>
      <c r="I70" s="201">
        <f t="shared" si="9"/>
        <v>6332</v>
      </c>
      <c r="J70" s="814"/>
      <c r="K70" s="814"/>
      <c r="L70" s="814"/>
      <c r="M70" s="814"/>
    </row>
    <row r="71" spans="2:13">
      <c r="B71" s="177">
        <f t="shared" si="10"/>
        <v>12</v>
      </c>
      <c r="C71" s="197" t="str">
        <f>IF('Menu 2'!E35="","",'Menu 2'!E35)</f>
        <v/>
      </c>
      <c r="E71" s="198">
        <f t="shared" si="11"/>
        <v>1600</v>
      </c>
      <c r="F71" s="199">
        <f t="shared" si="12"/>
        <v>2200</v>
      </c>
      <c r="G71" s="200">
        <f t="shared" si="7"/>
        <v>-600</v>
      </c>
      <c r="H71" s="91" t="str">
        <f t="shared" si="8"/>
        <v>(-) de moins sur ce compte épargne</v>
      </c>
      <c r="I71" s="201">
        <f t="shared" si="9"/>
        <v>6332</v>
      </c>
      <c r="J71" s="814"/>
      <c r="K71" s="814"/>
      <c r="L71" s="814"/>
      <c r="M71" s="814"/>
    </row>
    <row r="72" spans="2:13">
      <c r="B72" s="177">
        <f t="shared" si="10"/>
        <v>13</v>
      </c>
      <c r="C72" s="197" t="str">
        <f>IF('Menu 2'!E36="","",'Menu 2'!E36)</f>
        <v/>
      </c>
      <c r="E72" s="198">
        <f t="shared" si="11"/>
        <v>1600</v>
      </c>
      <c r="F72" s="199">
        <f t="shared" si="12"/>
        <v>2200</v>
      </c>
      <c r="G72" s="200">
        <f t="shared" si="7"/>
        <v>-600</v>
      </c>
      <c r="H72" s="91" t="str">
        <f t="shared" si="8"/>
        <v>(-) de moins sur ce compte épargne</v>
      </c>
      <c r="I72" s="201">
        <f t="shared" si="9"/>
        <v>6332</v>
      </c>
      <c r="J72" s="814"/>
      <c r="K72" s="814"/>
      <c r="L72" s="814"/>
      <c r="M72" s="814"/>
    </row>
    <row r="73" spans="2:13">
      <c r="B73" s="177">
        <f t="shared" si="10"/>
        <v>14</v>
      </c>
      <c r="C73" s="197" t="str">
        <f>IF('Menu 2'!E37="","",'Menu 2'!E37)</f>
        <v/>
      </c>
      <c r="E73" s="198">
        <f t="shared" si="11"/>
        <v>1600</v>
      </c>
      <c r="F73" s="199">
        <f t="shared" si="12"/>
        <v>2200</v>
      </c>
      <c r="G73" s="200">
        <f t="shared" si="7"/>
        <v>-600</v>
      </c>
      <c r="H73" s="91" t="str">
        <f t="shared" si="8"/>
        <v>(-) de moins sur ce compte épargne</v>
      </c>
      <c r="I73" s="201">
        <f t="shared" si="9"/>
        <v>6332</v>
      </c>
      <c r="J73" s="814"/>
      <c r="K73" s="814"/>
      <c r="L73" s="814"/>
      <c r="M73" s="814"/>
    </row>
    <row r="74" spans="2:13">
      <c r="B74" s="177">
        <f t="shared" si="10"/>
        <v>15</v>
      </c>
      <c r="C74" s="197" t="str">
        <f>IF('Menu 2'!E38="","",'Menu 2'!E38)</f>
        <v/>
      </c>
      <c r="E74" s="198">
        <f t="shared" si="11"/>
        <v>1600</v>
      </c>
      <c r="F74" s="199">
        <f t="shared" si="12"/>
        <v>2200</v>
      </c>
      <c r="G74" s="200">
        <f t="shared" si="7"/>
        <v>-600</v>
      </c>
      <c r="H74" s="91" t="str">
        <f t="shared" si="8"/>
        <v>(-) de moins sur ce compte épargne</v>
      </c>
      <c r="I74" s="201">
        <f t="shared" si="9"/>
        <v>6332</v>
      </c>
      <c r="J74" s="814"/>
      <c r="K74" s="814"/>
      <c r="L74" s="814"/>
      <c r="M74" s="814"/>
    </row>
    <row r="75" spans="2:13">
      <c r="B75" s="177">
        <f t="shared" si="10"/>
        <v>16</v>
      </c>
      <c r="C75" s="197" t="str">
        <f>IF('Menu 2'!E39="","",'Menu 2'!E39)</f>
        <v/>
      </c>
      <c r="E75" s="198">
        <f t="shared" si="11"/>
        <v>1600</v>
      </c>
      <c r="F75" s="199">
        <f t="shared" si="12"/>
        <v>2200</v>
      </c>
      <c r="G75" s="200">
        <f t="shared" si="7"/>
        <v>-600</v>
      </c>
      <c r="H75" s="91" t="str">
        <f t="shared" si="8"/>
        <v>(-) de moins sur ce compte épargne</v>
      </c>
      <c r="I75" s="201">
        <f t="shared" si="9"/>
        <v>6332</v>
      </c>
    </row>
    <row r="76" spans="2:13">
      <c r="B76" s="177">
        <f t="shared" si="10"/>
        <v>17</v>
      </c>
      <c r="C76" s="197" t="str">
        <f>IF('Menu 2'!E40="","",'Menu 2'!E40)</f>
        <v/>
      </c>
      <c r="E76" s="198">
        <f t="shared" si="11"/>
        <v>1600</v>
      </c>
      <c r="F76" s="199">
        <f t="shared" si="12"/>
        <v>2200</v>
      </c>
      <c r="G76" s="200">
        <f t="shared" si="7"/>
        <v>-600</v>
      </c>
      <c r="H76" s="91" t="str">
        <f t="shared" si="8"/>
        <v>(-) de moins sur ce compte épargne</v>
      </c>
      <c r="I76" s="201">
        <f t="shared" si="9"/>
        <v>6332</v>
      </c>
    </row>
    <row r="77" spans="2:13">
      <c r="B77" s="177">
        <f t="shared" si="10"/>
        <v>18</v>
      </c>
      <c r="C77" s="197" t="str">
        <f>IF('Menu 2'!E41="","",'Menu 2'!E41)</f>
        <v/>
      </c>
      <c r="E77" s="198">
        <f t="shared" si="11"/>
        <v>1600</v>
      </c>
      <c r="F77" s="199">
        <f t="shared" si="12"/>
        <v>2200</v>
      </c>
      <c r="G77" s="200">
        <f t="shared" si="7"/>
        <v>-600</v>
      </c>
      <c r="H77" s="91" t="str">
        <f t="shared" si="8"/>
        <v>(-) de moins sur ce compte épargne</v>
      </c>
      <c r="I77" s="201">
        <f t="shared" si="9"/>
        <v>6332</v>
      </c>
    </row>
    <row r="78" spans="2:13">
      <c r="B78" s="177">
        <f t="shared" si="10"/>
        <v>19</v>
      </c>
      <c r="C78" s="197" t="str">
        <f>IF('Menu 2'!E42="","",'Menu 2'!E42)</f>
        <v/>
      </c>
      <c r="E78" s="198">
        <f t="shared" si="11"/>
        <v>1600</v>
      </c>
      <c r="F78" s="199">
        <f t="shared" si="12"/>
        <v>2200</v>
      </c>
      <c r="G78" s="200">
        <f t="shared" si="7"/>
        <v>-600</v>
      </c>
      <c r="H78" s="91" t="str">
        <f t="shared" si="8"/>
        <v>(-) de moins sur ce compte épargne</v>
      </c>
      <c r="I78" s="201">
        <f t="shared" si="9"/>
        <v>6332</v>
      </c>
    </row>
    <row r="79" spans="2:13">
      <c r="B79" s="177">
        <f t="shared" si="10"/>
        <v>20</v>
      </c>
      <c r="C79" s="197" t="str">
        <f>IF('Menu 2'!E43="","",'Menu 2'!E43)</f>
        <v/>
      </c>
      <c r="E79" s="198">
        <f t="shared" si="11"/>
        <v>1600</v>
      </c>
      <c r="F79" s="199">
        <f t="shared" si="12"/>
        <v>2200</v>
      </c>
      <c r="G79" s="200">
        <f t="shared" si="7"/>
        <v>-600</v>
      </c>
      <c r="H79" s="91" t="str">
        <f t="shared" si="8"/>
        <v>(-) de moins sur ce compte épargne</v>
      </c>
      <c r="I79" s="201">
        <f t="shared" si="9"/>
        <v>6332</v>
      </c>
    </row>
    <row r="80" spans="2:13">
      <c r="B80" s="177">
        <f t="shared" si="10"/>
        <v>21</v>
      </c>
      <c r="C80" s="197" t="str">
        <f>IF('Menu 2'!E44="","",'Menu 2'!E44)</f>
        <v/>
      </c>
      <c r="E80" s="198">
        <f t="shared" si="11"/>
        <v>1600</v>
      </c>
      <c r="F80" s="199">
        <f t="shared" si="12"/>
        <v>2200</v>
      </c>
      <c r="G80" s="200">
        <f t="shared" si="7"/>
        <v>-600</v>
      </c>
      <c r="H80" s="91" t="str">
        <f t="shared" si="8"/>
        <v>(-) de moins sur ce compte épargne</v>
      </c>
      <c r="I80" s="201">
        <f t="shared" si="9"/>
        <v>6332</v>
      </c>
    </row>
    <row r="81" spans="2:13">
      <c r="B81" s="177">
        <f t="shared" si="10"/>
        <v>22</v>
      </c>
      <c r="C81" s="197" t="str">
        <f>IF('Menu 2'!E45="","",'Menu 2'!E45)</f>
        <v/>
      </c>
      <c r="E81" s="198">
        <f t="shared" si="11"/>
        <v>1600</v>
      </c>
      <c r="F81" s="199">
        <f t="shared" si="12"/>
        <v>2200</v>
      </c>
      <c r="G81" s="200">
        <f t="shared" si="7"/>
        <v>-600</v>
      </c>
      <c r="H81" s="91" t="str">
        <f t="shared" si="8"/>
        <v>(-) de moins sur ce compte épargne</v>
      </c>
      <c r="I81" s="201">
        <f t="shared" si="9"/>
        <v>6332</v>
      </c>
    </row>
    <row r="82" spans="2:13">
      <c r="B82" s="177">
        <f t="shared" si="10"/>
        <v>23</v>
      </c>
      <c r="C82" s="197" t="str">
        <f>IF('Menu 2'!E46="","",'Menu 2'!E46)</f>
        <v/>
      </c>
      <c r="E82" s="198">
        <f t="shared" si="11"/>
        <v>1600</v>
      </c>
      <c r="F82" s="199">
        <f t="shared" si="12"/>
        <v>2200</v>
      </c>
      <c r="G82" s="200">
        <f t="shared" si="7"/>
        <v>-600</v>
      </c>
      <c r="H82" s="91" t="str">
        <f t="shared" si="8"/>
        <v>(-) de moins sur ce compte épargne</v>
      </c>
      <c r="I82" s="201">
        <f t="shared" si="9"/>
        <v>6332</v>
      </c>
    </row>
    <row r="83" spans="2:13">
      <c r="B83" s="177">
        <f t="shared" si="10"/>
        <v>24</v>
      </c>
      <c r="C83" s="197" t="str">
        <f>IF('Menu 2'!E47="","",'Menu 2'!E47)</f>
        <v/>
      </c>
      <c r="E83" s="198">
        <f t="shared" si="11"/>
        <v>1600</v>
      </c>
      <c r="F83" s="199">
        <f t="shared" si="12"/>
        <v>2200</v>
      </c>
      <c r="G83" s="200">
        <f t="shared" si="7"/>
        <v>-600</v>
      </c>
      <c r="H83" s="91" t="str">
        <f t="shared" si="8"/>
        <v>(-) de moins sur ce compte épargne</v>
      </c>
      <c r="I83" s="201">
        <f t="shared" si="9"/>
        <v>6332</v>
      </c>
    </row>
    <row r="84" spans="2:13">
      <c r="B84" s="177">
        <f t="shared" si="10"/>
        <v>25</v>
      </c>
      <c r="C84" s="197" t="str">
        <f>IF('Menu 2'!E48="","",'Menu 2'!E48)</f>
        <v/>
      </c>
      <c r="E84" s="198">
        <f t="shared" si="11"/>
        <v>1600</v>
      </c>
      <c r="F84" s="199">
        <f t="shared" si="12"/>
        <v>2200</v>
      </c>
      <c r="G84" s="200">
        <f t="shared" si="7"/>
        <v>-600</v>
      </c>
      <c r="H84" s="91" t="str">
        <f t="shared" si="8"/>
        <v>(-) de moins sur ce compte épargne</v>
      </c>
      <c r="I84" s="201">
        <f t="shared" si="9"/>
        <v>6332</v>
      </c>
    </row>
    <row r="85" spans="2:13">
      <c r="B85" s="177">
        <f t="shared" si="10"/>
        <v>26</v>
      </c>
      <c r="C85" s="197" t="str">
        <f>IF('Menu 2'!E49="","",'Menu 2'!E49)</f>
        <v/>
      </c>
      <c r="E85" s="198">
        <f t="shared" si="11"/>
        <v>1600</v>
      </c>
      <c r="F85" s="199">
        <f t="shared" si="12"/>
        <v>2200</v>
      </c>
      <c r="G85" s="200">
        <f t="shared" si="7"/>
        <v>-600</v>
      </c>
      <c r="H85" s="91" t="str">
        <f t="shared" si="8"/>
        <v>(-) de moins sur ce compte épargne</v>
      </c>
      <c r="I85" s="201">
        <f t="shared" si="9"/>
        <v>6332</v>
      </c>
    </row>
    <row r="86" spans="2:13">
      <c r="B86" s="177">
        <f t="shared" si="10"/>
        <v>27</v>
      </c>
      <c r="C86" s="197" t="str">
        <f>IF('Menu 2'!E50="","",'Menu 2'!E50)</f>
        <v/>
      </c>
      <c r="E86" s="198">
        <f t="shared" si="11"/>
        <v>1600</v>
      </c>
      <c r="F86" s="199">
        <f t="shared" si="12"/>
        <v>2200</v>
      </c>
      <c r="G86" s="200">
        <f t="shared" si="7"/>
        <v>-600</v>
      </c>
      <c r="H86" s="91" t="str">
        <f t="shared" si="8"/>
        <v>(-) de moins sur ce compte épargne</v>
      </c>
      <c r="I86" s="201">
        <f t="shared" si="9"/>
        <v>6332</v>
      </c>
    </row>
    <row r="87" spans="2:13">
      <c r="B87" s="177">
        <f t="shared" si="10"/>
        <v>28</v>
      </c>
      <c r="C87" s="197" t="str">
        <f>IF('Menu 2'!E51="","",'Menu 2'!E51)</f>
        <v/>
      </c>
      <c r="E87" s="198">
        <f t="shared" si="11"/>
        <v>1600</v>
      </c>
      <c r="F87" s="199">
        <f t="shared" si="12"/>
        <v>2200</v>
      </c>
      <c r="G87" s="200">
        <f t="shared" si="7"/>
        <v>-600</v>
      </c>
      <c r="H87" s="91" t="str">
        <f t="shared" si="8"/>
        <v>(-) de moins sur ce compte épargne</v>
      </c>
      <c r="I87" s="201">
        <f t="shared" si="9"/>
        <v>6332</v>
      </c>
    </row>
    <row r="88" spans="2:13">
      <c r="B88" s="177">
        <f t="shared" si="10"/>
        <v>29</v>
      </c>
      <c r="C88" s="197" t="str">
        <f>IF('Menu 2'!E52="","",'Menu 2'!E52)</f>
        <v/>
      </c>
      <c r="E88" s="198">
        <f t="shared" si="11"/>
        <v>1600</v>
      </c>
      <c r="F88" s="199">
        <f t="shared" si="12"/>
        <v>2200</v>
      </c>
      <c r="G88" s="200">
        <f t="shared" si="7"/>
        <v>-600</v>
      </c>
      <c r="H88" s="91" t="str">
        <f t="shared" si="8"/>
        <v>(-) de moins sur ce compte épargne</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206109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AzSXKJ5+7OJplGfHtt7YYvA2wchQyo53VHMwaIfSfn4GDaqPcTROPr4JzZoubxAwFlIkvlgrf+sXC/lkYBt4QA==" saltValue="iCuXb0Zk1kEHdDt2Bm769w=="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79" priority="19" operator="equal">
      <formula>0</formula>
    </cfRule>
    <cfRule type="cellIs" dxfId="78" priority="20" operator="lessThan">
      <formula>0</formula>
    </cfRule>
    <cfRule type="cellIs" dxfId="77" priority="21" operator="greaterThan">
      <formula>0</formula>
    </cfRule>
  </conditionalFormatting>
  <conditionalFormatting sqref="G60:G89">
    <cfRule type="cellIs" dxfId="76" priority="5" operator="equal">
      <formula>0</formula>
    </cfRule>
    <cfRule type="cellIs" dxfId="75" priority="6" operator="lessThan">
      <formula>0</formula>
    </cfRule>
    <cfRule type="cellIs" dxfId="74" priority="7" operator="greaterThan">
      <formula>0</formula>
    </cfRule>
  </conditionalFormatting>
  <conditionalFormatting sqref="H8:H51">
    <cfRule type="cellIs" dxfId="73" priority="17" operator="equal">
      <formula>"(-) de moins sur le compte épargne"</formula>
    </cfRule>
    <cfRule type="cellIs" dxfId="72" priority="18" operator="equal">
      <formula>"(+) à ajouter sur le compte épargne"</formula>
    </cfRule>
  </conditionalFormatting>
  <conditionalFormatting sqref="H60:H89">
    <cfRule type="cellIs" dxfId="71" priority="1" operator="equal">
      <formula>"(-) de moins sur ce compte épargne"</formula>
    </cfRule>
    <cfRule type="cellIs" dxfId="70" priority="2" operator="equal">
      <formula>"(+) à ajouter sur ce compte épargne"</formula>
    </cfRule>
  </conditionalFormatting>
  <hyperlinks>
    <hyperlink ref="A2:A4" location="'Budget Gold'!A1" tooltip="Retour au tableau Budget Gold" display="Retour au Budget" xr:uid="{00000000-0004-0000-0F00-000000000000}"/>
    <hyperlink ref="A56" location="'Budget Gold'!A1" display="Retour au budget" xr:uid="{00000000-0004-0000-0F00-000001000000}"/>
    <hyperlink ref="A56:A58" location="'Budget Gold'!A1" tooltip="Retour au tableau Budget Gold" display="Retour au Budget" xr:uid="{00000000-0004-0000-0F00-000002000000}"/>
    <hyperlink ref="A2" location="'Budget Gold'!A1" tooltip="Retour au tableau Budget Gold" display="Retour au Budget" xr:uid="{00000000-0004-0000-0F00-000003000000}"/>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561"/>
  <sheetViews>
    <sheetView workbookViewId="0"/>
  </sheetViews>
  <sheetFormatPr baseColWidth="10" defaultColWidth="11.33203125" defaultRowHeight="13"/>
  <cols>
    <col min="1" max="1" width="19.6640625" style="1" customWidth="1"/>
    <col min="2" max="2" width="56.1640625"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Gold'!X7</f>
        <v>46334</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Gold'!X7</f>
        <v>46334</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Gold'!Y54</f>
        <v>250</v>
      </c>
      <c r="F8" s="193">
        <f>'Budget Gold'!Y55</f>
        <v>0</v>
      </c>
      <c r="G8" s="194">
        <f>E8-F8</f>
        <v>250</v>
      </c>
      <c r="H8" s="6" t="str">
        <f>IF(G8&gt;0,"(+) à ajouter sur le compte épargne",IF(G8=0,"--- rien à faire ---","(-) de moins sur le compte épargne"))</f>
        <v>(+) à ajouter sur le compte épargne</v>
      </c>
      <c r="I8" s="195">
        <f>'Budget Gold'!X56</f>
        <v>41030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Gold'!Y57</f>
        <v>200</v>
      </c>
      <c r="F9" s="193">
        <f>'Budget Gold'!Y58</f>
        <v>0</v>
      </c>
      <c r="G9" s="194">
        <f t="shared" ref="G9:G43" si="0">E9-F9</f>
        <v>200</v>
      </c>
      <c r="H9" s="6" t="str">
        <f t="shared" ref="H9:H43" si="1">IF(G9&gt;0,"(+) à ajouter sur le compte épargne",IF(G9=0,"--- rien à faire ---","(-) de moins sur le compte épargne"))</f>
        <v>(+) à ajouter sur le compte épargne</v>
      </c>
      <c r="I9" s="195">
        <f>'Budget Gold'!X59</f>
        <v>3511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Gold'!Y60</f>
        <v>0</v>
      </c>
      <c r="F10" s="193">
        <f>'Budget Gold'!Y61</f>
        <v>0</v>
      </c>
      <c r="G10" s="194">
        <f t="shared" si="0"/>
        <v>0</v>
      </c>
      <c r="H10" s="6" t="str">
        <f t="shared" si="1"/>
        <v>--- rien à faire ---</v>
      </c>
      <c r="I10" s="195">
        <f>'Budget Gold'!X62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Gold'!Y63</f>
        <v>0</v>
      </c>
      <c r="F11" s="193">
        <f>'Budget Gold'!Y64</f>
        <v>0</v>
      </c>
      <c r="G11" s="194">
        <f t="shared" si="0"/>
        <v>0</v>
      </c>
      <c r="H11" s="6" t="str">
        <f t="shared" si="1"/>
        <v>--- rien à faire ---</v>
      </c>
      <c r="I11" s="195">
        <f>'Budget Gold'!X65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Gold'!Y66</f>
        <v>0</v>
      </c>
      <c r="F12" s="193">
        <f>'Budget Gold'!Y67</f>
        <v>0</v>
      </c>
      <c r="G12" s="194">
        <f t="shared" si="0"/>
        <v>0</v>
      </c>
      <c r="H12" s="6" t="str">
        <f t="shared" si="1"/>
        <v>--- rien à faire ---</v>
      </c>
      <c r="I12" s="195">
        <f>'Budget Gold'!X68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Gold'!Y69</f>
        <v>0</v>
      </c>
      <c r="F13" s="193">
        <f>'Budget Gold'!Y70</f>
        <v>0</v>
      </c>
      <c r="G13" s="194">
        <f t="shared" si="0"/>
        <v>0</v>
      </c>
      <c r="H13" s="6" t="str">
        <f t="shared" si="1"/>
        <v>--- rien à faire ---</v>
      </c>
      <c r="I13" s="195">
        <f>'Budget Gold'!X71</f>
        <v>8400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Gold'!Y72</f>
        <v>0</v>
      </c>
      <c r="F14" s="193">
        <f>'Budget Gold'!Y73</f>
        <v>0</v>
      </c>
      <c r="G14" s="194">
        <f t="shared" si="0"/>
        <v>0</v>
      </c>
      <c r="H14" s="6" t="str">
        <f t="shared" si="1"/>
        <v>--- rien à faire ---</v>
      </c>
      <c r="I14" s="195">
        <f>'Budget Gold'!X74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Gold'!Y75</f>
        <v>0</v>
      </c>
      <c r="F15" s="193">
        <f>'Budget Gold'!Y76</f>
        <v>0</v>
      </c>
      <c r="G15" s="194">
        <f t="shared" si="0"/>
        <v>0</v>
      </c>
      <c r="H15" s="6" t="str">
        <f t="shared" si="1"/>
        <v>--- rien à faire ---</v>
      </c>
      <c r="I15" s="195">
        <f>'Budget Gold'!X77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Gold'!Y78</f>
        <v>0</v>
      </c>
      <c r="F16" s="193">
        <f>'Budget Gold'!Y79</f>
        <v>0</v>
      </c>
      <c r="G16" s="194">
        <f t="shared" si="0"/>
        <v>0</v>
      </c>
      <c r="H16" s="6" t="str">
        <f t="shared" si="1"/>
        <v>--- rien à faire ---</v>
      </c>
      <c r="I16" s="195">
        <f>'Budget Gold'!X80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Gold'!Y81</f>
        <v>0</v>
      </c>
      <c r="F17" s="193">
        <f>'Budget Gold'!Y82</f>
        <v>0</v>
      </c>
      <c r="G17" s="194">
        <f t="shared" si="0"/>
        <v>0</v>
      </c>
      <c r="H17" s="6" t="str">
        <f t="shared" si="1"/>
        <v>--- rien à faire ---</v>
      </c>
      <c r="I17" s="195">
        <f>'Budget Gold'!X83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Gold'!Y84</f>
        <v>0</v>
      </c>
      <c r="F18" s="193">
        <f>'Budget Gold'!Y85</f>
        <v>0</v>
      </c>
      <c r="G18" s="194">
        <f t="shared" si="0"/>
        <v>0</v>
      </c>
      <c r="H18" s="6" t="str">
        <f t="shared" si="1"/>
        <v>--- rien à faire ---</v>
      </c>
      <c r="I18" s="195">
        <f>'Budget Gold'!X86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Gold'!Y87</f>
        <v>0</v>
      </c>
      <c r="F19" s="193">
        <f>'Budget Gold'!Y88</f>
        <v>0</v>
      </c>
      <c r="G19" s="194">
        <f t="shared" si="0"/>
        <v>0</v>
      </c>
      <c r="H19" s="6" t="str">
        <f t="shared" si="1"/>
        <v>--- rien à faire ---</v>
      </c>
      <c r="I19" s="195">
        <f>'Budget Gold'!X89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Gold'!Y90</f>
        <v>0</v>
      </c>
      <c r="F20" s="193">
        <f>'Budget Gold'!Y91</f>
        <v>0</v>
      </c>
      <c r="G20" s="194">
        <f t="shared" si="0"/>
        <v>0</v>
      </c>
      <c r="H20" s="6" t="str">
        <f t="shared" si="1"/>
        <v>--- rien à faire ---</v>
      </c>
      <c r="I20" s="195">
        <f>'Budget Gold'!X92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Gold'!Y93</f>
        <v>0</v>
      </c>
      <c r="F21" s="193">
        <f>'Budget Gold'!Y94</f>
        <v>0</v>
      </c>
      <c r="G21" s="194">
        <f t="shared" si="0"/>
        <v>0</v>
      </c>
      <c r="H21" s="6" t="str">
        <f t="shared" si="1"/>
        <v>--- rien à faire ---</v>
      </c>
      <c r="I21" s="195">
        <f>'Budget Gold'!X95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Gold'!Y96</f>
        <v>0</v>
      </c>
      <c r="F22" s="193">
        <f>'Budget Gold'!Y97</f>
        <v>0</v>
      </c>
      <c r="G22" s="194">
        <f t="shared" si="0"/>
        <v>0</v>
      </c>
      <c r="H22" s="6" t="str">
        <f t="shared" si="1"/>
        <v>--- rien à faire ---</v>
      </c>
      <c r="I22" s="195">
        <f>'Budget Gold'!X98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Gold'!Y99</f>
        <v>0</v>
      </c>
      <c r="F23" s="193">
        <f>'Budget Gold'!Y100</f>
        <v>0</v>
      </c>
      <c r="G23" s="194">
        <f t="shared" si="0"/>
        <v>0</v>
      </c>
      <c r="H23" s="6" t="str">
        <f t="shared" si="1"/>
        <v>--- rien à faire ---</v>
      </c>
      <c r="I23" s="195">
        <f>'Budget Gold'!X101</f>
        <v>0</v>
      </c>
    </row>
    <row r="24" spans="1:13">
      <c r="A24" s="177">
        <f t="shared" si="2"/>
        <v>17</v>
      </c>
      <c r="B24" s="191" t="str">
        <f>IF('Budget Gold'!E102="Indiquer le nom du projet à financer","",'Budget Gold'!E102)</f>
        <v/>
      </c>
      <c r="C24" s="6" t="str">
        <f>IF('Budget Gold'!E104="- compte d'épargne à saisir -","",'Budget Gold'!E104)</f>
        <v/>
      </c>
      <c r="D24" s="156"/>
      <c r="E24" s="192">
        <f>'Budget Gold'!Y102</f>
        <v>0</v>
      </c>
      <c r="F24" s="193">
        <f>'Budget Gold'!Y103</f>
        <v>0</v>
      </c>
      <c r="G24" s="194">
        <f t="shared" ref="G24:G31" si="3">E24-F24</f>
        <v>0</v>
      </c>
      <c r="H24" s="6" t="str">
        <f t="shared" ref="H24:H30" si="4">IF(G24&gt;0,"(+) à ajouter sur le compte épargne",IF(G24=0,"--- rien à faire ---","(-) de moins sur le compte épargne"))</f>
        <v>--- rien à faire ---</v>
      </c>
      <c r="I24" s="195">
        <f>'Budget Gold'!X104</f>
        <v>0</v>
      </c>
    </row>
    <row r="25" spans="1:13">
      <c r="A25" s="177">
        <f t="shared" si="2"/>
        <v>18</v>
      </c>
      <c r="B25" s="191" t="str">
        <f>IF('Budget Gold'!E105="Indiquer le nom du projet à financer","",'Budget Gold'!E105)</f>
        <v/>
      </c>
      <c r="C25" s="6" t="str">
        <f>IF('Budget Gold'!E107="- compte d'épargne à saisir -","",'Budget Gold'!E107)</f>
        <v/>
      </c>
      <c r="D25" s="156"/>
      <c r="E25" s="192">
        <f>'Budget Gold'!Y105</f>
        <v>0</v>
      </c>
      <c r="F25" s="193">
        <f>'Budget Gold'!Y106</f>
        <v>0</v>
      </c>
      <c r="G25" s="194">
        <f t="shared" si="3"/>
        <v>0</v>
      </c>
      <c r="H25" s="6" t="str">
        <f t="shared" si="4"/>
        <v>--- rien à faire ---</v>
      </c>
      <c r="I25" s="195">
        <f>'Budget Gold'!X107</f>
        <v>0</v>
      </c>
    </row>
    <row r="26" spans="1:13">
      <c r="A26" s="177">
        <f t="shared" si="2"/>
        <v>19</v>
      </c>
      <c r="B26" s="191" t="str">
        <f>IF('Budget Gold'!E108="Indiquer le nom du projet à financer","",'Budget Gold'!E108)</f>
        <v/>
      </c>
      <c r="C26" s="6" t="str">
        <f>IF('Budget Gold'!E110="- compte d'épargne à saisir -","",'Budget Gold'!E110)</f>
        <v/>
      </c>
      <c r="D26" s="156"/>
      <c r="E26" s="192">
        <f>'Budget Gold'!Y108</f>
        <v>0</v>
      </c>
      <c r="F26" s="193">
        <f>'Budget Gold'!Y109</f>
        <v>0</v>
      </c>
      <c r="G26" s="194">
        <f t="shared" si="3"/>
        <v>0</v>
      </c>
      <c r="H26" s="6" t="str">
        <f t="shared" si="4"/>
        <v>--- rien à faire ---</v>
      </c>
      <c r="I26" s="195">
        <f>'Budget Gold'!X110</f>
        <v>0</v>
      </c>
    </row>
    <row r="27" spans="1:13">
      <c r="A27" s="177">
        <f t="shared" si="2"/>
        <v>20</v>
      </c>
      <c r="B27" s="191" t="str">
        <f>IF('Budget Gold'!E111="Indiquer le nom du projet à financer","",'Budget Gold'!E111)</f>
        <v/>
      </c>
      <c r="C27" s="6" t="str">
        <f>IF('Budget Gold'!E113="- compte d'épargne à saisir -","",'Budget Gold'!E113)</f>
        <v/>
      </c>
      <c r="D27" s="156"/>
      <c r="E27" s="192">
        <f>'Budget Gold'!Y111</f>
        <v>0</v>
      </c>
      <c r="F27" s="193">
        <f>'Budget Gold'!Y112</f>
        <v>0</v>
      </c>
      <c r="G27" s="194">
        <f t="shared" si="3"/>
        <v>0</v>
      </c>
      <c r="H27" s="6" t="str">
        <f t="shared" si="4"/>
        <v>--- rien à faire ---</v>
      </c>
      <c r="I27" s="195">
        <f>'Budget Gold'!X113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Gold'!Y114</f>
        <v>0</v>
      </c>
      <c r="F28" s="193">
        <f>'Budget Gold'!Y115</f>
        <v>0</v>
      </c>
      <c r="G28" s="194">
        <f t="shared" si="3"/>
        <v>0</v>
      </c>
      <c r="H28" s="6" t="str">
        <f t="shared" si="4"/>
        <v>--- rien à faire ---</v>
      </c>
      <c r="I28" s="195">
        <f>'Budget Gold'!X116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Gold'!Y117</f>
        <v>0</v>
      </c>
      <c r="F29" s="193">
        <f>'Budget Gold'!Y118</f>
        <v>0</v>
      </c>
      <c r="G29" s="194">
        <f t="shared" si="3"/>
        <v>0</v>
      </c>
      <c r="H29" s="6" t="str">
        <f t="shared" si="4"/>
        <v>--- rien à faire ---</v>
      </c>
      <c r="I29" s="195">
        <f>'Budget Gold'!X119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Gold'!Y120</f>
        <v>0</v>
      </c>
      <c r="F30" s="193">
        <f>'Budget Gold'!Y121</f>
        <v>0</v>
      </c>
      <c r="G30" s="194">
        <f t="shared" si="3"/>
        <v>0</v>
      </c>
      <c r="H30" s="6" t="str">
        <f t="shared" si="4"/>
        <v>--- rien à faire ---</v>
      </c>
      <c r="I30" s="195">
        <f>'Budget Gold'!X122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Gold'!Y123</f>
        <v>0</v>
      </c>
      <c r="F31" s="193">
        <f>'Budget Gold'!Y124</f>
        <v>0</v>
      </c>
      <c r="G31" s="194">
        <f t="shared" si="3"/>
        <v>0</v>
      </c>
      <c r="H31" s="6" t="str">
        <f>IF(G31&gt;0,"(+) à ajouter sur le compte épargne",IF(G31=0,"--- rien à faire ---","(-) de moins sur le compte épargne"))</f>
        <v>--- rien à faire ---</v>
      </c>
      <c r="I31" s="195">
        <f>'Budget Gold'!X125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Gold'!Y160</f>
        <v>0</v>
      </c>
      <c r="F32" s="193">
        <f>'Budget Gold'!Y161</f>
        <v>0</v>
      </c>
      <c r="G32" s="194">
        <f t="shared" si="0"/>
        <v>0</v>
      </c>
      <c r="H32" s="6" t="str">
        <f t="shared" si="1"/>
        <v>--- rien à faire ---</v>
      </c>
      <c r="I32" s="195">
        <f>'Budget Gold'!X162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Gold'!Y163</f>
        <v>0</v>
      </c>
      <c r="F33" s="193">
        <f>'Budget Gold'!Y164</f>
        <v>0</v>
      </c>
      <c r="G33" s="194">
        <f t="shared" si="0"/>
        <v>0</v>
      </c>
      <c r="H33" s="6" t="str">
        <f t="shared" si="1"/>
        <v>--- rien à faire ---</v>
      </c>
      <c r="I33" s="195">
        <f>'Budget Gold'!X165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Gold'!Y166</f>
        <v>0</v>
      </c>
      <c r="F34" s="193">
        <f>'Budget Gold'!Y167</f>
        <v>0</v>
      </c>
      <c r="G34" s="194">
        <f t="shared" si="0"/>
        <v>0</v>
      </c>
      <c r="H34" s="6" t="str">
        <f t="shared" si="1"/>
        <v>--- rien à faire ---</v>
      </c>
      <c r="I34" s="195">
        <f>'Budget Gold'!X168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Gold'!Y169</f>
        <v>0</v>
      </c>
      <c r="F35" s="193">
        <f>'Budget Gold'!Y170</f>
        <v>0</v>
      </c>
      <c r="G35" s="194">
        <f t="shared" si="0"/>
        <v>0</v>
      </c>
      <c r="H35" s="6" t="str">
        <f t="shared" si="1"/>
        <v>--- rien à faire ---</v>
      </c>
      <c r="I35" s="195">
        <f>'Budget Gold'!X171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Gold'!Y172</f>
        <v>0</v>
      </c>
      <c r="F36" s="193">
        <f>'Budget Gold'!Y173</f>
        <v>0</v>
      </c>
      <c r="G36" s="194">
        <f t="shared" si="0"/>
        <v>0</v>
      </c>
      <c r="H36" s="6" t="str">
        <f t="shared" si="1"/>
        <v>--- rien à faire ---</v>
      </c>
      <c r="I36" s="195">
        <f>'Budget Gold'!X174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Gold'!Y175</f>
        <v>0</v>
      </c>
      <c r="F37" s="193">
        <f>'Budget Gold'!Y176</f>
        <v>0</v>
      </c>
      <c r="G37" s="194">
        <f t="shared" si="0"/>
        <v>0</v>
      </c>
      <c r="H37" s="6" t="str">
        <f t="shared" si="1"/>
        <v>--- rien à faire ---</v>
      </c>
      <c r="I37" s="195">
        <f>'Budget Gold'!X177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Gold'!Y178</f>
        <v>0</v>
      </c>
      <c r="F38" s="193">
        <f>'Budget Gold'!Y179</f>
        <v>0</v>
      </c>
      <c r="G38" s="194">
        <f t="shared" si="0"/>
        <v>0</v>
      </c>
      <c r="H38" s="6" t="str">
        <f t="shared" si="1"/>
        <v>--- rien à faire ---</v>
      </c>
      <c r="I38" s="195">
        <f>'Budget Gold'!X180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Gold'!Y181</f>
        <v>200</v>
      </c>
      <c r="F39" s="193">
        <f>'Budget Gold'!Y182</f>
        <v>200</v>
      </c>
      <c r="G39" s="194">
        <f t="shared" si="0"/>
        <v>0</v>
      </c>
      <c r="H39" s="6" t="str">
        <f t="shared" si="1"/>
        <v>--- rien à faire ---</v>
      </c>
      <c r="I39" s="195">
        <f>'Budget Gold'!X183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Gold'!Y184</f>
        <v>0</v>
      </c>
      <c r="F40" s="193">
        <f>'Budget Gold'!Y185</f>
        <v>0</v>
      </c>
      <c r="G40" s="194">
        <f t="shared" si="0"/>
        <v>0</v>
      </c>
      <c r="H40" s="6" t="str">
        <f t="shared" si="1"/>
        <v>--- rien à faire ---</v>
      </c>
      <c r="I40" s="195">
        <f>'Budget Gold'!X186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Gold'!Y187</f>
        <v>0</v>
      </c>
      <c r="F41" s="193">
        <f>'Budget Gold'!Y188</f>
        <v>0</v>
      </c>
      <c r="G41" s="194">
        <f t="shared" si="0"/>
        <v>0</v>
      </c>
      <c r="H41" s="6" t="str">
        <f t="shared" si="1"/>
        <v>--- rien à faire ---</v>
      </c>
      <c r="I41" s="195">
        <f>'Budget Gold'!X189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Gold'!Y190</f>
        <v>0</v>
      </c>
      <c r="F42" s="193">
        <f>'Budget Gold'!Y191</f>
        <v>0</v>
      </c>
      <c r="G42" s="194">
        <f t="shared" si="0"/>
        <v>0</v>
      </c>
      <c r="H42" s="6" t="str">
        <f t="shared" si="1"/>
        <v>--- rien à faire ---</v>
      </c>
      <c r="I42" s="195">
        <f>'Budget Gold'!X192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Gold'!Y193</f>
        <v>0</v>
      </c>
      <c r="F43" s="193">
        <f>'Budget Gold'!Y194</f>
        <v>0</v>
      </c>
      <c r="G43" s="194">
        <f t="shared" si="0"/>
        <v>0</v>
      </c>
      <c r="H43" s="6" t="str">
        <f t="shared" si="1"/>
        <v>--- rien à faire ---</v>
      </c>
      <c r="I43" s="195">
        <f>'Budget Gold'!X195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Gold'!Y196</f>
        <v>0</v>
      </c>
      <c r="F44" s="193">
        <f>'Budget Gold'!Y197</f>
        <v>0</v>
      </c>
      <c r="G44" s="194">
        <f t="shared" ref="G44:G51" si="5">E44-F44</f>
        <v>0</v>
      </c>
      <c r="H44" s="6" t="str">
        <f t="shared" ref="H44:H51" si="6">IF(G44&gt;0,"(+) à ajouter sur le compte épargne",IF(G44=0,"--- rien à faire ---","(-) de moins sur le compte épargne"))</f>
        <v>--- rien à faire ---</v>
      </c>
      <c r="I44" s="195">
        <f>'Budget Gold'!X198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Gold'!Y199</f>
        <v>0</v>
      </c>
      <c r="F45" s="193">
        <f>'Budget Gold'!Y200</f>
        <v>0</v>
      </c>
      <c r="G45" s="194">
        <f t="shared" si="5"/>
        <v>0</v>
      </c>
      <c r="H45" s="6" t="str">
        <f t="shared" si="6"/>
        <v>--- rien à faire ---</v>
      </c>
      <c r="I45" s="195">
        <f>'Budget Gold'!X201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Gold'!Y202</f>
        <v>0</v>
      </c>
      <c r="F46" s="193">
        <f>'Budget Gold'!Y203</f>
        <v>0</v>
      </c>
      <c r="G46" s="194">
        <f t="shared" si="5"/>
        <v>0</v>
      </c>
      <c r="H46" s="6" t="str">
        <f t="shared" si="6"/>
        <v>--- rien à faire ---</v>
      </c>
      <c r="I46" s="195">
        <f>'Budget Gold'!X204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Gold'!Y205</f>
        <v>0</v>
      </c>
      <c r="F47" s="193">
        <f>'Budget Gold'!Y206</f>
        <v>0</v>
      </c>
      <c r="G47" s="194">
        <f t="shared" si="5"/>
        <v>0</v>
      </c>
      <c r="H47" s="6" t="str">
        <f t="shared" si="6"/>
        <v>--- rien à faire ---</v>
      </c>
      <c r="I47" s="195">
        <f>'Budget Gold'!X207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Gold'!Y208</f>
        <v>0</v>
      </c>
      <c r="F48" s="193">
        <f>'Budget Gold'!Y209</f>
        <v>0</v>
      </c>
      <c r="G48" s="194">
        <f t="shared" si="5"/>
        <v>0</v>
      </c>
      <c r="H48" s="6" t="str">
        <f t="shared" si="6"/>
        <v>--- rien à faire ---</v>
      </c>
      <c r="I48" s="195">
        <f>'Budget Gold'!X210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Gold'!Y211</f>
        <v>0</v>
      </c>
      <c r="F49" s="193">
        <f>'Budget Gold'!Y212</f>
        <v>0</v>
      </c>
      <c r="G49" s="194">
        <f t="shared" si="5"/>
        <v>0</v>
      </c>
      <c r="H49" s="6" t="str">
        <f t="shared" si="6"/>
        <v>--- rien à faire ---</v>
      </c>
      <c r="I49" s="195">
        <f>'Budget Gold'!X213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Gold'!Y214</f>
        <v>0</v>
      </c>
      <c r="F50" s="193">
        <f>'Budget Gold'!Y215</f>
        <v>0</v>
      </c>
      <c r="G50" s="194">
        <f t="shared" si="5"/>
        <v>0</v>
      </c>
      <c r="H50" s="6" t="str">
        <f t="shared" si="6"/>
        <v>--- rien à faire ---</v>
      </c>
      <c r="I50" s="195">
        <f>'Budget Gold'!X216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Gold'!Y217</f>
        <v>0</v>
      </c>
      <c r="F51" s="193">
        <f>'Budget Gold'!Y218</f>
        <v>0</v>
      </c>
      <c r="G51" s="194">
        <f t="shared" si="5"/>
        <v>0</v>
      </c>
      <c r="H51" s="6" t="str">
        <f t="shared" si="6"/>
        <v>--- rien à faire ---</v>
      </c>
      <c r="I51" s="195">
        <f>'Budget Gold'!X219</f>
        <v>0</v>
      </c>
    </row>
    <row r="52" spans="1:13" s="1" customFormat="1">
      <c r="A52" s="156"/>
      <c r="D52" s="156"/>
      <c r="J52" s="180"/>
      <c r="K52" s="180"/>
      <c r="L52" s="180"/>
      <c r="M52" s="180"/>
    </row>
    <row r="53" spans="1:13" s="1" customFormat="1" ht="16">
      <c r="A53" s="156"/>
      <c r="D53" s="156"/>
      <c r="H53" s="248" t="s">
        <v>568</v>
      </c>
      <c r="I53" s="398">
        <f>SUM(I6:I51)</f>
        <v>60923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Gold'!X7</f>
        <v>46334</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Gold'!X7</f>
        <v>46334</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0</v>
      </c>
      <c r="H60" s="91" t="str">
        <f>IF(G60&gt;0,"(+) à ajouter sur ce compte épargne",IF(G60=0,"--- le solde ne change pas ---","(-) de moins sur ce compte épargne"))</f>
        <v>--- le solde ne change pas ---</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10050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41030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3511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206559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ytHuZLw3d2VTzyynv6WfzUtp+RZLTKUi5sRR5v1pbMU83/JY2A5zk4HA1OWmriC8WPtLZGnlHi0deQlY7oab9w==" saltValue="t/KA+XjeTqHhkxDn2R5Jkw=="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69" priority="19" operator="equal">
      <formula>0</formula>
    </cfRule>
    <cfRule type="cellIs" dxfId="68" priority="20" operator="lessThan">
      <formula>0</formula>
    </cfRule>
    <cfRule type="cellIs" dxfId="67" priority="21" operator="greaterThan">
      <formula>0</formula>
    </cfRule>
  </conditionalFormatting>
  <conditionalFormatting sqref="G60:G89">
    <cfRule type="cellIs" dxfId="66" priority="5" operator="equal">
      <formula>0</formula>
    </cfRule>
    <cfRule type="cellIs" dxfId="65" priority="6" operator="lessThan">
      <formula>0</formula>
    </cfRule>
    <cfRule type="cellIs" dxfId="64" priority="7" operator="greaterThan">
      <formula>0</formula>
    </cfRule>
  </conditionalFormatting>
  <conditionalFormatting sqref="H8:H51">
    <cfRule type="cellIs" dxfId="63" priority="17" operator="equal">
      <formula>"(-) de moins sur le compte épargne"</formula>
    </cfRule>
    <cfRule type="cellIs" dxfId="62" priority="18" operator="equal">
      <formula>"(+) à ajouter sur le compte épargne"</formula>
    </cfRule>
  </conditionalFormatting>
  <conditionalFormatting sqref="H60:H89">
    <cfRule type="cellIs" dxfId="61" priority="1" operator="equal">
      <formula>"(-) de moins sur ce compte épargne"</formula>
    </cfRule>
    <cfRule type="cellIs" dxfId="60" priority="2" operator="equal">
      <formula>"(+) à ajouter sur ce compte épargne"</formula>
    </cfRule>
  </conditionalFormatting>
  <hyperlinks>
    <hyperlink ref="A2:A4" location="'Budget Gold'!A1" tooltip="Retour au tableau Budget Gold" display="Retour au Budget" xr:uid="{00000000-0004-0000-1000-000000000000}"/>
    <hyperlink ref="A56" location="'Budget Gold'!A1" display="Retour au budget" xr:uid="{00000000-0004-0000-1000-000001000000}"/>
    <hyperlink ref="A56:A58" location="'Budget Gold'!A1" tooltip="Retour au tableau Budget Gold" display="Retour au Budget" xr:uid="{00000000-0004-0000-1000-000002000000}"/>
    <hyperlink ref="A2" location="'Budget Gold'!A1" tooltip="Retour au tableau Budget Gold" display="Retour au Budget" xr:uid="{00000000-0004-0000-1000-000003000000}"/>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561"/>
  <sheetViews>
    <sheetView workbookViewId="0">
      <selection activeCell="J32" sqref="J32"/>
    </sheetView>
  </sheetViews>
  <sheetFormatPr baseColWidth="10" defaultColWidth="11.33203125" defaultRowHeight="13"/>
  <cols>
    <col min="1" max="1" width="19.6640625" style="1" customWidth="1"/>
    <col min="2" max="2" width="56.33203125"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Gold'!AA7</f>
        <v>46366</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Gold'!AA7</f>
        <v>46366</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Gold'!AB54</f>
        <v>250</v>
      </c>
      <c r="F8" s="193">
        <f>'Budget Gold'!AB55</f>
        <v>0</v>
      </c>
      <c r="G8" s="194">
        <f>E8-F8</f>
        <v>250</v>
      </c>
      <c r="H8" s="6" t="str">
        <f>IF(G8&gt;0,"(+) à ajouter sur le compte épargne",IF(G8=0,"--- rien à faire ---","(-) de moins sur le compte épargne"))</f>
        <v>(+) à ajouter sur le compte épargne</v>
      </c>
      <c r="I8" s="195">
        <f>'Budget Gold'!AA56</f>
        <v>41280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Gold'!AB57</f>
        <v>200</v>
      </c>
      <c r="F9" s="193">
        <f>'Budget Gold'!AB58</f>
        <v>0</v>
      </c>
      <c r="G9" s="194">
        <f t="shared" ref="G9:G43" si="0">E9-F9</f>
        <v>200</v>
      </c>
      <c r="H9" s="6" t="str">
        <f t="shared" ref="H9:H43" si="1">IF(G9&gt;0,"(+) à ajouter sur le compte épargne",IF(G9=0,"--- rien à faire ---","(-) de moins sur le compte épargne"))</f>
        <v>(+) à ajouter sur le compte épargne</v>
      </c>
      <c r="I9" s="195">
        <f>'Budget Gold'!AA59</f>
        <v>3711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Gold'!AB60</f>
        <v>0</v>
      </c>
      <c r="F10" s="193">
        <f>'Budget Gold'!AB61</f>
        <v>0</v>
      </c>
      <c r="G10" s="194">
        <f t="shared" si="0"/>
        <v>0</v>
      </c>
      <c r="H10" s="6" t="str">
        <f t="shared" si="1"/>
        <v>--- rien à faire ---</v>
      </c>
      <c r="I10" s="195">
        <f>'Budget Gold'!AA62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Gold'!AB63</f>
        <v>0</v>
      </c>
      <c r="F11" s="193">
        <f>'Budget Gold'!AB64</f>
        <v>0</v>
      </c>
      <c r="G11" s="194">
        <f t="shared" si="0"/>
        <v>0</v>
      </c>
      <c r="H11" s="6" t="str">
        <f t="shared" si="1"/>
        <v>--- rien à faire ---</v>
      </c>
      <c r="I11" s="195">
        <f>'Budget Gold'!AA65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Gold'!AB66</f>
        <v>0</v>
      </c>
      <c r="F12" s="193">
        <f>'Budget Gold'!AB67</f>
        <v>0</v>
      </c>
      <c r="G12" s="194">
        <f t="shared" si="0"/>
        <v>0</v>
      </c>
      <c r="H12" s="6" t="str">
        <f t="shared" si="1"/>
        <v>--- rien à faire ---</v>
      </c>
      <c r="I12" s="195">
        <f>'Budget Gold'!AA68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Gold'!AB69</f>
        <v>0</v>
      </c>
      <c r="F13" s="193">
        <f>'Budget Gold'!AB70</f>
        <v>10000</v>
      </c>
      <c r="G13" s="194">
        <f t="shared" si="0"/>
        <v>-10000</v>
      </c>
      <c r="H13" s="6" t="str">
        <f t="shared" si="1"/>
        <v>(-) de moins sur le compte épargne</v>
      </c>
      <c r="I13" s="195">
        <f>'Budget Gold'!AA71</f>
        <v>-1600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Gold'!AB72</f>
        <v>0</v>
      </c>
      <c r="F14" s="193">
        <f>'Budget Gold'!AB73</f>
        <v>0</v>
      </c>
      <c r="G14" s="194">
        <f t="shared" si="0"/>
        <v>0</v>
      </c>
      <c r="H14" s="6" t="str">
        <f t="shared" si="1"/>
        <v>--- rien à faire ---</v>
      </c>
      <c r="I14" s="195">
        <f>'Budget Gold'!AA74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Gold'!AB75</f>
        <v>0</v>
      </c>
      <c r="F15" s="193">
        <f>'Budget Gold'!AB76</f>
        <v>0</v>
      </c>
      <c r="G15" s="194">
        <f t="shared" si="0"/>
        <v>0</v>
      </c>
      <c r="H15" s="6" t="str">
        <f t="shared" si="1"/>
        <v>--- rien à faire ---</v>
      </c>
      <c r="I15" s="195">
        <f>'Budget Gold'!AA77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Gold'!AB78</f>
        <v>0</v>
      </c>
      <c r="F16" s="193">
        <f>'Budget Gold'!AB79</f>
        <v>0</v>
      </c>
      <c r="G16" s="194">
        <f t="shared" si="0"/>
        <v>0</v>
      </c>
      <c r="H16" s="6" t="str">
        <f t="shared" si="1"/>
        <v>--- rien à faire ---</v>
      </c>
      <c r="I16" s="195">
        <f>'Budget Gold'!AA80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Gold'!AB81</f>
        <v>0</v>
      </c>
      <c r="F17" s="193">
        <f>'Budget Gold'!AB82</f>
        <v>0</v>
      </c>
      <c r="G17" s="194">
        <f t="shared" si="0"/>
        <v>0</v>
      </c>
      <c r="H17" s="6" t="str">
        <f t="shared" si="1"/>
        <v>--- rien à faire ---</v>
      </c>
      <c r="I17" s="195">
        <f>'Budget Gold'!AA83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Gold'!AB84</f>
        <v>0</v>
      </c>
      <c r="F18" s="193">
        <f>'Budget Gold'!AB85</f>
        <v>0</v>
      </c>
      <c r="G18" s="194">
        <f t="shared" si="0"/>
        <v>0</v>
      </c>
      <c r="H18" s="6" t="str">
        <f t="shared" si="1"/>
        <v>--- rien à faire ---</v>
      </c>
      <c r="I18" s="195">
        <f>'Budget Gold'!AA86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Gold'!AB87</f>
        <v>0</v>
      </c>
      <c r="F19" s="193">
        <f>'Budget Gold'!AB88</f>
        <v>0</v>
      </c>
      <c r="G19" s="194">
        <f t="shared" si="0"/>
        <v>0</v>
      </c>
      <c r="H19" s="6" t="str">
        <f t="shared" si="1"/>
        <v>--- rien à faire ---</v>
      </c>
      <c r="I19" s="195">
        <f>'Budget Gold'!AA89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Gold'!AB90</f>
        <v>0</v>
      </c>
      <c r="F20" s="193">
        <f>'Budget Gold'!AB91</f>
        <v>0</v>
      </c>
      <c r="G20" s="194">
        <f t="shared" si="0"/>
        <v>0</v>
      </c>
      <c r="H20" s="6" t="str">
        <f t="shared" si="1"/>
        <v>--- rien à faire ---</v>
      </c>
      <c r="I20" s="195">
        <f>'Budget Gold'!AA92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Gold'!AB93</f>
        <v>0</v>
      </c>
      <c r="F21" s="193">
        <f>'Budget Gold'!AB94</f>
        <v>0</v>
      </c>
      <c r="G21" s="194">
        <f t="shared" si="0"/>
        <v>0</v>
      </c>
      <c r="H21" s="6" t="str">
        <f t="shared" si="1"/>
        <v>--- rien à faire ---</v>
      </c>
      <c r="I21" s="195">
        <f>'Budget Gold'!AA95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Gold'!AB96</f>
        <v>0</v>
      </c>
      <c r="F22" s="193">
        <f>'Budget Gold'!AB97</f>
        <v>0</v>
      </c>
      <c r="G22" s="194">
        <f t="shared" si="0"/>
        <v>0</v>
      </c>
      <c r="H22" s="6" t="str">
        <f t="shared" si="1"/>
        <v>--- rien à faire ---</v>
      </c>
      <c r="I22" s="195">
        <f>'Budget Gold'!AA98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Gold'!AB99</f>
        <v>0</v>
      </c>
      <c r="F23" s="193">
        <f>'Budget Gold'!AB100</f>
        <v>0</v>
      </c>
      <c r="G23" s="194">
        <f t="shared" si="0"/>
        <v>0</v>
      </c>
      <c r="H23" s="6" t="str">
        <f t="shared" si="1"/>
        <v>--- rien à faire ---</v>
      </c>
      <c r="I23" s="195">
        <f>'Budget Gold'!AA101</f>
        <v>0</v>
      </c>
    </row>
    <row r="24" spans="1:13">
      <c r="A24" s="177">
        <f t="shared" si="2"/>
        <v>17</v>
      </c>
      <c r="B24" s="191" t="str">
        <f>IF('Budget Gold'!E102="Indiquer le nom du projet à financer","",'Budget Gold'!E102)</f>
        <v/>
      </c>
      <c r="C24" s="6" t="str">
        <f>IF('Budget Gold'!E104="- compte d'épargne à saisir -","",'Budget Gold'!E104)</f>
        <v/>
      </c>
      <c r="D24" s="156"/>
      <c r="E24" s="192">
        <f>'Budget Gold'!AB102</f>
        <v>0</v>
      </c>
      <c r="F24" s="193">
        <f>'Budget Gold'!AB103</f>
        <v>0</v>
      </c>
      <c r="G24" s="194">
        <f t="shared" ref="G24:G31" si="3">E24-F24</f>
        <v>0</v>
      </c>
      <c r="H24" s="6" t="str">
        <f t="shared" ref="H24:H30" si="4">IF(G24&gt;0,"(+) à ajouter sur le compte épargne",IF(G24=0,"--- rien à faire ---","(-) de moins sur le compte épargne"))</f>
        <v>--- rien à faire ---</v>
      </c>
      <c r="I24" s="195">
        <f>'Budget Gold'!AA104</f>
        <v>0</v>
      </c>
    </row>
    <row r="25" spans="1:13">
      <c r="A25" s="177">
        <f t="shared" si="2"/>
        <v>18</v>
      </c>
      <c r="B25" s="191" t="str">
        <f>IF('Budget Gold'!E105="Indiquer le nom du projet à financer","",'Budget Gold'!E105)</f>
        <v/>
      </c>
      <c r="C25" s="6" t="str">
        <f>IF('Budget Gold'!E107="- compte d'épargne à saisir -","",'Budget Gold'!E107)</f>
        <v/>
      </c>
      <c r="D25" s="156"/>
      <c r="E25" s="192">
        <f>'Budget Gold'!AB105</f>
        <v>0</v>
      </c>
      <c r="F25" s="193">
        <f>'Budget Gold'!AB106</f>
        <v>0</v>
      </c>
      <c r="G25" s="194">
        <f t="shared" si="3"/>
        <v>0</v>
      </c>
      <c r="H25" s="6" t="str">
        <f t="shared" si="4"/>
        <v>--- rien à faire ---</v>
      </c>
      <c r="I25" s="195">
        <f>'Budget Gold'!AA107</f>
        <v>0</v>
      </c>
    </row>
    <row r="26" spans="1:13">
      <c r="A26" s="177">
        <f t="shared" si="2"/>
        <v>19</v>
      </c>
      <c r="B26" s="191" t="str">
        <f>IF('Budget Gold'!E108="Indiquer le nom du projet à financer","",'Budget Gold'!E108)</f>
        <v/>
      </c>
      <c r="C26" s="6" t="str">
        <f>IF('Budget Gold'!E110="- compte d'épargne à saisir -","",'Budget Gold'!E110)</f>
        <v/>
      </c>
      <c r="D26" s="156"/>
      <c r="E26" s="192">
        <f>'Budget Gold'!AB108</f>
        <v>0</v>
      </c>
      <c r="F26" s="193">
        <f>'Budget Gold'!AB109</f>
        <v>0</v>
      </c>
      <c r="G26" s="194">
        <f t="shared" si="3"/>
        <v>0</v>
      </c>
      <c r="H26" s="6" t="str">
        <f t="shared" si="4"/>
        <v>--- rien à faire ---</v>
      </c>
      <c r="I26" s="195">
        <f>'Budget Gold'!AA110</f>
        <v>0</v>
      </c>
    </row>
    <row r="27" spans="1:13">
      <c r="A27" s="177">
        <f t="shared" si="2"/>
        <v>20</v>
      </c>
      <c r="B27" s="191" t="str">
        <f>IF('Budget Gold'!E111="Indiquer le nom du projet à financer","",'Budget Gold'!E111)</f>
        <v/>
      </c>
      <c r="C27" s="6" t="str">
        <f>IF('Budget Gold'!E113="- compte d'épargne à saisir -","",'Budget Gold'!E113)</f>
        <v/>
      </c>
      <c r="D27" s="156"/>
      <c r="E27" s="192">
        <f>'Budget Gold'!AB111</f>
        <v>0</v>
      </c>
      <c r="F27" s="193">
        <f>'Budget Gold'!AB112</f>
        <v>0</v>
      </c>
      <c r="G27" s="194">
        <f t="shared" si="3"/>
        <v>0</v>
      </c>
      <c r="H27" s="6" t="str">
        <f t="shared" si="4"/>
        <v>--- rien à faire ---</v>
      </c>
      <c r="I27" s="195">
        <f>'Budget Gold'!AA113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Gold'!AB114</f>
        <v>0</v>
      </c>
      <c r="F28" s="193">
        <f>'Budget Gold'!AB115</f>
        <v>0</v>
      </c>
      <c r="G28" s="194">
        <f t="shared" si="3"/>
        <v>0</v>
      </c>
      <c r="H28" s="6" t="str">
        <f t="shared" si="4"/>
        <v>--- rien à faire ---</v>
      </c>
      <c r="I28" s="195">
        <f>'Budget Gold'!AA116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Gold'!AB117</f>
        <v>0</v>
      </c>
      <c r="F29" s="193">
        <f>'Budget Gold'!AB118</f>
        <v>0</v>
      </c>
      <c r="G29" s="194">
        <f t="shared" si="3"/>
        <v>0</v>
      </c>
      <c r="H29" s="6" t="str">
        <f t="shared" si="4"/>
        <v>--- rien à faire ---</v>
      </c>
      <c r="I29" s="195">
        <f>'Budget Gold'!AA119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Gold'!AB120</f>
        <v>0</v>
      </c>
      <c r="F30" s="193">
        <f>'Budget Gold'!AB121</f>
        <v>0</v>
      </c>
      <c r="G30" s="194">
        <f t="shared" si="3"/>
        <v>0</v>
      </c>
      <c r="H30" s="6" t="str">
        <f t="shared" si="4"/>
        <v>--- rien à faire ---</v>
      </c>
      <c r="I30" s="195">
        <f>'Budget Gold'!AA122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Gold'!AB123</f>
        <v>0</v>
      </c>
      <c r="F31" s="193">
        <f>'Budget Gold'!AB124</f>
        <v>0</v>
      </c>
      <c r="G31" s="194">
        <f t="shared" si="3"/>
        <v>0</v>
      </c>
      <c r="H31" s="6" t="str">
        <f>IF(G31&gt;0,"(+) à ajouter sur le compte épargne",IF(G31=0,"--- rien à faire ---","(-) de moins sur le compte épargne"))</f>
        <v>--- rien à faire ---</v>
      </c>
      <c r="I31" s="195">
        <f>'Budget Gold'!AA125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Gold'!AB160</f>
        <v>0</v>
      </c>
      <c r="F32" s="193">
        <f>'Budget Gold'!AB161</f>
        <v>0</v>
      </c>
      <c r="G32" s="194">
        <f t="shared" si="0"/>
        <v>0</v>
      </c>
      <c r="H32" s="6" t="str">
        <f t="shared" si="1"/>
        <v>--- rien à faire ---</v>
      </c>
      <c r="I32" s="195">
        <f>'Budget Gold'!AA162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Gold'!AB163</f>
        <v>0</v>
      </c>
      <c r="F33" s="193">
        <f>'Budget Gold'!AB164</f>
        <v>0</v>
      </c>
      <c r="G33" s="194">
        <f t="shared" si="0"/>
        <v>0</v>
      </c>
      <c r="H33" s="6" t="str">
        <f t="shared" si="1"/>
        <v>--- rien à faire ---</v>
      </c>
      <c r="I33" s="195">
        <f>'Budget Gold'!AA165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Gold'!AB166</f>
        <v>0</v>
      </c>
      <c r="F34" s="193">
        <f>'Budget Gold'!AB167</f>
        <v>0</v>
      </c>
      <c r="G34" s="194">
        <f t="shared" si="0"/>
        <v>0</v>
      </c>
      <c r="H34" s="6" t="str">
        <f t="shared" si="1"/>
        <v>--- rien à faire ---</v>
      </c>
      <c r="I34" s="195">
        <f>'Budget Gold'!AA168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Gold'!AB169</f>
        <v>0</v>
      </c>
      <c r="F35" s="193">
        <f>'Budget Gold'!AB170</f>
        <v>0</v>
      </c>
      <c r="G35" s="194">
        <f t="shared" si="0"/>
        <v>0</v>
      </c>
      <c r="H35" s="6" t="str">
        <f t="shared" si="1"/>
        <v>--- rien à faire ---</v>
      </c>
      <c r="I35" s="195">
        <f>'Budget Gold'!AA171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Gold'!AB172</f>
        <v>0</v>
      </c>
      <c r="F36" s="193">
        <f>'Budget Gold'!AB173</f>
        <v>0</v>
      </c>
      <c r="G36" s="194">
        <f t="shared" si="0"/>
        <v>0</v>
      </c>
      <c r="H36" s="6" t="str">
        <f t="shared" si="1"/>
        <v>--- rien à faire ---</v>
      </c>
      <c r="I36" s="195">
        <f>'Budget Gold'!AA174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Gold'!AB175</f>
        <v>0</v>
      </c>
      <c r="F37" s="193">
        <f>'Budget Gold'!AB176</f>
        <v>0</v>
      </c>
      <c r="G37" s="194">
        <f t="shared" si="0"/>
        <v>0</v>
      </c>
      <c r="H37" s="6" t="str">
        <f t="shared" si="1"/>
        <v>--- rien à faire ---</v>
      </c>
      <c r="I37" s="195">
        <f>'Budget Gold'!AA177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Gold'!AB178</f>
        <v>0</v>
      </c>
      <c r="F38" s="193">
        <f>'Budget Gold'!AB179</f>
        <v>0</v>
      </c>
      <c r="G38" s="194">
        <f t="shared" si="0"/>
        <v>0</v>
      </c>
      <c r="H38" s="6" t="str">
        <f t="shared" si="1"/>
        <v>--- rien à faire ---</v>
      </c>
      <c r="I38" s="195">
        <f>'Budget Gold'!AA180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Gold'!AB181</f>
        <v>200</v>
      </c>
      <c r="F39" s="193">
        <f>'Budget Gold'!AB182</f>
        <v>200</v>
      </c>
      <c r="G39" s="194">
        <f t="shared" si="0"/>
        <v>0</v>
      </c>
      <c r="H39" s="6" t="str">
        <f t="shared" si="1"/>
        <v>--- rien à faire ---</v>
      </c>
      <c r="I39" s="195">
        <f>'Budget Gold'!AA183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Gold'!AB184</f>
        <v>0</v>
      </c>
      <c r="F40" s="193">
        <f>'Budget Gold'!AB185</f>
        <v>0</v>
      </c>
      <c r="G40" s="194">
        <f t="shared" si="0"/>
        <v>0</v>
      </c>
      <c r="H40" s="6" t="str">
        <f t="shared" si="1"/>
        <v>--- rien à faire ---</v>
      </c>
      <c r="I40" s="195">
        <f>'Budget Gold'!AA186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Gold'!AB187</f>
        <v>0</v>
      </c>
      <c r="F41" s="193">
        <f>'Budget Gold'!AB188</f>
        <v>0</v>
      </c>
      <c r="G41" s="194">
        <f t="shared" si="0"/>
        <v>0</v>
      </c>
      <c r="H41" s="6" t="str">
        <f t="shared" si="1"/>
        <v>--- rien à faire ---</v>
      </c>
      <c r="I41" s="195">
        <f>'Budget Gold'!AA189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Gold'!AB190</f>
        <v>0</v>
      </c>
      <c r="F42" s="193">
        <f>'Budget Gold'!AB191</f>
        <v>0</v>
      </c>
      <c r="G42" s="194">
        <f t="shared" si="0"/>
        <v>0</v>
      </c>
      <c r="H42" s="6" t="str">
        <f t="shared" si="1"/>
        <v>--- rien à faire ---</v>
      </c>
      <c r="I42" s="195">
        <f>'Budget Gold'!AA192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Gold'!AB193</f>
        <v>0</v>
      </c>
      <c r="F43" s="193">
        <f>'Budget Gold'!AB194</f>
        <v>0</v>
      </c>
      <c r="G43" s="194">
        <f t="shared" si="0"/>
        <v>0</v>
      </c>
      <c r="H43" s="6" t="str">
        <f t="shared" si="1"/>
        <v>--- rien à faire ---</v>
      </c>
      <c r="I43" s="195">
        <f>'Budget Gold'!AA195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Gold'!AB196</f>
        <v>0</v>
      </c>
      <c r="F44" s="193">
        <f>'Budget Gold'!AB197</f>
        <v>0</v>
      </c>
      <c r="G44" s="194">
        <f t="shared" ref="G44:G51" si="5">E44-F44</f>
        <v>0</v>
      </c>
      <c r="H44" s="6" t="str">
        <f t="shared" ref="H44:H51" si="6">IF(G44&gt;0,"(+) à ajouter sur le compte épargne",IF(G44=0,"--- rien à faire ---","(-) de moins sur le compte épargne"))</f>
        <v>--- rien à faire ---</v>
      </c>
      <c r="I44" s="195">
        <f>'Budget Gold'!AA198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Gold'!AB199</f>
        <v>0</v>
      </c>
      <c r="F45" s="193">
        <f>'Budget Gold'!AB200</f>
        <v>0</v>
      </c>
      <c r="G45" s="194">
        <f t="shared" si="5"/>
        <v>0</v>
      </c>
      <c r="H45" s="6" t="str">
        <f t="shared" si="6"/>
        <v>--- rien à faire ---</v>
      </c>
      <c r="I45" s="195">
        <f>'Budget Gold'!AA201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Gold'!AB202</f>
        <v>0</v>
      </c>
      <c r="F46" s="193">
        <f>'Budget Gold'!AB203</f>
        <v>0</v>
      </c>
      <c r="G46" s="194">
        <f t="shared" si="5"/>
        <v>0</v>
      </c>
      <c r="H46" s="6" t="str">
        <f t="shared" si="6"/>
        <v>--- rien à faire ---</v>
      </c>
      <c r="I46" s="195">
        <f>'Budget Gold'!AA204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Gold'!AB205</f>
        <v>0</v>
      </c>
      <c r="F47" s="193">
        <f>'Budget Gold'!AB206</f>
        <v>0</v>
      </c>
      <c r="G47" s="194">
        <f t="shared" si="5"/>
        <v>0</v>
      </c>
      <c r="H47" s="6" t="str">
        <f t="shared" si="6"/>
        <v>--- rien à faire ---</v>
      </c>
      <c r="I47" s="195">
        <f>'Budget Gold'!AA207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Gold'!AB208</f>
        <v>0</v>
      </c>
      <c r="F48" s="193">
        <f>'Budget Gold'!AB209</f>
        <v>0</v>
      </c>
      <c r="G48" s="194">
        <f t="shared" si="5"/>
        <v>0</v>
      </c>
      <c r="H48" s="6" t="str">
        <f t="shared" si="6"/>
        <v>--- rien à faire ---</v>
      </c>
      <c r="I48" s="195">
        <f>'Budget Gold'!AA210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Gold'!AB211</f>
        <v>0</v>
      </c>
      <c r="F49" s="193">
        <f>'Budget Gold'!AB212</f>
        <v>0</v>
      </c>
      <c r="G49" s="194">
        <f t="shared" si="5"/>
        <v>0</v>
      </c>
      <c r="H49" s="6" t="str">
        <f t="shared" si="6"/>
        <v>--- rien à faire ---</v>
      </c>
      <c r="I49" s="195">
        <f>'Budget Gold'!AA213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Gold'!AB214</f>
        <v>0</v>
      </c>
      <c r="F50" s="193">
        <f>'Budget Gold'!AB215</f>
        <v>0</v>
      </c>
      <c r="G50" s="194">
        <f t="shared" si="5"/>
        <v>0</v>
      </c>
      <c r="H50" s="6" t="str">
        <f t="shared" si="6"/>
        <v>--- rien à faire ---</v>
      </c>
      <c r="I50" s="195">
        <f>'Budget Gold'!AA216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Gold'!AB217</f>
        <v>0</v>
      </c>
      <c r="F51" s="193">
        <f>'Budget Gold'!AB218</f>
        <v>0</v>
      </c>
      <c r="G51" s="194">
        <f t="shared" si="5"/>
        <v>0</v>
      </c>
      <c r="H51" s="6" t="str">
        <f t="shared" si="6"/>
        <v>--- rien à faire ---</v>
      </c>
      <c r="I51" s="195">
        <f>'Budget Gold'!AA219</f>
        <v>0</v>
      </c>
    </row>
    <row r="52" spans="1:13" s="1" customFormat="1">
      <c r="A52" s="156"/>
      <c r="D52" s="156"/>
      <c r="J52" s="180"/>
      <c r="K52" s="180"/>
      <c r="L52" s="180"/>
      <c r="M52" s="180"/>
    </row>
    <row r="53" spans="1:13" s="1" customFormat="1" ht="16">
      <c r="A53" s="156"/>
      <c r="D53" s="156"/>
      <c r="H53" s="248" t="s">
        <v>568</v>
      </c>
      <c r="I53" s="398">
        <f>SUM(I6:I51)</f>
        <v>51373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Gold'!AA7</f>
        <v>46366</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Gold'!AA7</f>
        <v>46366</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10000</v>
      </c>
      <c r="G60" s="200">
        <f>E60-F60</f>
        <v>-10000</v>
      </c>
      <c r="H60" s="91" t="str">
        <f>IF(G60&gt;0,"(+) à ajouter sur ce compte épargne",IF(G60=0,"--- le solde ne change pas ---","(-) de moins sur ce compte épargne"))</f>
        <v>(-) de moins sur ce compte épargne</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41280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3711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197009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Yz7jMIqN/M3VyasJFo86qz4s9xhyhzd8MzggceaQb4n4XHYG7PTj/JoFUW/QK1p0ZJPee8fPu0yvIVnZOQ2T0Q==" saltValue="LMmCeFWoWxIONF+EgCRSmw=="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59" priority="19" operator="equal">
      <formula>0</formula>
    </cfRule>
    <cfRule type="cellIs" dxfId="58" priority="20" operator="lessThan">
      <formula>0</formula>
    </cfRule>
    <cfRule type="cellIs" dxfId="57" priority="21" operator="greaterThan">
      <formula>0</formula>
    </cfRule>
  </conditionalFormatting>
  <conditionalFormatting sqref="G60:G89">
    <cfRule type="cellIs" dxfId="56" priority="5" operator="equal">
      <formula>0</formula>
    </cfRule>
    <cfRule type="cellIs" dxfId="55" priority="6" operator="lessThan">
      <formula>0</formula>
    </cfRule>
    <cfRule type="cellIs" dxfId="54" priority="7" operator="greaterThan">
      <formula>0</formula>
    </cfRule>
  </conditionalFormatting>
  <conditionalFormatting sqref="H8:H51">
    <cfRule type="cellIs" dxfId="53" priority="17" operator="equal">
      <formula>"(-) de moins sur le compte épargne"</formula>
    </cfRule>
    <cfRule type="cellIs" dxfId="52" priority="18" operator="equal">
      <formula>"(+) à ajouter sur le compte épargne"</formula>
    </cfRule>
  </conditionalFormatting>
  <conditionalFormatting sqref="H60:H89">
    <cfRule type="cellIs" dxfId="51" priority="1" operator="equal">
      <formula>"(-) de moins sur ce compte épargne"</formula>
    </cfRule>
    <cfRule type="cellIs" dxfId="50" priority="2" operator="equal">
      <formula>"(+) à ajouter sur ce compte épargne"</formula>
    </cfRule>
  </conditionalFormatting>
  <hyperlinks>
    <hyperlink ref="A2:A4" location="'Budget Gold'!A1" tooltip="Retour au tableau Budget Gold" display="Retour au Budget" xr:uid="{00000000-0004-0000-1100-000000000000}"/>
    <hyperlink ref="A56" location="'Budget Gold'!A1" display="Retour au budget" xr:uid="{00000000-0004-0000-1100-000001000000}"/>
    <hyperlink ref="A56:A58" location="'Budget Gold'!A1" tooltip="Retour au tableau Budget Gold" display="Retour au Budget" xr:uid="{00000000-0004-0000-1100-000002000000}"/>
    <hyperlink ref="A2" location="'Budget Gold'!A1" tooltip="Retour au tableau Budget Gold" display="Retour au Budget" xr:uid="{00000000-0004-0000-1100-000003000000}"/>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O561"/>
  <sheetViews>
    <sheetView workbookViewId="0"/>
  </sheetViews>
  <sheetFormatPr baseColWidth="10" defaultColWidth="11.33203125" defaultRowHeight="13"/>
  <cols>
    <col min="1" max="1" width="19.6640625" style="1" customWidth="1"/>
    <col min="2" max="2" width="56.5"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Gold'!AD7</f>
        <v>46398</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Gold'!AD7</f>
        <v>46398</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Gold'!AE54</f>
        <v>250</v>
      </c>
      <c r="F8" s="193">
        <f>'Budget Gold'!AE55</f>
        <v>0</v>
      </c>
      <c r="G8" s="194">
        <f>E8-F8</f>
        <v>250</v>
      </c>
      <c r="H8" s="6" t="str">
        <f>IF(G8&gt;0,"(+) à ajouter sur le compte épargne",IF(G8=0,"--- rien à faire ---","(-) de moins sur le compte épargne"))</f>
        <v>(+) à ajouter sur le compte épargne</v>
      </c>
      <c r="I8" s="195">
        <f>'Budget Gold'!AD56</f>
        <v>41530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Gold'!AE57</f>
        <v>200</v>
      </c>
      <c r="F9" s="193">
        <f>'Budget Gold'!AE58</f>
        <v>0</v>
      </c>
      <c r="G9" s="194">
        <f t="shared" ref="G9:G43" si="0">E9-F9</f>
        <v>200</v>
      </c>
      <c r="H9" s="6" t="str">
        <f t="shared" ref="H9:H43" si="1">IF(G9&gt;0,"(+) à ajouter sur le compte épargne",IF(G9=0,"--- rien à faire ---","(-) de moins sur le compte épargne"))</f>
        <v>(+) à ajouter sur le compte épargne</v>
      </c>
      <c r="I9" s="195">
        <f>'Budget Gold'!AD59</f>
        <v>3911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Gold'!AE60</f>
        <v>0</v>
      </c>
      <c r="F10" s="193">
        <f>'Budget Gold'!AE61</f>
        <v>0</v>
      </c>
      <c r="G10" s="194">
        <f t="shared" si="0"/>
        <v>0</v>
      </c>
      <c r="H10" s="6" t="str">
        <f t="shared" si="1"/>
        <v>--- rien à faire ---</v>
      </c>
      <c r="I10" s="195">
        <f>'Budget Gold'!AD62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Gold'!AE63</f>
        <v>0</v>
      </c>
      <c r="F11" s="193">
        <f>'Budget Gold'!AE64</f>
        <v>0</v>
      </c>
      <c r="G11" s="194">
        <f t="shared" si="0"/>
        <v>0</v>
      </c>
      <c r="H11" s="6" t="str">
        <f t="shared" si="1"/>
        <v>--- rien à faire ---</v>
      </c>
      <c r="I11" s="195">
        <f>'Budget Gold'!AD65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Gold'!AE66</f>
        <v>0</v>
      </c>
      <c r="F12" s="193">
        <f>'Budget Gold'!AE67</f>
        <v>0</v>
      </c>
      <c r="G12" s="194">
        <f t="shared" si="0"/>
        <v>0</v>
      </c>
      <c r="H12" s="6" t="str">
        <f t="shared" si="1"/>
        <v>--- rien à faire ---</v>
      </c>
      <c r="I12" s="195">
        <f>'Budget Gold'!AD68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Gold'!AE69</f>
        <v>0</v>
      </c>
      <c r="F13" s="193">
        <f>'Budget Gold'!AE70</f>
        <v>0</v>
      </c>
      <c r="G13" s="194">
        <f t="shared" si="0"/>
        <v>0</v>
      </c>
      <c r="H13" s="6" t="str">
        <f t="shared" si="1"/>
        <v>--- rien à faire ---</v>
      </c>
      <c r="I13" s="195">
        <f>'Budget Gold'!AD71</f>
        <v>-1600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Gold'!AE72</f>
        <v>0</v>
      </c>
      <c r="F14" s="193">
        <f>'Budget Gold'!AE73</f>
        <v>0</v>
      </c>
      <c r="G14" s="194">
        <f t="shared" si="0"/>
        <v>0</v>
      </c>
      <c r="H14" s="6" t="str">
        <f t="shared" si="1"/>
        <v>--- rien à faire ---</v>
      </c>
      <c r="I14" s="195">
        <f>'Budget Gold'!AD74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Gold'!AE75</f>
        <v>0</v>
      </c>
      <c r="F15" s="193">
        <f>'Budget Gold'!AE76</f>
        <v>0</v>
      </c>
      <c r="G15" s="194">
        <f t="shared" si="0"/>
        <v>0</v>
      </c>
      <c r="H15" s="6" t="str">
        <f t="shared" si="1"/>
        <v>--- rien à faire ---</v>
      </c>
      <c r="I15" s="195">
        <f>'Budget Gold'!AD77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Gold'!AE78</f>
        <v>0</v>
      </c>
      <c r="F16" s="193">
        <f>'Budget Gold'!AE79</f>
        <v>0</v>
      </c>
      <c r="G16" s="194">
        <f t="shared" si="0"/>
        <v>0</v>
      </c>
      <c r="H16" s="6" t="str">
        <f t="shared" si="1"/>
        <v>--- rien à faire ---</v>
      </c>
      <c r="I16" s="195">
        <f>'Budget Gold'!AD80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Gold'!AE81</f>
        <v>0</v>
      </c>
      <c r="F17" s="193">
        <f>'Budget Gold'!AE82</f>
        <v>0</v>
      </c>
      <c r="G17" s="194">
        <f t="shared" si="0"/>
        <v>0</v>
      </c>
      <c r="H17" s="6" t="str">
        <f t="shared" si="1"/>
        <v>--- rien à faire ---</v>
      </c>
      <c r="I17" s="195">
        <f>'Budget Gold'!AD83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Gold'!AE84</f>
        <v>0</v>
      </c>
      <c r="F18" s="193">
        <f>'Budget Gold'!AE85</f>
        <v>0</v>
      </c>
      <c r="G18" s="194">
        <f t="shared" si="0"/>
        <v>0</v>
      </c>
      <c r="H18" s="6" t="str">
        <f t="shared" si="1"/>
        <v>--- rien à faire ---</v>
      </c>
      <c r="I18" s="195">
        <f>'Budget Gold'!AD86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Gold'!AE87</f>
        <v>0</v>
      </c>
      <c r="F19" s="193">
        <f>'Budget Gold'!AE88</f>
        <v>0</v>
      </c>
      <c r="G19" s="194">
        <f t="shared" si="0"/>
        <v>0</v>
      </c>
      <c r="H19" s="6" t="str">
        <f t="shared" si="1"/>
        <v>--- rien à faire ---</v>
      </c>
      <c r="I19" s="195">
        <f>'Budget Gold'!AD89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Gold'!AE90</f>
        <v>0</v>
      </c>
      <c r="F20" s="193">
        <f>'Budget Gold'!AE91</f>
        <v>0</v>
      </c>
      <c r="G20" s="194">
        <f t="shared" si="0"/>
        <v>0</v>
      </c>
      <c r="H20" s="6" t="str">
        <f t="shared" si="1"/>
        <v>--- rien à faire ---</v>
      </c>
      <c r="I20" s="195">
        <f>'Budget Gold'!AD92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Gold'!AE93</f>
        <v>0</v>
      </c>
      <c r="F21" s="193">
        <f>'Budget Gold'!AE94</f>
        <v>0</v>
      </c>
      <c r="G21" s="194">
        <f t="shared" si="0"/>
        <v>0</v>
      </c>
      <c r="H21" s="6" t="str">
        <f t="shared" si="1"/>
        <v>--- rien à faire ---</v>
      </c>
      <c r="I21" s="195">
        <f>'Budget Gold'!AD95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Gold'!AE96</f>
        <v>0</v>
      </c>
      <c r="F22" s="193">
        <f>'Budget Gold'!AE97</f>
        <v>0</v>
      </c>
      <c r="G22" s="194">
        <f t="shared" si="0"/>
        <v>0</v>
      </c>
      <c r="H22" s="6" t="str">
        <f t="shared" si="1"/>
        <v>--- rien à faire ---</v>
      </c>
      <c r="I22" s="195">
        <f>'Budget Gold'!AD98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Gold'!AE99</f>
        <v>0</v>
      </c>
      <c r="F23" s="193">
        <f>'Budget Gold'!AE100</f>
        <v>0</v>
      </c>
      <c r="G23" s="194">
        <f t="shared" si="0"/>
        <v>0</v>
      </c>
      <c r="H23" s="6" t="str">
        <f t="shared" si="1"/>
        <v>--- rien à faire ---</v>
      </c>
      <c r="I23" s="195">
        <f>'Budget Gold'!AD101</f>
        <v>0</v>
      </c>
    </row>
    <row r="24" spans="1:13">
      <c r="A24" s="177">
        <f t="shared" si="2"/>
        <v>17</v>
      </c>
      <c r="B24" s="191" t="str">
        <f>IF('Budget Gold'!E102="Indiquer le nom du projet à financer","",'Budget Gold'!E102)</f>
        <v/>
      </c>
      <c r="C24" s="6" t="str">
        <f>IF('Budget Gold'!E104="- compte d'épargne à saisir -","",'Budget Gold'!E104)</f>
        <v/>
      </c>
      <c r="D24" s="156"/>
      <c r="E24" s="192">
        <f>'Budget Gold'!AE102</f>
        <v>0</v>
      </c>
      <c r="F24" s="193">
        <f>'Budget Gold'!AE103</f>
        <v>0</v>
      </c>
      <c r="G24" s="194">
        <f t="shared" ref="G24:G31" si="3">E24-F24</f>
        <v>0</v>
      </c>
      <c r="H24" s="6" t="str">
        <f t="shared" ref="H24:H30" si="4">IF(G24&gt;0,"(+) à ajouter sur le compte épargne",IF(G24=0,"--- rien à faire ---","(-) de moins sur le compte épargne"))</f>
        <v>--- rien à faire ---</v>
      </c>
      <c r="I24" s="195">
        <f>'Budget Gold'!AD104</f>
        <v>0</v>
      </c>
    </row>
    <row r="25" spans="1:13">
      <c r="A25" s="177">
        <f t="shared" si="2"/>
        <v>18</v>
      </c>
      <c r="B25" s="191" t="str">
        <f>IF('Budget Gold'!E105="Indiquer le nom du projet à financer","",'Budget Gold'!E105)</f>
        <v/>
      </c>
      <c r="C25" s="6" t="str">
        <f>IF('Budget Gold'!E107="- compte d'épargne à saisir -","",'Budget Gold'!E107)</f>
        <v/>
      </c>
      <c r="D25" s="156"/>
      <c r="E25" s="192">
        <f>'Budget Gold'!AE105</f>
        <v>0</v>
      </c>
      <c r="F25" s="193">
        <f>'Budget Gold'!AE106</f>
        <v>0</v>
      </c>
      <c r="G25" s="194">
        <f t="shared" si="3"/>
        <v>0</v>
      </c>
      <c r="H25" s="6" t="str">
        <f t="shared" si="4"/>
        <v>--- rien à faire ---</v>
      </c>
      <c r="I25" s="195">
        <f>'Budget Gold'!AD107</f>
        <v>0</v>
      </c>
    </row>
    <row r="26" spans="1:13">
      <c r="A26" s="177">
        <f t="shared" si="2"/>
        <v>19</v>
      </c>
      <c r="B26" s="191" t="str">
        <f>IF('Budget Gold'!E108="Indiquer le nom du projet à financer","",'Budget Gold'!E108)</f>
        <v/>
      </c>
      <c r="C26" s="6" t="str">
        <f>IF('Budget Gold'!E110="- compte d'épargne à saisir -","",'Budget Gold'!E110)</f>
        <v/>
      </c>
      <c r="D26" s="156"/>
      <c r="E26" s="192">
        <f>'Budget Gold'!AE108</f>
        <v>0</v>
      </c>
      <c r="F26" s="193">
        <f>'Budget Gold'!AE109</f>
        <v>0</v>
      </c>
      <c r="G26" s="194">
        <f t="shared" si="3"/>
        <v>0</v>
      </c>
      <c r="H26" s="6" t="str">
        <f t="shared" si="4"/>
        <v>--- rien à faire ---</v>
      </c>
      <c r="I26" s="195">
        <f>'Budget Gold'!AD110</f>
        <v>0</v>
      </c>
    </row>
    <row r="27" spans="1:13">
      <c r="A27" s="177">
        <f t="shared" si="2"/>
        <v>20</v>
      </c>
      <c r="B27" s="191" t="str">
        <f>IF('Budget Gold'!E111="Indiquer le nom du projet à financer","",'Budget Gold'!E111)</f>
        <v/>
      </c>
      <c r="C27" s="6" t="str">
        <f>IF('Budget Gold'!E113="- compte d'épargne à saisir -","",'Budget Gold'!E113)</f>
        <v/>
      </c>
      <c r="D27" s="156"/>
      <c r="E27" s="192">
        <f>'Budget Gold'!AE111</f>
        <v>0</v>
      </c>
      <c r="F27" s="193">
        <f>'Budget Gold'!AE112</f>
        <v>0</v>
      </c>
      <c r="G27" s="194">
        <f t="shared" si="3"/>
        <v>0</v>
      </c>
      <c r="H27" s="6" t="str">
        <f t="shared" si="4"/>
        <v>--- rien à faire ---</v>
      </c>
      <c r="I27" s="195">
        <f>'Budget Gold'!AD113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Gold'!AE114</f>
        <v>0</v>
      </c>
      <c r="F28" s="193">
        <f>'Budget Gold'!AE115</f>
        <v>0</v>
      </c>
      <c r="G28" s="194">
        <f t="shared" si="3"/>
        <v>0</v>
      </c>
      <c r="H28" s="6" t="str">
        <f t="shared" si="4"/>
        <v>--- rien à faire ---</v>
      </c>
      <c r="I28" s="195">
        <f>'Budget Gold'!AD116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Gold'!AE117</f>
        <v>0</v>
      </c>
      <c r="F29" s="193">
        <f>'Budget Gold'!AE118</f>
        <v>0</v>
      </c>
      <c r="G29" s="194">
        <f t="shared" si="3"/>
        <v>0</v>
      </c>
      <c r="H29" s="6" t="str">
        <f t="shared" si="4"/>
        <v>--- rien à faire ---</v>
      </c>
      <c r="I29" s="195">
        <f>'Budget Gold'!AD119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Gold'!AE120</f>
        <v>0</v>
      </c>
      <c r="F30" s="193">
        <f>'Budget Gold'!AE121</f>
        <v>0</v>
      </c>
      <c r="G30" s="194">
        <f t="shared" si="3"/>
        <v>0</v>
      </c>
      <c r="H30" s="6" t="str">
        <f t="shared" si="4"/>
        <v>--- rien à faire ---</v>
      </c>
      <c r="I30" s="195">
        <f>'Budget Gold'!AD122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Gold'!AE123</f>
        <v>0</v>
      </c>
      <c r="F31" s="193">
        <f>'Budget Gold'!AE124</f>
        <v>0</v>
      </c>
      <c r="G31" s="194">
        <f t="shared" si="3"/>
        <v>0</v>
      </c>
      <c r="H31" s="6" t="str">
        <f>IF(G31&gt;0,"(+) à ajouter sur le compte épargne",IF(G31=0,"--- rien à faire ---","(-) de moins sur le compte épargne"))</f>
        <v>--- rien à faire ---</v>
      </c>
      <c r="I31" s="195">
        <f>'Budget Gold'!AD125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Gold'!AE160</f>
        <v>0</v>
      </c>
      <c r="F32" s="193">
        <f>'Budget Gold'!AE161</f>
        <v>0</v>
      </c>
      <c r="G32" s="194">
        <f t="shared" si="0"/>
        <v>0</v>
      </c>
      <c r="H32" s="6" t="str">
        <f t="shared" si="1"/>
        <v>--- rien à faire ---</v>
      </c>
      <c r="I32" s="195">
        <f>'Budget Gold'!AD162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Gold'!AE163</f>
        <v>0</v>
      </c>
      <c r="F33" s="193">
        <f>'Budget Gold'!AE164</f>
        <v>0</v>
      </c>
      <c r="G33" s="194">
        <f t="shared" si="0"/>
        <v>0</v>
      </c>
      <c r="H33" s="6" t="str">
        <f t="shared" si="1"/>
        <v>--- rien à faire ---</v>
      </c>
      <c r="I33" s="195">
        <f>'Budget Gold'!AD165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Gold'!AE166</f>
        <v>0</v>
      </c>
      <c r="F34" s="193">
        <f>'Budget Gold'!AE167</f>
        <v>0</v>
      </c>
      <c r="G34" s="194">
        <f t="shared" si="0"/>
        <v>0</v>
      </c>
      <c r="H34" s="6" t="str">
        <f t="shared" si="1"/>
        <v>--- rien à faire ---</v>
      </c>
      <c r="I34" s="195">
        <f>'Budget Gold'!AD168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Gold'!AE169</f>
        <v>0</v>
      </c>
      <c r="F35" s="193">
        <f>'Budget Gold'!AE170</f>
        <v>0</v>
      </c>
      <c r="G35" s="194">
        <f t="shared" si="0"/>
        <v>0</v>
      </c>
      <c r="H35" s="6" t="str">
        <f t="shared" si="1"/>
        <v>--- rien à faire ---</v>
      </c>
      <c r="I35" s="195">
        <f>'Budget Gold'!AD171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Gold'!AE172</f>
        <v>0</v>
      </c>
      <c r="F36" s="193">
        <f>'Budget Gold'!AE173</f>
        <v>0</v>
      </c>
      <c r="G36" s="194">
        <f t="shared" si="0"/>
        <v>0</v>
      </c>
      <c r="H36" s="6" t="str">
        <f t="shared" si="1"/>
        <v>--- rien à faire ---</v>
      </c>
      <c r="I36" s="195">
        <f>'Budget Gold'!AD174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Gold'!AE175</f>
        <v>0</v>
      </c>
      <c r="F37" s="193">
        <f>'Budget Gold'!AE176</f>
        <v>0</v>
      </c>
      <c r="G37" s="194">
        <f t="shared" si="0"/>
        <v>0</v>
      </c>
      <c r="H37" s="6" t="str">
        <f t="shared" si="1"/>
        <v>--- rien à faire ---</v>
      </c>
      <c r="I37" s="195">
        <f>'Budget Gold'!AD177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Gold'!AE178</f>
        <v>0</v>
      </c>
      <c r="F38" s="193">
        <f>'Budget Gold'!AE179</f>
        <v>0</v>
      </c>
      <c r="G38" s="194">
        <f t="shared" si="0"/>
        <v>0</v>
      </c>
      <c r="H38" s="6" t="str">
        <f t="shared" si="1"/>
        <v>--- rien à faire ---</v>
      </c>
      <c r="I38" s="195">
        <f>'Budget Gold'!AD180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Gold'!AE181</f>
        <v>200</v>
      </c>
      <c r="F39" s="193">
        <f>'Budget Gold'!AE182</f>
        <v>200</v>
      </c>
      <c r="G39" s="194">
        <f t="shared" si="0"/>
        <v>0</v>
      </c>
      <c r="H39" s="6" t="str">
        <f t="shared" si="1"/>
        <v>--- rien à faire ---</v>
      </c>
      <c r="I39" s="195">
        <f>'Budget Gold'!AD183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Gold'!AE184</f>
        <v>0</v>
      </c>
      <c r="F40" s="193">
        <f>'Budget Gold'!AE185</f>
        <v>0</v>
      </c>
      <c r="G40" s="194">
        <f t="shared" si="0"/>
        <v>0</v>
      </c>
      <c r="H40" s="6" t="str">
        <f t="shared" si="1"/>
        <v>--- rien à faire ---</v>
      </c>
      <c r="I40" s="195">
        <f>'Budget Gold'!AD186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Gold'!AE187</f>
        <v>0</v>
      </c>
      <c r="F41" s="193">
        <f>'Budget Gold'!AE188</f>
        <v>0</v>
      </c>
      <c r="G41" s="194">
        <f t="shared" si="0"/>
        <v>0</v>
      </c>
      <c r="H41" s="6" t="str">
        <f t="shared" si="1"/>
        <v>--- rien à faire ---</v>
      </c>
      <c r="I41" s="195">
        <f>'Budget Gold'!AD189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Gold'!AE190</f>
        <v>0</v>
      </c>
      <c r="F42" s="193">
        <f>'Budget Gold'!AE191</f>
        <v>0</v>
      </c>
      <c r="G42" s="194">
        <f t="shared" si="0"/>
        <v>0</v>
      </c>
      <c r="H42" s="6" t="str">
        <f t="shared" si="1"/>
        <v>--- rien à faire ---</v>
      </c>
      <c r="I42" s="195">
        <f>'Budget Gold'!AD192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Gold'!AE193</f>
        <v>0</v>
      </c>
      <c r="F43" s="193">
        <f>'Budget Gold'!AE194</f>
        <v>0</v>
      </c>
      <c r="G43" s="194">
        <f t="shared" si="0"/>
        <v>0</v>
      </c>
      <c r="H43" s="6" t="str">
        <f t="shared" si="1"/>
        <v>--- rien à faire ---</v>
      </c>
      <c r="I43" s="195">
        <f>'Budget Gold'!AD195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Gold'!AE196</f>
        <v>0</v>
      </c>
      <c r="F44" s="193">
        <f>'Budget Gold'!AE197</f>
        <v>0</v>
      </c>
      <c r="G44" s="194">
        <f t="shared" ref="G44:G51" si="5">E44-F44</f>
        <v>0</v>
      </c>
      <c r="H44" s="6" t="str">
        <f t="shared" ref="H44:H51" si="6">IF(G44&gt;0,"(+) à ajouter sur le compte épargne",IF(G44=0,"--- rien à faire ---","(-) de moins sur le compte épargne"))</f>
        <v>--- rien à faire ---</v>
      </c>
      <c r="I44" s="195">
        <f>'Budget Gold'!AD198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Gold'!AE199</f>
        <v>0</v>
      </c>
      <c r="F45" s="193">
        <f>'Budget Gold'!AE200</f>
        <v>0</v>
      </c>
      <c r="G45" s="194">
        <f t="shared" si="5"/>
        <v>0</v>
      </c>
      <c r="H45" s="6" t="str">
        <f t="shared" si="6"/>
        <v>--- rien à faire ---</v>
      </c>
      <c r="I45" s="195">
        <f>'Budget Gold'!AD201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Gold'!AE202</f>
        <v>0</v>
      </c>
      <c r="F46" s="193">
        <f>'Budget Gold'!AE203</f>
        <v>0</v>
      </c>
      <c r="G46" s="194">
        <f t="shared" si="5"/>
        <v>0</v>
      </c>
      <c r="H46" s="6" t="str">
        <f t="shared" si="6"/>
        <v>--- rien à faire ---</v>
      </c>
      <c r="I46" s="195">
        <f>'Budget Gold'!AD204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Gold'!AE205</f>
        <v>0</v>
      </c>
      <c r="F47" s="193">
        <f>'Budget Gold'!AE206</f>
        <v>0</v>
      </c>
      <c r="G47" s="194">
        <f t="shared" si="5"/>
        <v>0</v>
      </c>
      <c r="H47" s="6" t="str">
        <f t="shared" si="6"/>
        <v>--- rien à faire ---</v>
      </c>
      <c r="I47" s="195">
        <f>'Budget Gold'!AD207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Gold'!AE208</f>
        <v>0</v>
      </c>
      <c r="F48" s="193">
        <f>'Budget Gold'!AE209</f>
        <v>0</v>
      </c>
      <c r="G48" s="194">
        <f t="shared" si="5"/>
        <v>0</v>
      </c>
      <c r="H48" s="6" t="str">
        <f t="shared" si="6"/>
        <v>--- rien à faire ---</v>
      </c>
      <c r="I48" s="195">
        <f>'Budget Gold'!AD210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Gold'!AE211</f>
        <v>0</v>
      </c>
      <c r="F49" s="193">
        <f>'Budget Gold'!AE212</f>
        <v>0</v>
      </c>
      <c r="G49" s="194">
        <f t="shared" si="5"/>
        <v>0</v>
      </c>
      <c r="H49" s="6" t="str">
        <f t="shared" si="6"/>
        <v>--- rien à faire ---</v>
      </c>
      <c r="I49" s="195">
        <f>'Budget Gold'!AD213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Gold'!AE214</f>
        <v>0</v>
      </c>
      <c r="F50" s="193">
        <f>'Budget Gold'!AE215</f>
        <v>0</v>
      </c>
      <c r="G50" s="194">
        <f t="shared" si="5"/>
        <v>0</v>
      </c>
      <c r="H50" s="6" t="str">
        <f t="shared" si="6"/>
        <v>--- rien à faire ---</v>
      </c>
      <c r="I50" s="195">
        <f>'Budget Gold'!AD216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Gold'!AE217</f>
        <v>0</v>
      </c>
      <c r="F51" s="193">
        <f>'Budget Gold'!AE218</f>
        <v>0</v>
      </c>
      <c r="G51" s="194">
        <f t="shared" si="5"/>
        <v>0</v>
      </c>
      <c r="H51" s="6" t="str">
        <f t="shared" si="6"/>
        <v>--- rien à faire ---</v>
      </c>
      <c r="I51" s="195">
        <f>'Budget Gold'!AD219</f>
        <v>0</v>
      </c>
    </row>
    <row r="52" spans="1:13" s="1" customFormat="1">
      <c r="A52" s="156"/>
      <c r="D52" s="156"/>
      <c r="J52" s="180"/>
      <c r="K52" s="180"/>
      <c r="L52" s="180"/>
      <c r="M52" s="180"/>
    </row>
    <row r="53" spans="1:13" s="1" customFormat="1" ht="16">
      <c r="A53" s="156"/>
      <c r="D53" s="156"/>
      <c r="H53" s="248" t="s">
        <v>568</v>
      </c>
      <c r="I53" s="398">
        <f>SUM(I6:I51)</f>
        <v>51823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Gold'!AD7</f>
        <v>46398</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Gold'!AD7</f>
        <v>46398</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0</v>
      </c>
      <c r="H60" s="91" t="str">
        <f>IF(G60&gt;0,"(+) à ajouter sur ce compte épargne",IF(G60=0,"--- le solde ne change pas ---","(-) de moins sur ce compte épargne"))</f>
        <v>--- le solde ne change pas ---</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41530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3911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197459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xMKrQB73Jz8Zh46VACnz5Gow3gLEApGIAJWmN+7OXukTOkTfNo0X6RLIe0bVadcHA9b+unopSjlselh0tj7dsw==" saltValue="xHFl6I+FtiHP1fO6JmNwlA=="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49" priority="19" operator="equal">
      <formula>0</formula>
    </cfRule>
    <cfRule type="cellIs" dxfId="48" priority="20" operator="lessThan">
      <formula>0</formula>
    </cfRule>
    <cfRule type="cellIs" dxfId="47" priority="21" operator="greaterThan">
      <formula>0</formula>
    </cfRule>
  </conditionalFormatting>
  <conditionalFormatting sqref="G60:G89">
    <cfRule type="cellIs" dxfId="46" priority="5" operator="equal">
      <formula>0</formula>
    </cfRule>
    <cfRule type="cellIs" dxfId="45" priority="6" operator="lessThan">
      <formula>0</formula>
    </cfRule>
    <cfRule type="cellIs" dxfId="44" priority="7" operator="greaterThan">
      <formula>0</formula>
    </cfRule>
  </conditionalFormatting>
  <conditionalFormatting sqref="H8:H51">
    <cfRule type="cellIs" dxfId="43" priority="17" operator="equal">
      <formula>"(-) de moins sur le compte épargne"</formula>
    </cfRule>
    <cfRule type="cellIs" dxfId="42" priority="18" operator="equal">
      <formula>"(+) à ajouter sur le compte épargne"</formula>
    </cfRule>
  </conditionalFormatting>
  <conditionalFormatting sqref="H60:H89">
    <cfRule type="cellIs" dxfId="41" priority="1" operator="equal">
      <formula>"(-) de moins sur ce compte épargne"</formula>
    </cfRule>
    <cfRule type="cellIs" dxfId="40" priority="2" operator="equal">
      <formula>"(+) à ajouter sur ce compte épargne"</formula>
    </cfRule>
  </conditionalFormatting>
  <hyperlinks>
    <hyperlink ref="A2:A4" location="'Budget Gold'!A1" tooltip="Retour au tableau Budget Gold" display="Retour au Budget" xr:uid="{00000000-0004-0000-1200-000000000000}"/>
    <hyperlink ref="A56" location="'Budget Gold'!A1" display="Retour au budget" xr:uid="{00000000-0004-0000-1200-000001000000}"/>
    <hyperlink ref="A56:A58" location="'Budget Gold'!A1" tooltip="Retour au tableau Budget Gold" display="Retour au Budget" xr:uid="{00000000-0004-0000-1200-000002000000}"/>
    <hyperlink ref="A2" location="'Budget Gold'!A1" tooltip="Retour au tableau Budget Gold" display="Retour au Budget" xr:uid="{00000000-0004-0000-1200-000003000000}"/>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561"/>
  <sheetViews>
    <sheetView workbookViewId="0"/>
  </sheetViews>
  <sheetFormatPr baseColWidth="10" defaultColWidth="11.33203125" defaultRowHeight="13"/>
  <cols>
    <col min="1" max="1" width="19.6640625" style="1" customWidth="1"/>
    <col min="2" max="2" width="55.83203125" style="182" customWidth="1"/>
    <col min="3" max="3" width="4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Gold'!AG7</f>
        <v>46430</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Gold'!AG7</f>
        <v>46430</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Gold'!AH54</f>
        <v>250</v>
      </c>
      <c r="F8" s="193">
        <f>'Budget Gold'!AH55</f>
        <v>0</v>
      </c>
      <c r="G8" s="194">
        <f>E8-F8</f>
        <v>250</v>
      </c>
      <c r="H8" s="6" t="str">
        <f>IF(G8&gt;0,"(+) à ajouter sur le compte épargne",IF(G8=0,"--- rien à faire ---","(-) de moins sur le compte épargne"))</f>
        <v>(+) à ajouter sur le compte épargne</v>
      </c>
      <c r="I8" s="195">
        <f>'Budget Gold'!AG56</f>
        <v>41780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Gold'!AH57</f>
        <v>200</v>
      </c>
      <c r="F9" s="193">
        <f>'Budget Gold'!AH58</f>
        <v>0</v>
      </c>
      <c r="G9" s="194">
        <f t="shared" ref="G9:G43" si="0">E9-F9</f>
        <v>200</v>
      </c>
      <c r="H9" s="6" t="str">
        <f t="shared" ref="H9:H43" si="1">IF(G9&gt;0,"(+) à ajouter sur le compte épargne",IF(G9=0,"--- rien à faire ---","(-) de moins sur le compte épargne"))</f>
        <v>(+) à ajouter sur le compte épargne</v>
      </c>
      <c r="I9" s="195">
        <f>'Budget Gold'!AG59</f>
        <v>4111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Gold'!AH60</f>
        <v>0</v>
      </c>
      <c r="F10" s="193">
        <f>'Budget Gold'!AH61</f>
        <v>0</v>
      </c>
      <c r="G10" s="194">
        <f t="shared" si="0"/>
        <v>0</v>
      </c>
      <c r="H10" s="6" t="str">
        <f t="shared" si="1"/>
        <v>--- rien à faire ---</v>
      </c>
      <c r="I10" s="195">
        <f>'Budget Gold'!AG62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Gold'!AH63</f>
        <v>0</v>
      </c>
      <c r="F11" s="193">
        <f>'Budget Gold'!AH64</f>
        <v>0</v>
      </c>
      <c r="G11" s="194">
        <f t="shared" si="0"/>
        <v>0</v>
      </c>
      <c r="H11" s="6" t="str">
        <f t="shared" si="1"/>
        <v>--- rien à faire ---</v>
      </c>
      <c r="I11" s="195">
        <f>'Budget Gold'!AG65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Gold'!AH66</f>
        <v>0</v>
      </c>
      <c r="F12" s="193">
        <f>'Budget Gold'!AH67</f>
        <v>0</v>
      </c>
      <c r="G12" s="194">
        <f t="shared" si="0"/>
        <v>0</v>
      </c>
      <c r="H12" s="6" t="str">
        <f t="shared" si="1"/>
        <v>--- rien à faire ---</v>
      </c>
      <c r="I12" s="195">
        <f>'Budget Gold'!AG68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Gold'!AH69</f>
        <v>0</v>
      </c>
      <c r="F13" s="193">
        <f>'Budget Gold'!AH70</f>
        <v>0</v>
      </c>
      <c r="G13" s="194">
        <f t="shared" si="0"/>
        <v>0</v>
      </c>
      <c r="H13" s="6" t="str">
        <f t="shared" si="1"/>
        <v>--- rien à faire ---</v>
      </c>
      <c r="I13" s="195">
        <f>'Budget Gold'!AG71</f>
        <v>-1600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Gold'!AH72</f>
        <v>0</v>
      </c>
      <c r="F14" s="193">
        <f>'Budget Gold'!AH73</f>
        <v>0</v>
      </c>
      <c r="G14" s="194">
        <f t="shared" si="0"/>
        <v>0</v>
      </c>
      <c r="H14" s="6" t="str">
        <f t="shared" si="1"/>
        <v>--- rien à faire ---</v>
      </c>
      <c r="I14" s="195">
        <f>'Budget Gold'!AG74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Gold'!AH75</f>
        <v>0</v>
      </c>
      <c r="F15" s="193">
        <f>'Budget Gold'!AH76</f>
        <v>0</v>
      </c>
      <c r="G15" s="194">
        <f t="shared" si="0"/>
        <v>0</v>
      </c>
      <c r="H15" s="6" t="str">
        <f t="shared" si="1"/>
        <v>--- rien à faire ---</v>
      </c>
      <c r="I15" s="195">
        <f>'Budget Gold'!AG77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Gold'!AH78</f>
        <v>0</v>
      </c>
      <c r="F16" s="193">
        <f>'Budget Gold'!AH79</f>
        <v>0</v>
      </c>
      <c r="G16" s="194">
        <f t="shared" si="0"/>
        <v>0</v>
      </c>
      <c r="H16" s="6" t="str">
        <f t="shared" si="1"/>
        <v>--- rien à faire ---</v>
      </c>
      <c r="I16" s="195">
        <f>'Budget Gold'!AG80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Gold'!AH81</f>
        <v>0</v>
      </c>
      <c r="F17" s="193">
        <f>'Budget Gold'!AH82</f>
        <v>0</v>
      </c>
      <c r="G17" s="194">
        <f t="shared" si="0"/>
        <v>0</v>
      </c>
      <c r="H17" s="6" t="str">
        <f t="shared" si="1"/>
        <v>--- rien à faire ---</v>
      </c>
      <c r="I17" s="195">
        <f>'Budget Gold'!AG83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Gold'!AH84</f>
        <v>0</v>
      </c>
      <c r="F18" s="193">
        <f>'Budget Gold'!AH85</f>
        <v>0</v>
      </c>
      <c r="G18" s="194">
        <f t="shared" si="0"/>
        <v>0</v>
      </c>
      <c r="H18" s="6" t="str">
        <f t="shared" si="1"/>
        <v>--- rien à faire ---</v>
      </c>
      <c r="I18" s="195">
        <f>'Budget Gold'!AG86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Gold'!AH87</f>
        <v>0</v>
      </c>
      <c r="F19" s="193">
        <f>'Budget Gold'!AH88</f>
        <v>0</v>
      </c>
      <c r="G19" s="194">
        <f t="shared" si="0"/>
        <v>0</v>
      </c>
      <c r="H19" s="6" t="str">
        <f t="shared" si="1"/>
        <v>--- rien à faire ---</v>
      </c>
      <c r="I19" s="195">
        <f>'Budget Gold'!AG89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Gold'!AH90</f>
        <v>0</v>
      </c>
      <c r="F20" s="193">
        <f>'Budget Gold'!AH91</f>
        <v>0</v>
      </c>
      <c r="G20" s="194">
        <f t="shared" si="0"/>
        <v>0</v>
      </c>
      <c r="H20" s="6" t="str">
        <f t="shared" si="1"/>
        <v>--- rien à faire ---</v>
      </c>
      <c r="I20" s="195">
        <f>'Budget Gold'!AG92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Gold'!AH93</f>
        <v>0</v>
      </c>
      <c r="F21" s="193">
        <f>'Budget Gold'!AH94</f>
        <v>0</v>
      </c>
      <c r="G21" s="194">
        <f t="shared" si="0"/>
        <v>0</v>
      </c>
      <c r="H21" s="6" t="str">
        <f t="shared" si="1"/>
        <v>--- rien à faire ---</v>
      </c>
      <c r="I21" s="195">
        <f>'Budget Gold'!AG95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Gold'!AH96</f>
        <v>0</v>
      </c>
      <c r="F22" s="193">
        <f>'Budget Gold'!AH97</f>
        <v>0</v>
      </c>
      <c r="G22" s="194">
        <f t="shared" si="0"/>
        <v>0</v>
      </c>
      <c r="H22" s="6" t="str">
        <f t="shared" si="1"/>
        <v>--- rien à faire ---</v>
      </c>
      <c r="I22" s="195">
        <f>'Budget Gold'!AG98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Gold'!AH99</f>
        <v>0</v>
      </c>
      <c r="F23" s="193">
        <f>'Budget Gold'!AH100</f>
        <v>0</v>
      </c>
      <c r="G23" s="194">
        <f t="shared" si="0"/>
        <v>0</v>
      </c>
      <c r="H23" s="6" t="str">
        <f t="shared" si="1"/>
        <v>--- rien à faire ---</v>
      </c>
      <c r="I23" s="195">
        <f>'Budget Gold'!AG101</f>
        <v>0</v>
      </c>
    </row>
    <row r="24" spans="1:13">
      <c r="A24" s="177">
        <f t="shared" si="2"/>
        <v>17</v>
      </c>
      <c r="B24" s="191" t="str">
        <f>IF('Budget Gold'!E102="Indiquer le nom du projet à financer","",'Budget Gold'!E102)</f>
        <v/>
      </c>
      <c r="C24" s="6" t="str">
        <f>IF('Budget Gold'!E104="- compte d'épargne à saisir -","",'Budget Gold'!E104)</f>
        <v/>
      </c>
      <c r="D24" s="156"/>
      <c r="E24" s="192">
        <f>'Budget Gold'!AH102</f>
        <v>0</v>
      </c>
      <c r="F24" s="193">
        <f>'Budget Gold'!AH103</f>
        <v>0</v>
      </c>
      <c r="G24" s="194">
        <f t="shared" ref="G24:G31" si="3">E24-F24</f>
        <v>0</v>
      </c>
      <c r="H24" s="6" t="str">
        <f t="shared" ref="H24:H30" si="4">IF(G24&gt;0,"(+) à ajouter sur le compte épargne",IF(G24=0,"--- rien à faire ---","(-) de moins sur le compte épargne"))</f>
        <v>--- rien à faire ---</v>
      </c>
      <c r="I24" s="195">
        <f>'Budget Gold'!AG104</f>
        <v>0</v>
      </c>
    </row>
    <row r="25" spans="1:13">
      <c r="A25" s="177">
        <f t="shared" si="2"/>
        <v>18</v>
      </c>
      <c r="B25" s="191" t="str">
        <f>IF('Budget Gold'!E105="Indiquer le nom du projet à financer","",'Budget Gold'!E105)</f>
        <v/>
      </c>
      <c r="C25" s="6" t="str">
        <f>IF('Budget Gold'!E107="- compte d'épargne à saisir -","",'Budget Gold'!E107)</f>
        <v/>
      </c>
      <c r="D25" s="156"/>
      <c r="E25" s="192">
        <f>'Budget Gold'!AH105</f>
        <v>0</v>
      </c>
      <c r="F25" s="193">
        <f>'Budget Gold'!AH106</f>
        <v>0</v>
      </c>
      <c r="G25" s="194">
        <f t="shared" si="3"/>
        <v>0</v>
      </c>
      <c r="H25" s="6" t="str">
        <f t="shared" si="4"/>
        <v>--- rien à faire ---</v>
      </c>
      <c r="I25" s="195">
        <f>'Budget Gold'!AG107</f>
        <v>0</v>
      </c>
    </row>
    <row r="26" spans="1:13">
      <c r="A26" s="177">
        <f t="shared" si="2"/>
        <v>19</v>
      </c>
      <c r="B26" s="191" t="str">
        <f>IF('Budget Gold'!E108="Indiquer le nom du projet à financer","",'Budget Gold'!E108)</f>
        <v/>
      </c>
      <c r="C26" s="6" t="str">
        <f>IF('Budget Gold'!E110="- compte d'épargne à saisir -","",'Budget Gold'!E110)</f>
        <v/>
      </c>
      <c r="D26" s="156"/>
      <c r="E26" s="192">
        <f>'Budget Gold'!AH108</f>
        <v>0</v>
      </c>
      <c r="F26" s="193">
        <f>'Budget Gold'!AH109</f>
        <v>0</v>
      </c>
      <c r="G26" s="194">
        <f t="shared" si="3"/>
        <v>0</v>
      </c>
      <c r="H26" s="6" t="str">
        <f t="shared" si="4"/>
        <v>--- rien à faire ---</v>
      </c>
      <c r="I26" s="195">
        <f>'Budget Gold'!AG110</f>
        <v>0</v>
      </c>
    </row>
    <row r="27" spans="1:13">
      <c r="A27" s="177">
        <f t="shared" si="2"/>
        <v>20</v>
      </c>
      <c r="B27" s="191" t="str">
        <f>IF('Budget Gold'!E111="Indiquer le nom du projet à financer","",'Budget Gold'!E111)</f>
        <v/>
      </c>
      <c r="C27" s="6" t="str">
        <f>IF('Budget Gold'!E113="- compte d'épargne à saisir -","",'Budget Gold'!E113)</f>
        <v/>
      </c>
      <c r="D27" s="156"/>
      <c r="E27" s="192">
        <f>'Budget Gold'!AH111</f>
        <v>0</v>
      </c>
      <c r="F27" s="193">
        <f>'Budget Gold'!AH112</f>
        <v>0</v>
      </c>
      <c r="G27" s="194">
        <f t="shared" si="3"/>
        <v>0</v>
      </c>
      <c r="H27" s="6" t="str">
        <f t="shared" si="4"/>
        <v>--- rien à faire ---</v>
      </c>
      <c r="I27" s="195">
        <f>'Budget Gold'!AG113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Gold'!AH114</f>
        <v>0</v>
      </c>
      <c r="F28" s="193">
        <f>'Budget Gold'!AH115</f>
        <v>0</v>
      </c>
      <c r="G28" s="194">
        <f t="shared" si="3"/>
        <v>0</v>
      </c>
      <c r="H28" s="6" t="str">
        <f t="shared" si="4"/>
        <v>--- rien à faire ---</v>
      </c>
      <c r="I28" s="195">
        <f>'Budget Gold'!AG116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Gold'!AH117</f>
        <v>0</v>
      </c>
      <c r="F29" s="193">
        <f>'Budget Gold'!AH118</f>
        <v>0</v>
      </c>
      <c r="G29" s="194">
        <f t="shared" si="3"/>
        <v>0</v>
      </c>
      <c r="H29" s="6" t="str">
        <f t="shared" si="4"/>
        <v>--- rien à faire ---</v>
      </c>
      <c r="I29" s="195">
        <f>'Budget Gold'!AG119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Gold'!AH120</f>
        <v>0</v>
      </c>
      <c r="F30" s="193">
        <f>'Budget Gold'!AH121</f>
        <v>0</v>
      </c>
      <c r="G30" s="194">
        <f t="shared" si="3"/>
        <v>0</v>
      </c>
      <c r="H30" s="6" t="str">
        <f t="shared" si="4"/>
        <v>--- rien à faire ---</v>
      </c>
      <c r="I30" s="195">
        <f>'Budget Gold'!AG122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Gold'!AH123</f>
        <v>0</v>
      </c>
      <c r="F31" s="193">
        <f>'Budget Gold'!AH124</f>
        <v>0</v>
      </c>
      <c r="G31" s="194">
        <f t="shared" si="3"/>
        <v>0</v>
      </c>
      <c r="H31" s="6" t="str">
        <f>IF(G31&gt;0,"(+) à ajouter sur le compte épargne",IF(G31=0,"--- rien à faire ---","(-) de moins sur le compte épargne"))</f>
        <v>--- rien à faire ---</v>
      </c>
      <c r="I31" s="195">
        <f>'Budget Gold'!AG125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Gold'!AH160</f>
        <v>0</v>
      </c>
      <c r="F32" s="193">
        <f>'Budget Gold'!AH161</f>
        <v>0</v>
      </c>
      <c r="G32" s="194">
        <f t="shared" si="0"/>
        <v>0</v>
      </c>
      <c r="H32" s="6" t="str">
        <f t="shared" si="1"/>
        <v>--- rien à faire ---</v>
      </c>
      <c r="I32" s="195">
        <f>'Budget Gold'!AG162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Gold'!AH163</f>
        <v>0</v>
      </c>
      <c r="F33" s="193">
        <f>'Budget Gold'!AH164</f>
        <v>0</v>
      </c>
      <c r="G33" s="194">
        <f t="shared" si="0"/>
        <v>0</v>
      </c>
      <c r="H33" s="6" t="str">
        <f t="shared" si="1"/>
        <v>--- rien à faire ---</v>
      </c>
      <c r="I33" s="195">
        <f>'Budget Gold'!AG165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Gold'!AH166</f>
        <v>0</v>
      </c>
      <c r="F34" s="193">
        <f>'Budget Gold'!AH167</f>
        <v>0</v>
      </c>
      <c r="G34" s="194">
        <f t="shared" si="0"/>
        <v>0</v>
      </c>
      <c r="H34" s="6" t="str">
        <f t="shared" si="1"/>
        <v>--- rien à faire ---</v>
      </c>
      <c r="I34" s="195">
        <f>'Budget Gold'!AG168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Gold'!AH169</f>
        <v>0</v>
      </c>
      <c r="F35" s="193">
        <f>'Budget Gold'!AH170</f>
        <v>0</v>
      </c>
      <c r="G35" s="194">
        <f t="shared" si="0"/>
        <v>0</v>
      </c>
      <c r="H35" s="6" t="str">
        <f t="shared" si="1"/>
        <v>--- rien à faire ---</v>
      </c>
      <c r="I35" s="195">
        <f>'Budget Gold'!AG171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Gold'!AH172</f>
        <v>0</v>
      </c>
      <c r="F36" s="193">
        <f>'Budget Gold'!AH173</f>
        <v>0</v>
      </c>
      <c r="G36" s="194">
        <f t="shared" si="0"/>
        <v>0</v>
      </c>
      <c r="H36" s="6" t="str">
        <f t="shared" si="1"/>
        <v>--- rien à faire ---</v>
      </c>
      <c r="I36" s="195">
        <f>'Budget Gold'!AG174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Gold'!AH175</f>
        <v>0</v>
      </c>
      <c r="F37" s="193">
        <f>'Budget Gold'!AH176</f>
        <v>0</v>
      </c>
      <c r="G37" s="194">
        <f t="shared" si="0"/>
        <v>0</v>
      </c>
      <c r="H37" s="6" t="str">
        <f t="shared" si="1"/>
        <v>--- rien à faire ---</v>
      </c>
      <c r="I37" s="195">
        <f>'Budget Gold'!AG177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Gold'!AH178</f>
        <v>0</v>
      </c>
      <c r="F38" s="193">
        <f>'Budget Gold'!AH179</f>
        <v>0</v>
      </c>
      <c r="G38" s="194">
        <f t="shared" si="0"/>
        <v>0</v>
      </c>
      <c r="H38" s="6" t="str">
        <f t="shared" si="1"/>
        <v>--- rien à faire ---</v>
      </c>
      <c r="I38" s="195">
        <f>'Budget Gold'!AG180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Gold'!AH181</f>
        <v>200</v>
      </c>
      <c r="F39" s="193">
        <f>'Budget Gold'!AH182</f>
        <v>200</v>
      </c>
      <c r="G39" s="194">
        <f t="shared" si="0"/>
        <v>0</v>
      </c>
      <c r="H39" s="6" t="str">
        <f t="shared" si="1"/>
        <v>--- rien à faire ---</v>
      </c>
      <c r="I39" s="195">
        <f>'Budget Gold'!AG183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Gold'!AH184</f>
        <v>0</v>
      </c>
      <c r="F40" s="193">
        <f>'Budget Gold'!AH185</f>
        <v>0</v>
      </c>
      <c r="G40" s="194">
        <f t="shared" si="0"/>
        <v>0</v>
      </c>
      <c r="H40" s="6" t="str">
        <f t="shared" si="1"/>
        <v>--- rien à faire ---</v>
      </c>
      <c r="I40" s="195">
        <f>'Budget Gold'!AG186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Gold'!AH187</f>
        <v>0</v>
      </c>
      <c r="F41" s="193">
        <f>'Budget Gold'!AH188</f>
        <v>0</v>
      </c>
      <c r="G41" s="194">
        <f t="shared" si="0"/>
        <v>0</v>
      </c>
      <c r="H41" s="6" t="str">
        <f t="shared" si="1"/>
        <v>--- rien à faire ---</v>
      </c>
      <c r="I41" s="195">
        <f>'Budget Gold'!AG189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Gold'!AH190</f>
        <v>0</v>
      </c>
      <c r="F42" s="193">
        <f>'Budget Gold'!AH191</f>
        <v>0</v>
      </c>
      <c r="G42" s="194">
        <f t="shared" si="0"/>
        <v>0</v>
      </c>
      <c r="H42" s="6" t="str">
        <f t="shared" si="1"/>
        <v>--- rien à faire ---</v>
      </c>
      <c r="I42" s="195">
        <f>'Budget Gold'!AG192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Gold'!AH193</f>
        <v>0</v>
      </c>
      <c r="F43" s="193">
        <f>'Budget Gold'!AH194</f>
        <v>0</v>
      </c>
      <c r="G43" s="194">
        <f t="shared" si="0"/>
        <v>0</v>
      </c>
      <c r="H43" s="6" t="str">
        <f t="shared" si="1"/>
        <v>--- rien à faire ---</v>
      </c>
      <c r="I43" s="195">
        <f>'Budget Gold'!AG195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Gold'!AH196</f>
        <v>0</v>
      </c>
      <c r="F44" s="193">
        <f>'Budget Gold'!AH197</f>
        <v>0</v>
      </c>
      <c r="G44" s="194">
        <f t="shared" ref="G44:G51" si="5">E44-F44</f>
        <v>0</v>
      </c>
      <c r="H44" s="6" t="str">
        <f t="shared" ref="H44:H51" si="6">IF(G44&gt;0,"(+) à ajouter sur le compte épargne",IF(G44=0,"--- rien à faire ---","(-) de moins sur le compte épargne"))</f>
        <v>--- rien à faire ---</v>
      </c>
      <c r="I44" s="195">
        <f>'Budget Gold'!AG198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Gold'!AH199</f>
        <v>0</v>
      </c>
      <c r="F45" s="193">
        <f>'Budget Gold'!AH200</f>
        <v>0</v>
      </c>
      <c r="G45" s="194">
        <f t="shared" si="5"/>
        <v>0</v>
      </c>
      <c r="H45" s="6" t="str">
        <f t="shared" si="6"/>
        <v>--- rien à faire ---</v>
      </c>
      <c r="I45" s="195">
        <f>'Budget Gold'!AG201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Gold'!AH202</f>
        <v>0</v>
      </c>
      <c r="F46" s="193">
        <f>'Budget Gold'!AH203</f>
        <v>0</v>
      </c>
      <c r="G46" s="194">
        <f t="shared" si="5"/>
        <v>0</v>
      </c>
      <c r="H46" s="6" t="str">
        <f t="shared" si="6"/>
        <v>--- rien à faire ---</v>
      </c>
      <c r="I46" s="195">
        <f>'Budget Gold'!AG204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Gold'!AH205</f>
        <v>0</v>
      </c>
      <c r="F47" s="193">
        <f>'Budget Gold'!AH206</f>
        <v>0</v>
      </c>
      <c r="G47" s="194">
        <f t="shared" si="5"/>
        <v>0</v>
      </c>
      <c r="H47" s="6" t="str">
        <f t="shared" si="6"/>
        <v>--- rien à faire ---</v>
      </c>
      <c r="I47" s="195">
        <f>'Budget Gold'!AG207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Gold'!AH208</f>
        <v>0</v>
      </c>
      <c r="F48" s="193">
        <f>'Budget Gold'!AH209</f>
        <v>0</v>
      </c>
      <c r="G48" s="194">
        <f t="shared" si="5"/>
        <v>0</v>
      </c>
      <c r="H48" s="6" t="str">
        <f t="shared" si="6"/>
        <v>--- rien à faire ---</v>
      </c>
      <c r="I48" s="195">
        <f>'Budget Gold'!AG210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Gold'!AH211</f>
        <v>0</v>
      </c>
      <c r="F49" s="193">
        <f>'Budget Gold'!AH212</f>
        <v>0</v>
      </c>
      <c r="G49" s="194">
        <f t="shared" si="5"/>
        <v>0</v>
      </c>
      <c r="H49" s="6" t="str">
        <f t="shared" si="6"/>
        <v>--- rien à faire ---</v>
      </c>
      <c r="I49" s="195">
        <f>'Budget Gold'!AG213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Gold'!AH214</f>
        <v>0</v>
      </c>
      <c r="F50" s="193">
        <f>'Budget Gold'!AH215</f>
        <v>0</v>
      </c>
      <c r="G50" s="194">
        <f t="shared" si="5"/>
        <v>0</v>
      </c>
      <c r="H50" s="6" t="str">
        <f t="shared" si="6"/>
        <v>--- rien à faire ---</v>
      </c>
      <c r="I50" s="195">
        <f>'Budget Gold'!AG216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Gold'!AH217</f>
        <v>0</v>
      </c>
      <c r="F51" s="193">
        <f>'Budget Gold'!AH218</f>
        <v>0</v>
      </c>
      <c r="G51" s="194">
        <f t="shared" si="5"/>
        <v>0</v>
      </c>
      <c r="H51" s="6" t="str">
        <f t="shared" si="6"/>
        <v>--- rien à faire ---</v>
      </c>
      <c r="I51" s="195">
        <f>'Budget Gold'!AG219</f>
        <v>0</v>
      </c>
    </row>
    <row r="52" spans="1:13" s="1" customFormat="1">
      <c r="A52" s="156"/>
      <c r="D52" s="156"/>
      <c r="J52" s="180"/>
      <c r="K52" s="180"/>
      <c r="L52" s="180"/>
      <c r="M52" s="180"/>
    </row>
    <row r="53" spans="1:13" s="1" customFormat="1" ht="16">
      <c r="A53" s="156"/>
      <c r="D53" s="156"/>
      <c r="H53" s="248" t="s">
        <v>568</v>
      </c>
      <c r="I53" s="398">
        <f>SUM(I6:I51)</f>
        <v>52273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Gold'!AG7</f>
        <v>46430</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Gold'!AG7</f>
        <v>46430</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0</v>
      </c>
      <c r="H60" s="91" t="str">
        <f>IF(G60&gt;0,"(+) à ajouter sur ce compte épargne",IF(G60=0,"--- le solde ne change pas ---","(-) de moins sur ce compte épargne"))</f>
        <v>--- le solde ne change pas ---</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41780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4111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197909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OgsrOQ5gLohgd6bVxZ2/afDAxW16LGPWBF1910Qz7W2XMJQ7pQbPgqinKShMdHYzQec0P+EC5MtHSRM7QFaibA==" saltValue="zDGKJowPb0txgRSIwTsxuA=="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39" priority="19" operator="equal">
      <formula>0</formula>
    </cfRule>
    <cfRule type="cellIs" dxfId="38" priority="20" operator="lessThan">
      <formula>0</formula>
    </cfRule>
    <cfRule type="cellIs" dxfId="37" priority="21" operator="greaterThan">
      <formula>0</formula>
    </cfRule>
  </conditionalFormatting>
  <conditionalFormatting sqref="G60:G89">
    <cfRule type="cellIs" dxfId="36" priority="5" operator="equal">
      <formula>0</formula>
    </cfRule>
    <cfRule type="cellIs" dxfId="35" priority="6" operator="lessThan">
      <formula>0</formula>
    </cfRule>
    <cfRule type="cellIs" dxfId="34" priority="7" operator="greaterThan">
      <formula>0</formula>
    </cfRule>
  </conditionalFormatting>
  <conditionalFormatting sqref="H8:H51">
    <cfRule type="cellIs" dxfId="33" priority="17" operator="equal">
      <formula>"(-) de moins sur le compte épargne"</formula>
    </cfRule>
    <cfRule type="cellIs" dxfId="32" priority="18" operator="equal">
      <formula>"(+) à ajouter sur le compte épargne"</formula>
    </cfRule>
  </conditionalFormatting>
  <conditionalFormatting sqref="H60:H89">
    <cfRule type="cellIs" dxfId="31" priority="1" operator="equal">
      <formula>"(-) de moins sur ce compte épargne"</formula>
    </cfRule>
    <cfRule type="cellIs" dxfId="30" priority="2" operator="equal">
      <formula>"(+) à ajouter sur ce compte épargne"</formula>
    </cfRule>
  </conditionalFormatting>
  <hyperlinks>
    <hyperlink ref="A2:A4" location="'Budget Gold'!A1" tooltip="Retour au tableau Budget Gold" display="Retour au Budget" xr:uid="{00000000-0004-0000-1300-000000000000}"/>
    <hyperlink ref="A56" location="'Budget Gold'!A1" display="Retour au budget" xr:uid="{00000000-0004-0000-1300-000001000000}"/>
    <hyperlink ref="A56:A58" location="'Budget Gold'!A1" tooltip="Retour au tableau Budget Gold" display="Retour au Budget" xr:uid="{00000000-0004-0000-1300-000002000000}"/>
    <hyperlink ref="A2" location="'Budget Gold'!A1" tooltip="Retour au tableau Budget Gold" display="Retour au Budget" xr:uid="{00000000-0004-0000-1300-000003000000}"/>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561"/>
  <sheetViews>
    <sheetView workbookViewId="0"/>
  </sheetViews>
  <sheetFormatPr baseColWidth="10" defaultColWidth="11.33203125" defaultRowHeight="13"/>
  <cols>
    <col min="1" max="1" width="19.6640625" style="1" customWidth="1"/>
    <col min="2" max="2" width="56.33203125" style="182" customWidth="1"/>
    <col min="3" max="3" width="4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Gold'!AJ7</f>
        <v>46462</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Gold'!AJ7</f>
        <v>46462</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Gold'!AK54</f>
        <v>250</v>
      </c>
      <c r="F8" s="193">
        <f>'Budget Gold'!AK55</f>
        <v>0</v>
      </c>
      <c r="G8" s="194">
        <f>E8-F8</f>
        <v>250</v>
      </c>
      <c r="H8" s="6" t="str">
        <f>IF(G8&gt;0,"(+) à ajouter sur le compte épargne",IF(G8=0,"--- rien à faire ---","(-) de moins sur le compte épargne"))</f>
        <v>(+) à ajouter sur le compte épargne</v>
      </c>
      <c r="I8" s="195">
        <f>'Budget Gold'!AJ56</f>
        <v>42030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Gold'!AK57</f>
        <v>200</v>
      </c>
      <c r="F9" s="193">
        <f>'Budget Gold'!AK58</f>
        <v>0</v>
      </c>
      <c r="G9" s="194">
        <f t="shared" ref="G9:G43" si="0">E9-F9</f>
        <v>200</v>
      </c>
      <c r="H9" s="6" t="str">
        <f t="shared" ref="H9:H43" si="1">IF(G9&gt;0,"(+) à ajouter sur le compte épargne",IF(G9=0,"--- rien à faire ---","(-) de moins sur le compte épargne"))</f>
        <v>(+) à ajouter sur le compte épargne</v>
      </c>
      <c r="I9" s="195">
        <f>'Budget Gold'!AJ59</f>
        <v>4311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Gold'!AK60</f>
        <v>0</v>
      </c>
      <c r="F10" s="193">
        <f>'Budget Gold'!AK61</f>
        <v>0</v>
      </c>
      <c r="G10" s="194">
        <f t="shared" si="0"/>
        <v>0</v>
      </c>
      <c r="H10" s="6" t="str">
        <f t="shared" si="1"/>
        <v>--- rien à faire ---</v>
      </c>
      <c r="I10" s="195">
        <f>'Budget Gold'!AJ62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Gold'!AK63</f>
        <v>0</v>
      </c>
      <c r="F11" s="193">
        <f>'Budget Gold'!AK64</f>
        <v>0</v>
      </c>
      <c r="G11" s="194">
        <f t="shared" si="0"/>
        <v>0</v>
      </c>
      <c r="H11" s="6" t="str">
        <f t="shared" si="1"/>
        <v>--- rien à faire ---</v>
      </c>
      <c r="I11" s="195">
        <f>'Budget Gold'!AJ65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Gold'!AK66</f>
        <v>0</v>
      </c>
      <c r="F12" s="193">
        <f>'Budget Gold'!AK67</f>
        <v>0</v>
      </c>
      <c r="G12" s="194">
        <f t="shared" si="0"/>
        <v>0</v>
      </c>
      <c r="H12" s="6" t="str">
        <f t="shared" si="1"/>
        <v>--- rien à faire ---</v>
      </c>
      <c r="I12" s="195">
        <f>'Budget Gold'!AJ68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Gold'!AK69</f>
        <v>0</v>
      </c>
      <c r="F13" s="193">
        <f>'Budget Gold'!AK70</f>
        <v>0</v>
      </c>
      <c r="G13" s="194">
        <f t="shared" si="0"/>
        <v>0</v>
      </c>
      <c r="H13" s="6" t="str">
        <f t="shared" si="1"/>
        <v>--- rien à faire ---</v>
      </c>
      <c r="I13" s="195">
        <f>'Budget Gold'!AJ71</f>
        <v>-1600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Gold'!AK72</f>
        <v>0</v>
      </c>
      <c r="F14" s="193">
        <f>'Budget Gold'!AK73</f>
        <v>0</v>
      </c>
      <c r="G14" s="194">
        <f t="shared" si="0"/>
        <v>0</v>
      </c>
      <c r="H14" s="6" t="str">
        <f t="shared" si="1"/>
        <v>--- rien à faire ---</v>
      </c>
      <c r="I14" s="195">
        <f>'Budget Gold'!AJ74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Gold'!AK75</f>
        <v>0</v>
      </c>
      <c r="F15" s="193">
        <f>'Budget Gold'!AK76</f>
        <v>0</v>
      </c>
      <c r="G15" s="194">
        <f t="shared" si="0"/>
        <v>0</v>
      </c>
      <c r="H15" s="6" t="str">
        <f t="shared" si="1"/>
        <v>--- rien à faire ---</v>
      </c>
      <c r="I15" s="195">
        <f>'Budget Gold'!AJ77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Gold'!AK78</f>
        <v>0</v>
      </c>
      <c r="F16" s="193">
        <f>'Budget Gold'!AK79</f>
        <v>0</v>
      </c>
      <c r="G16" s="194">
        <f t="shared" si="0"/>
        <v>0</v>
      </c>
      <c r="H16" s="6" t="str">
        <f t="shared" si="1"/>
        <v>--- rien à faire ---</v>
      </c>
      <c r="I16" s="195">
        <f>'Budget Gold'!AJ80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Gold'!AK81</f>
        <v>0</v>
      </c>
      <c r="F17" s="193">
        <f>'Budget Gold'!AK82</f>
        <v>0</v>
      </c>
      <c r="G17" s="194">
        <f t="shared" si="0"/>
        <v>0</v>
      </c>
      <c r="H17" s="6" t="str">
        <f t="shared" si="1"/>
        <v>--- rien à faire ---</v>
      </c>
      <c r="I17" s="195">
        <f>'Budget Gold'!AJ83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Gold'!AK84</f>
        <v>0</v>
      </c>
      <c r="F18" s="193">
        <f>'Budget Gold'!AK85</f>
        <v>0</v>
      </c>
      <c r="G18" s="194">
        <f t="shared" si="0"/>
        <v>0</v>
      </c>
      <c r="H18" s="6" t="str">
        <f t="shared" si="1"/>
        <v>--- rien à faire ---</v>
      </c>
      <c r="I18" s="195">
        <f>'Budget Gold'!AJ86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Gold'!AK87</f>
        <v>0</v>
      </c>
      <c r="F19" s="193">
        <f>'Budget Gold'!AK88</f>
        <v>0</v>
      </c>
      <c r="G19" s="194">
        <f t="shared" si="0"/>
        <v>0</v>
      </c>
      <c r="H19" s="6" t="str">
        <f t="shared" si="1"/>
        <v>--- rien à faire ---</v>
      </c>
      <c r="I19" s="195">
        <f>'Budget Gold'!AJ89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Gold'!AK90</f>
        <v>0</v>
      </c>
      <c r="F20" s="193">
        <f>'Budget Gold'!AK91</f>
        <v>0</v>
      </c>
      <c r="G20" s="194">
        <f t="shared" si="0"/>
        <v>0</v>
      </c>
      <c r="H20" s="6" t="str">
        <f t="shared" si="1"/>
        <v>--- rien à faire ---</v>
      </c>
      <c r="I20" s="195">
        <f>'Budget Gold'!AJ92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Gold'!AK93</f>
        <v>0</v>
      </c>
      <c r="F21" s="193">
        <f>'Budget Gold'!AK94</f>
        <v>0</v>
      </c>
      <c r="G21" s="194">
        <f t="shared" si="0"/>
        <v>0</v>
      </c>
      <c r="H21" s="6" t="str">
        <f t="shared" si="1"/>
        <v>--- rien à faire ---</v>
      </c>
      <c r="I21" s="195">
        <f>'Budget Gold'!AJ95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Gold'!AK96</f>
        <v>0</v>
      </c>
      <c r="F22" s="193">
        <f>'Budget Gold'!AK97</f>
        <v>0</v>
      </c>
      <c r="G22" s="194">
        <f t="shared" si="0"/>
        <v>0</v>
      </c>
      <c r="H22" s="6" t="str">
        <f t="shared" si="1"/>
        <v>--- rien à faire ---</v>
      </c>
      <c r="I22" s="195">
        <f>'Budget Gold'!AJ98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Gold'!AK99</f>
        <v>0</v>
      </c>
      <c r="F23" s="193">
        <f>'Budget Gold'!AK100</f>
        <v>0</v>
      </c>
      <c r="G23" s="194">
        <f t="shared" si="0"/>
        <v>0</v>
      </c>
      <c r="H23" s="6" t="str">
        <f t="shared" si="1"/>
        <v>--- rien à faire ---</v>
      </c>
      <c r="I23" s="195">
        <f>'Budget Gold'!AJ101</f>
        <v>0</v>
      </c>
    </row>
    <row r="24" spans="1:13">
      <c r="A24" s="177">
        <f t="shared" si="2"/>
        <v>17</v>
      </c>
      <c r="B24" s="191" t="str">
        <f>IF('Budget Gold'!E102="Indiquer le nom du projet à financer","",'Budget Gold'!E102)</f>
        <v/>
      </c>
      <c r="C24" s="6" t="str">
        <f>IF('Budget Gold'!E104="- compte d'épargne à saisir -","",'Budget Gold'!E104)</f>
        <v/>
      </c>
      <c r="D24" s="156"/>
      <c r="E24" s="192">
        <f>'Budget Gold'!AK102</f>
        <v>0</v>
      </c>
      <c r="F24" s="193">
        <f>'Budget Gold'!AK103</f>
        <v>0</v>
      </c>
      <c r="G24" s="194">
        <f t="shared" ref="G24:G31" si="3">E24-F24</f>
        <v>0</v>
      </c>
      <c r="H24" s="6" t="str">
        <f t="shared" ref="H24:H30" si="4">IF(G24&gt;0,"(+) à ajouter sur le compte épargne",IF(G24=0,"--- rien à faire ---","(-) de moins sur le compte épargne"))</f>
        <v>--- rien à faire ---</v>
      </c>
      <c r="I24" s="195">
        <f>'Budget Gold'!AJ104</f>
        <v>0</v>
      </c>
    </row>
    <row r="25" spans="1:13">
      <c r="A25" s="177">
        <f t="shared" si="2"/>
        <v>18</v>
      </c>
      <c r="B25" s="191" t="str">
        <f>IF('Budget Gold'!E105="Indiquer le nom du projet à financer","",'Budget Gold'!E105)</f>
        <v/>
      </c>
      <c r="C25" s="6" t="str">
        <f>IF('Budget Gold'!E107="- compte d'épargne à saisir -","",'Budget Gold'!E107)</f>
        <v/>
      </c>
      <c r="D25" s="156"/>
      <c r="E25" s="192">
        <f>'Budget Gold'!AK105</f>
        <v>0</v>
      </c>
      <c r="F25" s="193">
        <f>'Budget Gold'!AK106</f>
        <v>0</v>
      </c>
      <c r="G25" s="194">
        <f t="shared" si="3"/>
        <v>0</v>
      </c>
      <c r="H25" s="6" t="str">
        <f t="shared" si="4"/>
        <v>--- rien à faire ---</v>
      </c>
      <c r="I25" s="195">
        <f>'Budget Gold'!AJ107</f>
        <v>0</v>
      </c>
    </row>
    <row r="26" spans="1:13">
      <c r="A26" s="177">
        <f t="shared" si="2"/>
        <v>19</v>
      </c>
      <c r="B26" s="191" t="str">
        <f>IF('Budget Gold'!E108="Indiquer le nom du projet à financer","",'Budget Gold'!E108)</f>
        <v/>
      </c>
      <c r="C26" s="6" t="str">
        <f>IF('Budget Gold'!E110="- compte d'épargne à saisir -","",'Budget Gold'!E110)</f>
        <v/>
      </c>
      <c r="D26" s="156"/>
      <c r="E26" s="192">
        <f>'Budget Gold'!AK108</f>
        <v>0</v>
      </c>
      <c r="F26" s="193">
        <f>'Budget Gold'!AK109</f>
        <v>0</v>
      </c>
      <c r="G26" s="194">
        <f t="shared" si="3"/>
        <v>0</v>
      </c>
      <c r="H26" s="6" t="str">
        <f t="shared" si="4"/>
        <v>--- rien à faire ---</v>
      </c>
      <c r="I26" s="195">
        <f>'Budget Gold'!AJ110</f>
        <v>0</v>
      </c>
    </row>
    <row r="27" spans="1:13">
      <c r="A27" s="177">
        <f t="shared" si="2"/>
        <v>20</v>
      </c>
      <c r="B27" s="191" t="str">
        <f>IF('Budget Gold'!E111="Indiquer le nom du projet à financer","",'Budget Gold'!E111)</f>
        <v/>
      </c>
      <c r="C27" s="6" t="str">
        <f>IF('Budget Gold'!E113="- compte d'épargne à saisir -","",'Budget Gold'!E113)</f>
        <v/>
      </c>
      <c r="D27" s="156"/>
      <c r="E27" s="192">
        <f>'Budget Gold'!AK111</f>
        <v>0</v>
      </c>
      <c r="F27" s="193">
        <f>'Budget Gold'!AK112</f>
        <v>0</v>
      </c>
      <c r="G27" s="194">
        <f t="shared" si="3"/>
        <v>0</v>
      </c>
      <c r="H27" s="6" t="str">
        <f t="shared" si="4"/>
        <v>--- rien à faire ---</v>
      </c>
      <c r="I27" s="195">
        <f>'Budget Gold'!AJ113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Gold'!AK114</f>
        <v>0</v>
      </c>
      <c r="F28" s="193">
        <f>'Budget Gold'!AK115</f>
        <v>0</v>
      </c>
      <c r="G28" s="194">
        <f t="shared" si="3"/>
        <v>0</v>
      </c>
      <c r="H28" s="6" t="str">
        <f t="shared" si="4"/>
        <v>--- rien à faire ---</v>
      </c>
      <c r="I28" s="195">
        <f>'Budget Gold'!AJ116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Gold'!AK117</f>
        <v>0</v>
      </c>
      <c r="F29" s="193">
        <f>'Budget Gold'!AK118</f>
        <v>0</v>
      </c>
      <c r="G29" s="194">
        <f t="shared" si="3"/>
        <v>0</v>
      </c>
      <c r="H29" s="6" t="str">
        <f t="shared" si="4"/>
        <v>--- rien à faire ---</v>
      </c>
      <c r="I29" s="195">
        <f>'Budget Gold'!AJ119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Gold'!AK120</f>
        <v>0</v>
      </c>
      <c r="F30" s="193">
        <f>'Budget Gold'!AK121</f>
        <v>0</v>
      </c>
      <c r="G30" s="194">
        <f t="shared" si="3"/>
        <v>0</v>
      </c>
      <c r="H30" s="6" t="str">
        <f t="shared" si="4"/>
        <v>--- rien à faire ---</v>
      </c>
      <c r="I30" s="195">
        <f>'Budget Gold'!AJ122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Gold'!AK123</f>
        <v>0</v>
      </c>
      <c r="F31" s="193">
        <f>'Budget Gold'!AK124</f>
        <v>0</v>
      </c>
      <c r="G31" s="194">
        <f t="shared" si="3"/>
        <v>0</v>
      </c>
      <c r="H31" s="6" t="str">
        <f>IF(G31&gt;0,"(+) à ajouter sur le compte épargne",IF(G31=0,"--- rien à faire ---","(-) de moins sur le compte épargne"))</f>
        <v>--- rien à faire ---</v>
      </c>
      <c r="I31" s="195">
        <f>'Budget Gold'!AJ125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Gold'!AK160</f>
        <v>0</v>
      </c>
      <c r="F32" s="193">
        <f>'Budget Gold'!AK161</f>
        <v>0</v>
      </c>
      <c r="G32" s="194">
        <f t="shared" si="0"/>
        <v>0</v>
      </c>
      <c r="H32" s="6" t="str">
        <f t="shared" si="1"/>
        <v>--- rien à faire ---</v>
      </c>
      <c r="I32" s="195">
        <f>'Budget Gold'!AJ162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Gold'!AK163</f>
        <v>0</v>
      </c>
      <c r="F33" s="193">
        <f>'Budget Gold'!AK164</f>
        <v>0</v>
      </c>
      <c r="G33" s="194">
        <f t="shared" si="0"/>
        <v>0</v>
      </c>
      <c r="H33" s="6" t="str">
        <f t="shared" si="1"/>
        <v>--- rien à faire ---</v>
      </c>
      <c r="I33" s="195">
        <f>'Budget Gold'!AJ165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Gold'!AK166</f>
        <v>0</v>
      </c>
      <c r="F34" s="193">
        <f>'Budget Gold'!AK167</f>
        <v>0</v>
      </c>
      <c r="G34" s="194">
        <f t="shared" si="0"/>
        <v>0</v>
      </c>
      <c r="H34" s="6" t="str">
        <f t="shared" si="1"/>
        <v>--- rien à faire ---</v>
      </c>
      <c r="I34" s="195">
        <f>'Budget Gold'!AJ168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Gold'!AK169</f>
        <v>0</v>
      </c>
      <c r="F35" s="193">
        <f>'Budget Gold'!AK170</f>
        <v>0</v>
      </c>
      <c r="G35" s="194">
        <f t="shared" si="0"/>
        <v>0</v>
      </c>
      <c r="H35" s="6" t="str">
        <f t="shared" si="1"/>
        <v>--- rien à faire ---</v>
      </c>
      <c r="I35" s="195">
        <f>'Budget Gold'!AJ171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Gold'!AK172</f>
        <v>0</v>
      </c>
      <c r="F36" s="193">
        <f>'Budget Gold'!AK173</f>
        <v>0</v>
      </c>
      <c r="G36" s="194">
        <f t="shared" si="0"/>
        <v>0</v>
      </c>
      <c r="H36" s="6" t="str">
        <f t="shared" si="1"/>
        <v>--- rien à faire ---</v>
      </c>
      <c r="I36" s="195">
        <f>'Budget Gold'!AJ174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Gold'!AK175</f>
        <v>0</v>
      </c>
      <c r="F37" s="193">
        <f>'Budget Gold'!AK176</f>
        <v>0</v>
      </c>
      <c r="G37" s="194">
        <f t="shared" si="0"/>
        <v>0</v>
      </c>
      <c r="H37" s="6" t="str">
        <f t="shared" si="1"/>
        <v>--- rien à faire ---</v>
      </c>
      <c r="I37" s="195">
        <f>'Budget Gold'!AJ177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Gold'!AK178</f>
        <v>0</v>
      </c>
      <c r="F38" s="193">
        <f>'Budget Gold'!AK179</f>
        <v>0</v>
      </c>
      <c r="G38" s="194">
        <f t="shared" si="0"/>
        <v>0</v>
      </c>
      <c r="H38" s="6" t="str">
        <f t="shared" si="1"/>
        <v>--- rien à faire ---</v>
      </c>
      <c r="I38" s="195">
        <f>'Budget Gold'!AJ180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Gold'!AK181</f>
        <v>200</v>
      </c>
      <c r="F39" s="193">
        <f>'Budget Gold'!AK182</f>
        <v>200</v>
      </c>
      <c r="G39" s="194">
        <f t="shared" si="0"/>
        <v>0</v>
      </c>
      <c r="H39" s="6" t="str">
        <f t="shared" si="1"/>
        <v>--- rien à faire ---</v>
      </c>
      <c r="I39" s="195">
        <f>'Budget Gold'!AJ183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Gold'!AK184</f>
        <v>0</v>
      </c>
      <c r="F40" s="193">
        <f>'Budget Gold'!AK185</f>
        <v>0</v>
      </c>
      <c r="G40" s="194">
        <f t="shared" si="0"/>
        <v>0</v>
      </c>
      <c r="H40" s="6" t="str">
        <f t="shared" si="1"/>
        <v>--- rien à faire ---</v>
      </c>
      <c r="I40" s="195">
        <f>'Budget Gold'!AJ186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Gold'!AK187</f>
        <v>0</v>
      </c>
      <c r="F41" s="193">
        <f>'Budget Gold'!AK188</f>
        <v>0</v>
      </c>
      <c r="G41" s="194">
        <f t="shared" si="0"/>
        <v>0</v>
      </c>
      <c r="H41" s="6" t="str">
        <f t="shared" si="1"/>
        <v>--- rien à faire ---</v>
      </c>
      <c r="I41" s="195">
        <f>'Budget Gold'!AJ189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Gold'!AK190</f>
        <v>0</v>
      </c>
      <c r="F42" s="193">
        <f>'Budget Gold'!AK191</f>
        <v>0</v>
      </c>
      <c r="G42" s="194">
        <f t="shared" si="0"/>
        <v>0</v>
      </c>
      <c r="H42" s="6" t="str">
        <f t="shared" si="1"/>
        <v>--- rien à faire ---</v>
      </c>
      <c r="I42" s="195">
        <f>'Budget Gold'!AJ192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Gold'!AK193</f>
        <v>0</v>
      </c>
      <c r="F43" s="193">
        <f>'Budget Gold'!AK194</f>
        <v>0</v>
      </c>
      <c r="G43" s="194">
        <f t="shared" si="0"/>
        <v>0</v>
      </c>
      <c r="H43" s="6" t="str">
        <f t="shared" si="1"/>
        <v>--- rien à faire ---</v>
      </c>
      <c r="I43" s="195">
        <f>'Budget Gold'!AJ195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Gold'!AK196</f>
        <v>0</v>
      </c>
      <c r="F44" s="193">
        <f>'Budget Gold'!AK197</f>
        <v>0</v>
      </c>
      <c r="G44" s="194">
        <f t="shared" ref="G44:G51" si="5">E44-F44</f>
        <v>0</v>
      </c>
      <c r="H44" s="6" t="str">
        <f t="shared" ref="H44:H51" si="6">IF(G44&gt;0,"(+) à ajouter sur le compte épargne",IF(G44=0,"--- rien à faire ---","(-) de moins sur le compte épargne"))</f>
        <v>--- rien à faire ---</v>
      </c>
      <c r="I44" s="195">
        <f>'Budget Gold'!AJ198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Gold'!AK199</f>
        <v>0</v>
      </c>
      <c r="F45" s="193">
        <f>'Budget Gold'!AK200</f>
        <v>0</v>
      </c>
      <c r="G45" s="194">
        <f t="shared" si="5"/>
        <v>0</v>
      </c>
      <c r="H45" s="6" t="str">
        <f t="shared" si="6"/>
        <v>--- rien à faire ---</v>
      </c>
      <c r="I45" s="195">
        <f>'Budget Gold'!AJ201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Gold'!AK202</f>
        <v>0</v>
      </c>
      <c r="F46" s="193">
        <f>'Budget Gold'!AK203</f>
        <v>0</v>
      </c>
      <c r="G46" s="194">
        <f t="shared" si="5"/>
        <v>0</v>
      </c>
      <c r="H46" s="6" t="str">
        <f t="shared" si="6"/>
        <v>--- rien à faire ---</v>
      </c>
      <c r="I46" s="195">
        <f>'Budget Gold'!AJ204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Gold'!AK205</f>
        <v>0</v>
      </c>
      <c r="F47" s="193">
        <f>'Budget Gold'!AK206</f>
        <v>0</v>
      </c>
      <c r="G47" s="194">
        <f t="shared" si="5"/>
        <v>0</v>
      </c>
      <c r="H47" s="6" t="str">
        <f t="shared" si="6"/>
        <v>--- rien à faire ---</v>
      </c>
      <c r="I47" s="195">
        <f>'Budget Gold'!AJ207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Gold'!AK208</f>
        <v>0</v>
      </c>
      <c r="F48" s="193">
        <f>'Budget Gold'!AK209</f>
        <v>0</v>
      </c>
      <c r="G48" s="194">
        <f t="shared" si="5"/>
        <v>0</v>
      </c>
      <c r="H48" s="6" t="str">
        <f t="shared" si="6"/>
        <v>--- rien à faire ---</v>
      </c>
      <c r="I48" s="195">
        <f>'Budget Gold'!AJ210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Gold'!AK211</f>
        <v>0</v>
      </c>
      <c r="F49" s="193">
        <f>'Budget Gold'!AK212</f>
        <v>0</v>
      </c>
      <c r="G49" s="194">
        <f t="shared" si="5"/>
        <v>0</v>
      </c>
      <c r="H49" s="6" t="str">
        <f t="shared" si="6"/>
        <v>--- rien à faire ---</v>
      </c>
      <c r="I49" s="195">
        <f>'Budget Gold'!AJ213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Gold'!AK214</f>
        <v>0</v>
      </c>
      <c r="F50" s="193">
        <f>'Budget Gold'!AK215</f>
        <v>0</v>
      </c>
      <c r="G50" s="194">
        <f t="shared" si="5"/>
        <v>0</v>
      </c>
      <c r="H50" s="6" t="str">
        <f t="shared" si="6"/>
        <v>--- rien à faire ---</v>
      </c>
      <c r="I50" s="195">
        <f>'Budget Gold'!AJ216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Gold'!AK217</f>
        <v>0</v>
      </c>
      <c r="F51" s="193">
        <f>'Budget Gold'!AK218</f>
        <v>0</v>
      </c>
      <c r="G51" s="194">
        <f t="shared" si="5"/>
        <v>0</v>
      </c>
      <c r="H51" s="6" t="str">
        <f t="shared" si="6"/>
        <v>--- rien à faire ---</v>
      </c>
      <c r="I51" s="195">
        <f>'Budget Gold'!AJ219</f>
        <v>0</v>
      </c>
    </row>
    <row r="52" spans="1:13" s="1" customFormat="1">
      <c r="A52" s="156"/>
      <c r="D52" s="156"/>
      <c r="J52" s="180"/>
      <c r="K52" s="180"/>
      <c r="L52" s="180"/>
      <c r="M52" s="180"/>
    </row>
    <row r="53" spans="1:13" s="1" customFormat="1" ht="16">
      <c r="A53" s="156"/>
      <c r="D53" s="156"/>
      <c r="H53" s="248" t="s">
        <v>568</v>
      </c>
      <c r="I53" s="398">
        <f>SUM(I6:I51)</f>
        <v>52723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Gold'!AJ7</f>
        <v>46462</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Gold'!AJ7</f>
        <v>46462</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0</v>
      </c>
      <c r="H60" s="91" t="str">
        <f>IF(G60&gt;0,"(+) à ajouter sur ce compte épargne",IF(G60=0,"--- le solde ne change pas ---","(-) de moins sur ce compte épargne"))</f>
        <v>--- le solde ne change pas ---</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42030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4311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198359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uL5P2mCX3HNwLzVDCIdJa/+xX8x81DtnHsNu37OndWjlD38Sm5NTB4WHkm5ZVV4bgdHj5S+n+zRy6DE/LMgm7g==" saltValue="bk8qpQ73bpSCXuwLhArcWA=="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29" priority="19" operator="equal">
      <formula>0</formula>
    </cfRule>
    <cfRule type="cellIs" dxfId="28" priority="20" operator="lessThan">
      <formula>0</formula>
    </cfRule>
    <cfRule type="cellIs" dxfId="27" priority="21" operator="greaterThan">
      <formula>0</formula>
    </cfRule>
  </conditionalFormatting>
  <conditionalFormatting sqref="G60:G89">
    <cfRule type="cellIs" dxfId="26" priority="5" operator="equal">
      <formula>0</formula>
    </cfRule>
    <cfRule type="cellIs" dxfId="25" priority="6" operator="lessThan">
      <formula>0</formula>
    </cfRule>
    <cfRule type="cellIs" dxfId="24" priority="7" operator="greaterThan">
      <formula>0</formula>
    </cfRule>
  </conditionalFormatting>
  <conditionalFormatting sqref="H8:H51">
    <cfRule type="cellIs" dxfId="23" priority="17" operator="equal">
      <formula>"(-) de moins sur le compte épargne"</formula>
    </cfRule>
    <cfRule type="cellIs" dxfId="22" priority="18" operator="equal">
      <formula>"(+) à ajouter sur le compte épargne"</formula>
    </cfRule>
  </conditionalFormatting>
  <conditionalFormatting sqref="H60:H89">
    <cfRule type="cellIs" dxfId="21" priority="1" operator="equal">
      <formula>"(-) de moins sur ce compte épargne"</formula>
    </cfRule>
    <cfRule type="cellIs" dxfId="20" priority="2" operator="equal">
      <formula>"(+) à ajouter sur ce compte épargne"</formula>
    </cfRule>
  </conditionalFormatting>
  <hyperlinks>
    <hyperlink ref="A2:A4" location="'Budget Gold'!A1" tooltip="Retour au tableau Budget Gold" display="Retour au Budget" xr:uid="{00000000-0004-0000-1400-000000000000}"/>
    <hyperlink ref="A56" location="'Budget Gold'!A1" display="Retour au budget" xr:uid="{00000000-0004-0000-1400-000001000000}"/>
    <hyperlink ref="A56:A58" location="'Budget Gold'!A1" tooltip="Retour au tableau Budget Gold" display="Retour au Budget" xr:uid="{00000000-0004-0000-1400-000002000000}"/>
    <hyperlink ref="A2" location="'Budget Gold'!A1" tooltip="Retour au tableau Budget Gold" display="Retour au Budget" xr:uid="{00000000-0004-0000-1400-000003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561"/>
  <sheetViews>
    <sheetView workbookViewId="0">
      <selection activeCell="A2" sqref="A2:A4"/>
    </sheetView>
  </sheetViews>
  <sheetFormatPr baseColWidth="10" defaultColWidth="11.33203125" defaultRowHeight="13"/>
  <cols>
    <col min="1" max="1" width="19.6640625" style="1" customWidth="1"/>
    <col min="2" max="2" width="56.33203125" style="182" customWidth="1"/>
    <col min="3" max="3" width="42.332031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Gold'!AM7</f>
        <v>46494</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Gold'!AM7</f>
        <v>46494</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Gold'!AN54</f>
        <v>250</v>
      </c>
      <c r="F8" s="193">
        <f>'Budget Gold'!AN55</f>
        <v>0</v>
      </c>
      <c r="G8" s="194">
        <f>E8-F8</f>
        <v>250</v>
      </c>
      <c r="H8" s="6" t="str">
        <f>IF(G8&gt;0,"(+) à ajouter sur le compte épargne",IF(G8=0,"--- rien à faire ---","(-) de moins sur le compte épargne"))</f>
        <v>(+) à ajouter sur le compte épargne</v>
      </c>
      <c r="I8" s="195">
        <f>'Budget Gold'!AM56</f>
        <v>42280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Gold'!AN57</f>
        <v>200</v>
      </c>
      <c r="F9" s="193">
        <f>'Budget Gold'!AN58</f>
        <v>0</v>
      </c>
      <c r="G9" s="194">
        <f t="shared" ref="G9:G43" si="0">E9-F9</f>
        <v>200</v>
      </c>
      <c r="H9" s="6" t="str">
        <f t="shared" ref="H9:H43" si="1">IF(G9&gt;0,"(+) à ajouter sur le compte épargne",IF(G9=0,"--- rien à faire ---","(-) de moins sur le compte épargne"))</f>
        <v>(+) à ajouter sur le compte épargne</v>
      </c>
      <c r="I9" s="195">
        <f>'Budget Gold'!AM59</f>
        <v>4511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Gold'!AN60</f>
        <v>0</v>
      </c>
      <c r="F10" s="193">
        <f>'Budget Gold'!AN61</f>
        <v>0</v>
      </c>
      <c r="G10" s="194">
        <f t="shared" si="0"/>
        <v>0</v>
      </c>
      <c r="H10" s="6" t="str">
        <f t="shared" si="1"/>
        <v>--- rien à faire ---</v>
      </c>
      <c r="I10" s="195">
        <f>'Budget Gold'!AM62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Gold'!AN63</f>
        <v>0</v>
      </c>
      <c r="F11" s="193">
        <f>'Budget Gold'!AN64</f>
        <v>0</v>
      </c>
      <c r="G11" s="194">
        <f t="shared" si="0"/>
        <v>0</v>
      </c>
      <c r="H11" s="6" t="str">
        <f t="shared" si="1"/>
        <v>--- rien à faire ---</v>
      </c>
      <c r="I11" s="195">
        <f>'Budget Gold'!AM65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Gold'!AN66</f>
        <v>0</v>
      </c>
      <c r="F12" s="193">
        <f>'Budget Gold'!AN67</f>
        <v>0</v>
      </c>
      <c r="G12" s="194">
        <f t="shared" si="0"/>
        <v>0</v>
      </c>
      <c r="H12" s="6" t="str">
        <f t="shared" si="1"/>
        <v>--- rien à faire ---</v>
      </c>
      <c r="I12" s="195">
        <f>'Budget Gold'!AM68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Gold'!AN69</f>
        <v>0</v>
      </c>
      <c r="F13" s="193">
        <f>'Budget Gold'!AN70</f>
        <v>0</v>
      </c>
      <c r="G13" s="194">
        <f t="shared" si="0"/>
        <v>0</v>
      </c>
      <c r="H13" s="6" t="str">
        <f t="shared" si="1"/>
        <v>--- rien à faire ---</v>
      </c>
      <c r="I13" s="195">
        <f>'Budget Gold'!AM71</f>
        <v>-1600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Gold'!AN72</f>
        <v>0</v>
      </c>
      <c r="F14" s="193">
        <f>'Budget Gold'!AN73</f>
        <v>0</v>
      </c>
      <c r="G14" s="194">
        <f t="shared" si="0"/>
        <v>0</v>
      </c>
      <c r="H14" s="6" t="str">
        <f t="shared" si="1"/>
        <v>--- rien à faire ---</v>
      </c>
      <c r="I14" s="195">
        <f>'Budget Gold'!AM74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Gold'!AN75</f>
        <v>0</v>
      </c>
      <c r="F15" s="193">
        <f>'Budget Gold'!AN76</f>
        <v>0</v>
      </c>
      <c r="G15" s="194">
        <f t="shared" si="0"/>
        <v>0</v>
      </c>
      <c r="H15" s="6" t="str">
        <f t="shared" si="1"/>
        <v>--- rien à faire ---</v>
      </c>
      <c r="I15" s="195">
        <f>'Budget Gold'!AM77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Gold'!AN78</f>
        <v>0</v>
      </c>
      <c r="F16" s="193">
        <f>'Budget Gold'!AN79</f>
        <v>0</v>
      </c>
      <c r="G16" s="194">
        <f t="shared" si="0"/>
        <v>0</v>
      </c>
      <c r="H16" s="6" t="str">
        <f t="shared" si="1"/>
        <v>--- rien à faire ---</v>
      </c>
      <c r="I16" s="195">
        <f>'Budget Gold'!AM80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Gold'!AN81</f>
        <v>0</v>
      </c>
      <c r="F17" s="193">
        <f>'Budget Gold'!AN82</f>
        <v>0</v>
      </c>
      <c r="G17" s="194">
        <f t="shared" si="0"/>
        <v>0</v>
      </c>
      <c r="H17" s="6" t="str">
        <f t="shared" si="1"/>
        <v>--- rien à faire ---</v>
      </c>
      <c r="I17" s="195">
        <f>'Budget Gold'!AM83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Gold'!AN84</f>
        <v>0</v>
      </c>
      <c r="F18" s="193">
        <f>'Budget Gold'!AN85</f>
        <v>0</v>
      </c>
      <c r="G18" s="194">
        <f t="shared" si="0"/>
        <v>0</v>
      </c>
      <c r="H18" s="6" t="str">
        <f t="shared" si="1"/>
        <v>--- rien à faire ---</v>
      </c>
      <c r="I18" s="195">
        <f>'Budget Gold'!AM86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Gold'!AN87</f>
        <v>0</v>
      </c>
      <c r="F19" s="193">
        <f>'Budget Gold'!AN88</f>
        <v>0</v>
      </c>
      <c r="G19" s="194">
        <f t="shared" si="0"/>
        <v>0</v>
      </c>
      <c r="H19" s="6" t="str">
        <f t="shared" si="1"/>
        <v>--- rien à faire ---</v>
      </c>
      <c r="I19" s="195">
        <f>'Budget Gold'!AM89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Gold'!AN90</f>
        <v>0</v>
      </c>
      <c r="F20" s="193">
        <f>'Budget Gold'!AN91</f>
        <v>0</v>
      </c>
      <c r="G20" s="194">
        <f t="shared" si="0"/>
        <v>0</v>
      </c>
      <c r="H20" s="6" t="str">
        <f t="shared" si="1"/>
        <v>--- rien à faire ---</v>
      </c>
      <c r="I20" s="195">
        <f>'Budget Gold'!AM92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Gold'!AN93</f>
        <v>0</v>
      </c>
      <c r="F21" s="193">
        <f>'Budget Gold'!AN94</f>
        <v>0</v>
      </c>
      <c r="G21" s="194">
        <f t="shared" si="0"/>
        <v>0</v>
      </c>
      <c r="H21" s="6" t="str">
        <f t="shared" si="1"/>
        <v>--- rien à faire ---</v>
      </c>
      <c r="I21" s="195">
        <f>'Budget Gold'!AM95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Gold'!AN96</f>
        <v>0</v>
      </c>
      <c r="F22" s="193">
        <f>'Budget Gold'!AN97</f>
        <v>0</v>
      </c>
      <c r="G22" s="194">
        <f t="shared" si="0"/>
        <v>0</v>
      </c>
      <c r="H22" s="6" t="str">
        <f t="shared" si="1"/>
        <v>--- rien à faire ---</v>
      </c>
      <c r="I22" s="195">
        <f>'Budget Gold'!AM98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Gold'!AN99</f>
        <v>0</v>
      </c>
      <c r="F23" s="193">
        <f>'Budget Gold'!AN100</f>
        <v>0</v>
      </c>
      <c r="G23" s="194">
        <f t="shared" si="0"/>
        <v>0</v>
      </c>
      <c r="H23" s="6" t="str">
        <f t="shared" si="1"/>
        <v>--- rien à faire ---</v>
      </c>
      <c r="I23" s="195">
        <f>'Budget Gold'!AM101</f>
        <v>0</v>
      </c>
    </row>
    <row r="24" spans="1:13">
      <c r="A24" s="177">
        <f t="shared" si="2"/>
        <v>17</v>
      </c>
      <c r="B24" s="191" t="str">
        <f>IF('Budget Gold'!E102="Indiquer le nom du projet à financer","",'Budget Gold'!E102)</f>
        <v/>
      </c>
      <c r="C24" s="6" t="str">
        <f>IF('Budget Gold'!E104="- compte d'épargne à saisir -","",'Budget Gold'!E104)</f>
        <v/>
      </c>
      <c r="D24" s="156"/>
      <c r="E24" s="192">
        <f>'Budget Gold'!AN102</f>
        <v>0</v>
      </c>
      <c r="F24" s="193">
        <f>'Budget Gold'!AN103</f>
        <v>0</v>
      </c>
      <c r="G24" s="194">
        <f t="shared" ref="G24:G31" si="3">E24-F24</f>
        <v>0</v>
      </c>
      <c r="H24" s="6" t="str">
        <f t="shared" ref="H24:H30" si="4">IF(G24&gt;0,"(+) à ajouter sur le compte épargne",IF(G24=0,"--- rien à faire ---","(-) de moins sur le compte épargne"))</f>
        <v>--- rien à faire ---</v>
      </c>
      <c r="I24" s="195">
        <f>'Budget Gold'!AM104</f>
        <v>0</v>
      </c>
    </row>
    <row r="25" spans="1:13">
      <c r="A25" s="177">
        <f t="shared" si="2"/>
        <v>18</v>
      </c>
      <c r="B25" s="191" t="str">
        <f>IF('Budget Gold'!E105="Indiquer le nom du projet à financer","",'Budget Gold'!E105)</f>
        <v/>
      </c>
      <c r="C25" s="6" t="str">
        <f>IF('Budget Gold'!E107="- compte d'épargne à saisir -","",'Budget Gold'!E107)</f>
        <v/>
      </c>
      <c r="D25" s="156"/>
      <c r="E25" s="192">
        <f>'Budget Gold'!AN105</f>
        <v>0</v>
      </c>
      <c r="F25" s="193">
        <f>'Budget Gold'!AN106</f>
        <v>0</v>
      </c>
      <c r="G25" s="194">
        <f t="shared" si="3"/>
        <v>0</v>
      </c>
      <c r="H25" s="6" t="str">
        <f t="shared" si="4"/>
        <v>--- rien à faire ---</v>
      </c>
      <c r="I25" s="195">
        <f>'Budget Gold'!AM107</f>
        <v>0</v>
      </c>
    </row>
    <row r="26" spans="1:13">
      <c r="A26" s="177">
        <f t="shared" si="2"/>
        <v>19</v>
      </c>
      <c r="B26" s="191" t="str">
        <f>IF('Budget Gold'!E108="Indiquer le nom du projet à financer","",'Budget Gold'!E108)</f>
        <v/>
      </c>
      <c r="C26" s="6" t="str">
        <f>IF('Budget Gold'!E110="- compte d'épargne à saisir -","",'Budget Gold'!E110)</f>
        <v/>
      </c>
      <c r="D26" s="156"/>
      <c r="E26" s="192">
        <f>'Budget Gold'!AN108</f>
        <v>0</v>
      </c>
      <c r="F26" s="193">
        <f>'Budget Gold'!AN109</f>
        <v>0</v>
      </c>
      <c r="G26" s="194">
        <f t="shared" si="3"/>
        <v>0</v>
      </c>
      <c r="H26" s="6" t="str">
        <f t="shared" si="4"/>
        <v>--- rien à faire ---</v>
      </c>
      <c r="I26" s="195">
        <f>'Budget Gold'!AM110</f>
        <v>0</v>
      </c>
    </row>
    <row r="27" spans="1:13">
      <c r="A27" s="177">
        <f t="shared" si="2"/>
        <v>20</v>
      </c>
      <c r="B27" s="191" t="str">
        <f>IF('Budget Gold'!E111="Indiquer le nom du projet à financer","",'Budget Gold'!E111)</f>
        <v/>
      </c>
      <c r="C27" s="6" t="str">
        <f>IF('Budget Gold'!E113="- compte d'épargne à saisir -","",'Budget Gold'!E113)</f>
        <v/>
      </c>
      <c r="D27" s="156"/>
      <c r="E27" s="192">
        <f>'Budget Gold'!AN111</f>
        <v>0</v>
      </c>
      <c r="F27" s="193">
        <f>'Budget Gold'!AN112</f>
        <v>0</v>
      </c>
      <c r="G27" s="194">
        <f t="shared" si="3"/>
        <v>0</v>
      </c>
      <c r="H27" s="6" t="str">
        <f t="shared" si="4"/>
        <v>--- rien à faire ---</v>
      </c>
      <c r="I27" s="195">
        <f>'Budget Gold'!AM113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Gold'!AN114</f>
        <v>0</v>
      </c>
      <c r="F28" s="193">
        <f>'Budget Gold'!AN115</f>
        <v>0</v>
      </c>
      <c r="G28" s="194">
        <f t="shared" si="3"/>
        <v>0</v>
      </c>
      <c r="H28" s="6" t="str">
        <f t="shared" si="4"/>
        <v>--- rien à faire ---</v>
      </c>
      <c r="I28" s="195">
        <f>'Budget Gold'!AM116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Gold'!AN117</f>
        <v>0</v>
      </c>
      <c r="F29" s="193">
        <f>'Budget Gold'!AN118</f>
        <v>0</v>
      </c>
      <c r="G29" s="194">
        <f t="shared" si="3"/>
        <v>0</v>
      </c>
      <c r="H29" s="6" t="str">
        <f t="shared" si="4"/>
        <v>--- rien à faire ---</v>
      </c>
      <c r="I29" s="195">
        <f>'Budget Gold'!AM119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Gold'!AN120</f>
        <v>0</v>
      </c>
      <c r="F30" s="193">
        <f>'Budget Gold'!AN121</f>
        <v>0</v>
      </c>
      <c r="G30" s="194">
        <f t="shared" si="3"/>
        <v>0</v>
      </c>
      <c r="H30" s="6" t="str">
        <f t="shared" si="4"/>
        <v>--- rien à faire ---</v>
      </c>
      <c r="I30" s="195">
        <f>'Budget Gold'!AM122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Gold'!AN123</f>
        <v>0</v>
      </c>
      <c r="F31" s="193">
        <f>'Budget Gold'!AN124</f>
        <v>0</v>
      </c>
      <c r="G31" s="194">
        <f t="shared" si="3"/>
        <v>0</v>
      </c>
      <c r="H31" s="6" t="str">
        <f>IF(G31&gt;0,"(+) à ajouter sur le compte épargne",IF(G31=0,"--- rien à faire ---","(-) de moins sur le compte épargne"))</f>
        <v>--- rien à faire ---</v>
      </c>
      <c r="I31" s="195">
        <f>'Budget Gold'!AM125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Gold'!AN160</f>
        <v>0</v>
      </c>
      <c r="F32" s="193">
        <f>'Budget Gold'!AN161</f>
        <v>0</v>
      </c>
      <c r="G32" s="194">
        <f t="shared" si="0"/>
        <v>0</v>
      </c>
      <c r="H32" s="6" t="str">
        <f t="shared" si="1"/>
        <v>--- rien à faire ---</v>
      </c>
      <c r="I32" s="195">
        <f>'Budget Gold'!AM162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Gold'!AN163</f>
        <v>0</v>
      </c>
      <c r="F33" s="193">
        <f>'Budget Gold'!AN164</f>
        <v>0</v>
      </c>
      <c r="G33" s="194">
        <f t="shared" si="0"/>
        <v>0</v>
      </c>
      <c r="H33" s="6" t="str">
        <f t="shared" si="1"/>
        <v>--- rien à faire ---</v>
      </c>
      <c r="I33" s="195">
        <f>'Budget Gold'!AM165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Gold'!AN166</f>
        <v>0</v>
      </c>
      <c r="F34" s="193">
        <f>'Budget Gold'!AN167</f>
        <v>0</v>
      </c>
      <c r="G34" s="194">
        <f t="shared" si="0"/>
        <v>0</v>
      </c>
      <c r="H34" s="6" t="str">
        <f t="shared" si="1"/>
        <v>--- rien à faire ---</v>
      </c>
      <c r="I34" s="195">
        <f>'Budget Gold'!AM168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Gold'!AN169</f>
        <v>0</v>
      </c>
      <c r="F35" s="193">
        <f>'Budget Gold'!AN170</f>
        <v>0</v>
      </c>
      <c r="G35" s="194">
        <f t="shared" si="0"/>
        <v>0</v>
      </c>
      <c r="H35" s="6" t="str">
        <f t="shared" si="1"/>
        <v>--- rien à faire ---</v>
      </c>
      <c r="I35" s="195">
        <f>'Budget Gold'!AM171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Gold'!AN172</f>
        <v>0</v>
      </c>
      <c r="F36" s="193">
        <f>'Budget Gold'!AN173</f>
        <v>0</v>
      </c>
      <c r="G36" s="194">
        <f t="shared" si="0"/>
        <v>0</v>
      </c>
      <c r="H36" s="6" t="str">
        <f t="shared" si="1"/>
        <v>--- rien à faire ---</v>
      </c>
      <c r="I36" s="195">
        <f>'Budget Gold'!AM174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Gold'!AN175</f>
        <v>0</v>
      </c>
      <c r="F37" s="193">
        <f>'Budget Gold'!AN176</f>
        <v>0</v>
      </c>
      <c r="G37" s="194">
        <f t="shared" si="0"/>
        <v>0</v>
      </c>
      <c r="H37" s="6" t="str">
        <f t="shared" si="1"/>
        <v>--- rien à faire ---</v>
      </c>
      <c r="I37" s="195">
        <f>'Budget Gold'!AM177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Gold'!AN178</f>
        <v>0</v>
      </c>
      <c r="F38" s="193">
        <f>'Budget Gold'!AN179</f>
        <v>0</v>
      </c>
      <c r="G38" s="194">
        <f t="shared" si="0"/>
        <v>0</v>
      </c>
      <c r="H38" s="6" t="str">
        <f t="shared" si="1"/>
        <v>--- rien à faire ---</v>
      </c>
      <c r="I38" s="195">
        <f>'Budget Gold'!AM180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Gold'!AN181</f>
        <v>200</v>
      </c>
      <c r="F39" s="193">
        <f>'Budget Gold'!AN182</f>
        <v>200</v>
      </c>
      <c r="G39" s="194">
        <f t="shared" si="0"/>
        <v>0</v>
      </c>
      <c r="H39" s="6" t="str">
        <f t="shared" si="1"/>
        <v>--- rien à faire ---</v>
      </c>
      <c r="I39" s="195">
        <f>'Budget Gold'!AM183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Gold'!AN184</f>
        <v>0</v>
      </c>
      <c r="F40" s="193">
        <f>'Budget Gold'!AN185</f>
        <v>0</v>
      </c>
      <c r="G40" s="194">
        <f t="shared" si="0"/>
        <v>0</v>
      </c>
      <c r="H40" s="6" t="str">
        <f t="shared" si="1"/>
        <v>--- rien à faire ---</v>
      </c>
      <c r="I40" s="195">
        <f>'Budget Gold'!AM186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Gold'!AN187</f>
        <v>0</v>
      </c>
      <c r="F41" s="193">
        <f>'Budget Gold'!AN188</f>
        <v>0</v>
      </c>
      <c r="G41" s="194">
        <f t="shared" si="0"/>
        <v>0</v>
      </c>
      <c r="H41" s="6" t="str">
        <f t="shared" si="1"/>
        <v>--- rien à faire ---</v>
      </c>
      <c r="I41" s="195">
        <f>'Budget Gold'!AM189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Gold'!AN190</f>
        <v>0</v>
      </c>
      <c r="F42" s="193">
        <f>'Budget Gold'!AN191</f>
        <v>0</v>
      </c>
      <c r="G42" s="194">
        <f t="shared" si="0"/>
        <v>0</v>
      </c>
      <c r="H42" s="6" t="str">
        <f t="shared" si="1"/>
        <v>--- rien à faire ---</v>
      </c>
      <c r="I42" s="195">
        <f>'Budget Gold'!AM192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Gold'!AN193</f>
        <v>0</v>
      </c>
      <c r="F43" s="193">
        <f>'Budget Gold'!AN194</f>
        <v>0</v>
      </c>
      <c r="G43" s="194">
        <f t="shared" si="0"/>
        <v>0</v>
      </c>
      <c r="H43" s="6" t="str">
        <f t="shared" si="1"/>
        <v>--- rien à faire ---</v>
      </c>
      <c r="I43" s="195">
        <f>'Budget Gold'!AM195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Gold'!AN196</f>
        <v>0</v>
      </c>
      <c r="F44" s="193">
        <f>'Budget Gold'!AN197</f>
        <v>0</v>
      </c>
      <c r="G44" s="194">
        <f t="shared" ref="G44:G51" si="5">E44-F44</f>
        <v>0</v>
      </c>
      <c r="H44" s="6" t="str">
        <f t="shared" ref="H44:H51" si="6">IF(G44&gt;0,"(+) à ajouter sur le compte épargne",IF(G44=0,"--- rien à faire ---","(-) de moins sur le compte épargne"))</f>
        <v>--- rien à faire ---</v>
      </c>
      <c r="I44" s="195">
        <f>'Budget Gold'!AM198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Gold'!AN199</f>
        <v>0</v>
      </c>
      <c r="F45" s="193">
        <f>'Budget Gold'!AN200</f>
        <v>0</v>
      </c>
      <c r="G45" s="194">
        <f t="shared" si="5"/>
        <v>0</v>
      </c>
      <c r="H45" s="6" t="str">
        <f t="shared" si="6"/>
        <v>--- rien à faire ---</v>
      </c>
      <c r="I45" s="195">
        <f>'Budget Gold'!AM201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Gold'!AN202</f>
        <v>0</v>
      </c>
      <c r="F46" s="193">
        <f>'Budget Gold'!AN203</f>
        <v>0</v>
      </c>
      <c r="G46" s="194">
        <f t="shared" si="5"/>
        <v>0</v>
      </c>
      <c r="H46" s="6" t="str">
        <f t="shared" si="6"/>
        <v>--- rien à faire ---</v>
      </c>
      <c r="I46" s="195">
        <f>'Budget Gold'!AM204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Gold'!AN205</f>
        <v>0</v>
      </c>
      <c r="F47" s="193">
        <f>'Budget Gold'!AN206</f>
        <v>0</v>
      </c>
      <c r="G47" s="194">
        <f t="shared" si="5"/>
        <v>0</v>
      </c>
      <c r="H47" s="6" t="str">
        <f t="shared" si="6"/>
        <v>--- rien à faire ---</v>
      </c>
      <c r="I47" s="195">
        <f>'Budget Gold'!AM207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Gold'!AN208</f>
        <v>0</v>
      </c>
      <c r="F48" s="193">
        <f>'Budget Gold'!AN209</f>
        <v>0</v>
      </c>
      <c r="G48" s="194">
        <f t="shared" si="5"/>
        <v>0</v>
      </c>
      <c r="H48" s="6" t="str">
        <f t="shared" si="6"/>
        <v>--- rien à faire ---</v>
      </c>
      <c r="I48" s="195">
        <f>'Budget Gold'!AM210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Gold'!AN211</f>
        <v>0</v>
      </c>
      <c r="F49" s="193">
        <f>'Budget Gold'!AN212</f>
        <v>0</v>
      </c>
      <c r="G49" s="194">
        <f t="shared" si="5"/>
        <v>0</v>
      </c>
      <c r="H49" s="6" t="str">
        <f t="shared" si="6"/>
        <v>--- rien à faire ---</v>
      </c>
      <c r="I49" s="195">
        <f>'Budget Gold'!AM213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Gold'!AN214</f>
        <v>0</v>
      </c>
      <c r="F50" s="193">
        <f>'Budget Gold'!AN215</f>
        <v>0</v>
      </c>
      <c r="G50" s="194">
        <f t="shared" si="5"/>
        <v>0</v>
      </c>
      <c r="H50" s="6" t="str">
        <f t="shared" si="6"/>
        <v>--- rien à faire ---</v>
      </c>
      <c r="I50" s="195">
        <f>'Budget Gold'!AM216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Gold'!AN217</f>
        <v>0</v>
      </c>
      <c r="F51" s="193">
        <f>'Budget Gold'!AN218</f>
        <v>0</v>
      </c>
      <c r="G51" s="194">
        <f t="shared" si="5"/>
        <v>0</v>
      </c>
      <c r="H51" s="6" t="str">
        <f t="shared" si="6"/>
        <v>--- rien à faire ---</v>
      </c>
      <c r="I51" s="195">
        <f>'Budget Gold'!AM219</f>
        <v>0</v>
      </c>
    </row>
    <row r="52" spans="1:13" s="1" customFormat="1">
      <c r="A52" s="156"/>
      <c r="D52" s="156"/>
      <c r="J52" s="180"/>
      <c r="K52" s="180"/>
      <c r="L52" s="180"/>
      <c r="M52" s="180"/>
    </row>
    <row r="53" spans="1:13" s="1" customFormat="1" ht="16">
      <c r="A53" s="156"/>
      <c r="D53" s="156"/>
      <c r="H53" s="248" t="s">
        <v>568</v>
      </c>
      <c r="I53" s="398">
        <f>SUM(I6:I51)</f>
        <v>53173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Gold'!AM7</f>
        <v>46494</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Gold'!AM7</f>
        <v>46494</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0</v>
      </c>
      <c r="H60" s="91" t="str">
        <f>IF(G60&gt;0,"(+) à ajouter sur ce compte épargne",IF(G60=0,"--- le solde ne change pas ---","(-) de moins sur ce compte épargne"))</f>
        <v>--- le solde ne change pas ---</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42280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4511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198809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v3MRHaL5xbymObW2cRzuscJRy7JJuyrlKpPnHXQtYKP+G9q/IoQRXsydVPwQlhepC1+VItDN+CrQOkkfSrnoiw==" saltValue="WWkbMu9o/OIKUnT0UaGqog=="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19" priority="19" operator="equal">
      <formula>0</formula>
    </cfRule>
    <cfRule type="cellIs" dxfId="18" priority="20" operator="lessThan">
      <formula>0</formula>
    </cfRule>
    <cfRule type="cellIs" dxfId="17" priority="21" operator="greaterThan">
      <formula>0</formula>
    </cfRule>
  </conditionalFormatting>
  <conditionalFormatting sqref="G60:G89">
    <cfRule type="cellIs" dxfId="16" priority="5" operator="equal">
      <formula>0</formula>
    </cfRule>
    <cfRule type="cellIs" dxfId="15" priority="6" operator="lessThan">
      <formula>0</formula>
    </cfRule>
    <cfRule type="cellIs" dxfId="14" priority="7" operator="greaterThan">
      <formula>0</formula>
    </cfRule>
  </conditionalFormatting>
  <conditionalFormatting sqref="H8:H51">
    <cfRule type="cellIs" dxfId="13" priority="17" operator="equal">
      <formula>"(-) de moins sur le compte épargne"</formula>
    </cfRule>
    <cfRule type="cellIs" dxfId="12" priority="18" operator="equal">
      <formula>"(+) à ajouter sur le compte épargne"</formula>
    </cfRule>
  </conditionalFormatting>
  <conditionalFormatting sqref="H60:H89">
    <cfRule type="cellIs" dxfId="11" priority="1" operator="equal">
      <formula>"(-) de moins sur ce compte épargne"</formula>
    </cfRule>
    <cfRule type="cellIs" dxfId="10" priority="2" operator="equal">
      <formula>"(+) à ajouter sur ce compte épargne"</formula>
    </cfRule>
  </conditionalFormatting>
  <hyperlinks>
    <hyperlink ref="A2:A4" location="'Budget Gold'!A1" tooltip="Retour au tableau Budget Gold" display="Retour au Budget" xr:uid="{00000000-0004-0000-1500-000000000000}"/>
    <hyperlink ref="A56" location="'Budget Gold'!A1" display="Retour au budget" xr:uid="{00000000-0004-0000-1500-000001000000}"/>
    <hyperlink ref="A56:A58" location="'Budget Gold'!A1" tooltip="Retour au tableau Budget Gold" display="Retour au Budget" xr:uid="{00000000-0004-0000-1500-000002000000}"/>
    <hyperlink ref="A2" location="'Budget Gold'!A1" tooltip="Retour au tableau Budget Gold" display="Retour au Budget" xr:uid="{00000000-0004-0000-1500-000003000000}"/>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561"/>
  <sheetViews>
    <sheetView workbookViewId="0"/>
  </sheetViews>
  <sheetFormatPr baseColWidth="10" defaultColWidth="11.33203125" defaultRowHeight="13"/>
  <cols>
    <col min="1" max="1" width="19.6640625" style="1" customWidth="1"/>
    <col min="2" max="2" width="56" style="182" customWidth="1"/>
    <col min="3" max="3" width="42.1640625" style="182" customWidth="1"/>
    <col min="4" max="4" width="4" style="1" customWidth="1"/>
    <col min="5" max="5" width="15.6640625" style="182" customWidth="1"/>
    <col min="6" max="6" width="14.83203125" style="182" customWidth="1"/>
    <col min="7" max="7" width="13" style="182" customWidth="1"/>
    <col min="8" max="8" width="29.33203125" style="182" bestFit="1" customWidth="1"/>
    <col min="9" max="9" width="16" style="182" customWidth="1"/>
    <col min="10" max="13" width="17" style="180" customWidth="1"/>
    <col min="14" max="41" width="11.33203125" style="1"/>
    <col min="42" max="16384" width="11.33203125" style="182"/>
  </cols>
  <sheetData>
    <row r="1" spans="1:13" s="1" customFormat="1">
      <c r="J1" s="180"/>
      <c r="K1" s="180"/>
      <c r="L1" s="180"/>
      <c r="M1" s="180"/>
    </row>
    <row r="2" spans="1:13" ht="20">
      <c r="A2" s="452" t="s">
        <v>330</v>
      </c>
      <c r="B2" s="181"/>
      <c r="C2" s="157" t="s">
        <v>305</v>
      </c>
      <c r="D2" s="157"/>
      <c r="E2" s="181"/>
      <c r="F2" s="1"/>
      <c r="G2" s="1"/>
      <c r="H2" s="1"/>
      <c r="I2" s="157"/>
    </row>
    <row r="3" spans="1:13" ht="12.75" customHeight="1">
      <c r="A3" s="452"/>
      <c r="B3" s="1"/>
      <c r="C3" s="1"/>
      <c r="D3" s="183"/>
      <c r="E3" s="815">
        <f>'Budget Gold'!AP7</f>
        <v>46526</v>
      </c>
      <c r="F3" s="816"/>
      <c r="G3" s="816"/>
      <c r="H3" s="816"/>
      <c r="I3" s="1"/>
    </row>
    <row r="4" spans="1:13" ht="12.75" customHeight="1">
      <c r="A4" s="452"/>
      <c r="B4" s="1"/>
      <c r="C4" s="1"/>
      <c r="D4" s="184"/>
      <c r="E4" s="816"/>
      <c r="F4" s="816"/>
      <c r="G4" s="816"/>
      <c r="H4" s="816"/>
      <c r="I4" s="1"/>
    </row>
    <row r="5" spans="1:13" s="1" customFormat="1">
      <c r="F5" s="185"/>
      <c r="J5" s="180"/>
      <c r="K5" s="180"/>
      <c r="L5" s="180"/>
      <c r="M5" s="180"/>
    </row>
    <row r="6" spans="1:13" s="156" customFormat="1">
      <c r="B6" s="156" t="s">
        <v>254</v>
      </c>
      <c r="E6" s="25" t="s">
        <v>298</v>
      </c>
      <c r="F6" s="25" t="s">
        <v>297</v>
      </c>
      <c r="G6" s="447" t="s">
        <v>296</v>
      </c>
      <c r="H6" s="447"/>
      <c r="I6" s="186" t="s">
        <v>302</v>
      </c>
      <c r="J6" s="187"/>
      <c r="K6" s="187"/>
      <c r="L6" s="187"/>
      <c r="M6" s="187"/>
    </row>
    <row r="7" spans="1:13">
      <c r="A7" s="188"/>
      <c r="B7" s="6"/>
      <c r="C7" s="6"/>
      <c r="D7" s="156"/>
      <c r="E7" s="189"/>
      <c r="F7" s="189"/>
      <c r="G7" s="189"/>
      <c r="H7" s="6"/>
      <c r="I7" s="190"/>
      <c r="J7" s="813">
        <f>'Budget Gold'!AP7</f>
        <v>46526</v>
      </c>
      <c r="K7" s="814"/>
      <c r="L7" s="814"/>
      <c r="M7" s="814"/>
    </row>
    <row r="8" spans="1:13">
      <c r="A8" s="177">
        <v>1</v>
      </c>
      <c r="B8" s="191" t="str">
        <f>IF('Budget Gold'!E54="Indiquer le nom du projet à financer","",'Budget Gold'!E54)</f>
        <v>PEA - INVESTISSEMENTS</v>
      </c>
      <c r="C8" s="6" t="str">
        <f>IF('Budget Gold'!E56="- compte d'épargne à saisir -","",'Budget Gold'!E56)</f>
        <v>PEA - Bourse direct</v>
      </c>
      <c r="D8" s="156"/>
      <c r="E8" s="192">
        <f>'Budget Gold'!AQ54</f>
        <v>250</v>
      </c>
      <c r="F8" s="193">
        <f>'Budget Gold'!AQ55</f>
        <v>0</v>
      </c>
      <c r="G8" s="194">
        <f>E8-F8</f>
        <v>250</v>
      </c>
      <c r="H8" s="6" t="str">
        <f>IF(G8&gt;0,"(+) à ajouter sur le compte épargne",IF(G8=0,"--- rien à faire ---","(-) de moins sur le compte épargne"))</f>
        <v>(+) à ajouter sur le compte épargne</v>
      </c>
      <c r="I8" s="195">
        <f>'Budget Gold'!AP56</f>
        <v>42530</v>
      </c>
      <c r="J8" s="814"/>
      <c r="K8" s="814"/>
      <c r="L8" s="814"/>
      <c r="M8" s="814"/>
    </row>
    <row r="9" spans="1:13">
      <c r="A9" s="177">
        <f>1+A8</f>
        <v>2</v>
      </c>
      <c r="B9" s="191" t="str">
        <f>IF('Budget Gold'!E57="Indiquer le nom du projet à financer","",'Budget Gold'!E57)</f>
        <v>Assurance vie "INVESTISSEMENTS"</v>
      </c>
      <c r="C9" s="6" t="str">
        <f>IF('Budget Gold'!E59="- compte d'épargne à saisir -","",'Budget Gold'!E59)</f>
        <v>Assurance vie - Finarylife</v>
      </c>
      <c r="D9" s="156"/>
      <c r="E9" s="192">
        <f>'Budget Gold'!AQ57</f>
        <v>200</v>
      </c>
      <c r="F9" s="193">
        <f>'Budget Gold'!AQ58</f>
        <v>0</v>
      </c>
      <c r="G9" s="194">
        <f t="shared" ref="G9:G43" si="0">E9-F9</f>
        <v>200</v>
      </c>
      <c r="H9" s="6" t="str">
        <f t="shared" ref="H9:H43" si="1">IF(G9&gt;0,"(+) à ajouter sur le compte épargne",IF(G9=0,"--- rien à faire ---","(-) de moins sur le compte épargne"))</f>
        <v>(+) à ajouter sur le compte épargne</v>
      </c>
      <c r="I9" s="195">
        <f>'Budget Gold'!AP59</f>
        <v>4711</v>
      </c>
      <c r="J9" s="814"/>
      <c r="K9" s="814"/>
      <c r="L9" s="814"/>
      <c r="M9" s="814"/>
    </row>
    <row r="10" spans="1:13">
      <c r="A10" s="177">
        <f t="shared" ref="A10:A51" si="2">1+A9</f>
        <v>3</v>
      </c>
      <c r="B10" s="191" t="str">
        <f>IF('Budget Gold'!E60="Indiquer le nom du projet à financer","",'Budget Gold'!E60)</f>
        <v>Trésorerie "Service pour DIEU &amp; Bonnes Œuvres"</v>
      </c>
      <c r="C10" s="6" t="str">
        <f>IF('Budget Gold'!E62="- compte d'épargne à saisir -","",'Budget Gold'!E62)</f>
        <v>Livret A - BANXO</v>
      </c>
      <c r="D10" s="156"/>
      <c r="E10" s="192">
        <f>'Budget Gold'!AQ60</f>
        <v>0</v>
      </c>
      <c r="F10" s="193">
        <f>'Budget Gold'!AQ61</f>
        <v>0</v>
      </c>
      <c r="G10" s="194">
        <f t="shared" si="0"/>
        <v>0</v>
      </c>
      <c r="H10" s="6" t="str">
        <f t="shared" si="1"/>
        <v>--- rien à faire ---</v>
      </c>
      <c r="I10" s="195">
        <f>'Budget Gold'!AP62</f>
        <v>400</v>
      </c>
      <c r="J10" s="814"/>
      <c r="K10" s="814"/>
      <c r="L10" s="814"/>
      <c r="M10" s="814"/>
    </row>
    <row r="11" spans="1:13">
      <c r="A11" s="177">
        <f t="shared" si="2"/>
        <v>4</v>
      </c>
      <c r="B11" s="191" t="str">
        <f>IF('Budget Gold'!E63="Indiquer le nom du projet à financer","",'Budget Gold'!E63)</f>
        <v>Réserve de "SOUTIEN FAMILIAL"</v>
      </c>
      <c r="C11" s="6" t="str">
        <f>IF('Budget Gold'!E65="- compte d'épargne à saisir -","",'Budget Gold'!E65)</f>
        <v>Livret A - BANXO</v>
      </c>
      <c r="D11" s="156"/>
      <c r="E11" s="192">
        <f>'Budget Gold'!AQ63</f>
        <v>0</v>
      </c>
      <c r="F11" s="193">
        <f>'Budget Gold'!AQ64</f>
        <v>0</v>
      </c>
      <c r="G11" s="194">
        <f t="shared" si="0"/>
        <v>0</v>
      </c>
      <c r="H11" s="6" t="str">
        <f t="shared" si="1"/>
        <v>--- rien à faire ---</v>
      </c>
      <c r="I11" s="195">
        <f>'Budget Gold'!AP65</f>
        <v>100</v>
      </c>
      <c r="J11" s="814"/>
      <c r="K11" s="814"/>
      <c r="L11" s="814"/>
      <c r="M11" s="814"/>
    </row>
    <row r="12" spans="1:13">
      <c r="A12" s="177">
        <f t="shared" si="2"/>
        <v>5</v>
      </c>
      <c r="B12" s="191" t="str">
        <f>IF('Budget Gold'!E66="Indiquer le nom du projet à financer","",'Budget Gold'!E66)</f>
        <v>Epargne pour "Mariage"</v>
      </c>
      <c r="C12" s="6" t="str">
        <f>IF('Budget Gold'!E68="- compte d'épargne à saisir -","",'Budget Gold'!E68)</f>
        <v>Livret A - BANXO</v>
      </c>
      <c r="D12" s="156"/>
      <c r="E12" s="192">
        <f>'Budget Gold'!AQ66</f>
        <v>0</v>
      </c>
      <c r="F12" s="193">
        <f>'Budget Gold'!AQ67</f>
        <v>0</v>
      </c>
      <c r="G12" s="194">
        <f t="shared" si="0"/>
        <v>0</v>
      </c>
      <c r="H12" s="6" t="str">
        <f t="shared" si="1"/>
        <v>--- rien à faire ---</v>
      </c>
      <c r="I12" s="195">
        <f>'Budget Gold'!AP68</f>
        <v>200</v>
      </c>
      <c r="J12" s="814"/>
      <c r="K12" s="814"/>
      <c r="L12" s="814"/>
      <c r="M12" s="814"/>
    </row>
    <row r="13" spans="1:13">
      <c r="A13" s="177">
        <f t="shared" si="2"/>
        <v>6</v>
      </c>
      <c r="B13" s="191" t="str">
        <f>IF('Budget Gold'!E69="Indiquer le nom du projet à financer","",'Budget Gold'!E69)</f>
        <v>Epargne pour "IMPREVUS"</v>
      </c>
      <c r="C13" s="6" t="str">
        <f>IF('Budget Gold'!E71="- compte d'épargne à saisir -","",'Budget Gold'!E71)</f>
        <v>Livret A - BANXO</v>
      </c>
      <c r="D13" s="156"/>
      <c r="E13" s="192">
        <f>'Budget Gold'!AQ69</f>
        <v>0</v>
      </c>
      <c r="F13" s="193">
        <f>'Budget Gold'!AQ70</f>
        <v>0</v>
      </c>
      <c r="G13" s="194">
        <f t="shared" si="0"/>
        <v>0</v>
      </c>
      <c r="H13" s="6" t="str">
        <f t="shared" si="1"/>
        <v>--- rien à faire ---</v>
      </c>
      <c r="I13" s="195">
        <f>'Budget Gold'!AP71</f>
        <v>-1600</v>
      </c>
      <c r="J13" s="814"/>
      <c r="K13" s="814"/>
      <c r="L13" s="814"/>
      <c r="M13" s="814"/>
    </row>
    <row r="14" spans="1:13">
      <c r="A14" s="177">
        <f t="shared" si="2"/>
        <v>7</v>
      </c>
      <c r="B14" s="191" t="str">
        <f>IF('Budget Gold'!E72="Indiquer le nom du projet à financer","",'Budget Gold'!E72)</f>
        <v>Epargne pour 'FORMATION" (compétences, etc.)</v>
      </c>
      <c r="C14" s="6" t="str">
        <f>IF('Budget Gold'!E74="- compte d'épargne à saisir -","",'Budget Gold'!E74)</f>
        <v>Livret A - BANXO</v>
      </c>
      <c r="D14" s="156"/>
      <c r="E14" s="192">
        <f>'Budget Gold'!AQ72</f>
        <v>0</v>
      </c>
      <c r="F14" s="193">
        <f>'Budget Gold'!AQ73</f>
        <v>0</v>
      </c>
      <c r="G14" s="194">
        <f t="shared" si="0"/>
        <v>0</v>
      </c>
      <c r="H14" s="6" t="str">
        <f t="shared" si="1"/>
        <v>--- rien à faire ---</v>
      </c>
      <c r="I14" s="195">
        <f>'Budget Gold'!AP74</f>
        <v>100</v>
      </c>
      <c r="J14" s="814"/>
      <c r="K14" s="814"/>
      <c r="L14" s="814"/>
      <c r="M14" s="814"/>
    </row>
    <row r="15" spans="1:13">
      <c r="A15" s="177">
        <f t="shared" si="2"/>
        <v>8</v>
      </c>
      <c r="B15" s="191" t="str">
        <f>IF('Budget Gold'!E75="Indiquer le nom du projet à financer","",'Budget Gold'!E75)</f>
        <v>Epargne "ACHAT VOITURE"</v>
      </c>
      <c r="C15" s="6" t="str">
        <f>IF('Budget Gold'!E77="- compte d'épargne à saisir -","",'Budget Gold'!E77)</f>
        <v>Livret A - BANXO</v>
      </c>
      <c r="D15" s="156"/>
      <c r="E15" s="192">
        <f>'Budget Gold'!AQ75</f>
        <v>0</v>
      </c>
      <c r="F15" s="193">
        <f>'Budget Gold'!AQ76</f>
        <v>0</v>
      </c>
      <c r="G15" s="194">
        <f t="shared" si="0"/>
        <v>0</v>
      </c>
      <c r="H15" s="6" t="str">
        <f t="shared" si="1"/>
        <v>--- rien à faire ---</v>
      </c>
      <c r="I15" s="195">
        <f>'Budget Gold'!AP77</f>
        <v>750</v>
      </c>
      <c r="J15" s="814"/>
      <c r="K15" s="814"/>
      <c r="L15" s="814"/>
      <c r="M15" s="814"/>
    </row>
    <row r="16" spans="1:13">
      <c r="A16" s="177">
        <f t="shared" si="2"/>
        <v>9</v>
      </c>
      <c r="B16" s="191" t="str">
        <f>IF('Budget Gold'!E78="Indiquer le nom du projet à financer","",'Budget Gold'!E78)</f>
        <v>Epargne pour "Projet personnel"</v>
      </c>
      <c r="C16" s="6" t="str">
        <f>IF('Budget Gold'!E80="- compte d'épargne à saisir -","",'Budget Gold'!E80)</f>
        <v>Livret A - BANXO</v>
      </c>
      <c r="D16" s="156"/>
      <c r="E16" s="192">
        <f>'Budget Gold'!AQ78</f>
        <v>0</v>
      </c>
      <c r="F16" s="193">
        <f>'Budget Gold'!AQ79</f>
        <v>0</v>
      </c>
      <c r="G16" s="194">
        <f t="shared" si="0"/>
        <v>0</v>
      </c>
      <c r="H16" s="6" t="str">
        <f t="shared" si="1"/>
        <v>--- rien à faire ---</v>
      </c>
      <c r="I16" s="195">
        <f>'Budget Gold'!AP80</f>
        <v>100</v>
      </c>
      <c r="J16" s="814"/>
      <c r="K16" s="814"/>
      <c r="L16" s="814"/>
      <c r="M16" s="814"/>
    </row>
    <row r="17" spans="1:13">
      <c r="A17" s="177">
        <f t="shared" si="2"/>
        <v>10</v>
      </c>
      <c r="B17" s="191" t="str">
        <f>IF('Budget Gold'!E81="Indiquer le nom du projet à financer","",'Budget Gold'!E81)</f>
        <v>Trésorerie "Jeune prodige conférence"</v>
      </c>
      <c r="C17" s="6" t="str">
        <f>IF('Budget Gold'!E83="- compte d'épargne à saisir -","",'Budget Gold'!E83)</f>
        <v/>
      </c>
      <c r="D17" s="156"/>
      <c r="E17" s="192">
        <f>'Budget Gold'!AQ81</f>
        <v>0</v>
      </c>
      <c r="F17" s="193">
        <f>'Budget Gold'!AQ82</f>
        <v>0</v>
      </c>
      <c r="G17" s="194">
        <f t="shared" si="0"/>
        <v>0</v>
      </c>
      <c r="H17" s="6" t="str">
        <f t="shared" si="1"/>
        <v>--- rien à faire ---</v>
      </c>
      <c r="I17" s="195">
        <f>'Budget Gold'!AP83</f>
        <v>400</v>
      </c>
      <c r="J17" s="814"/>
      <c r="K17" s="814"/>
      <c r="L17" s="814"/>
      <c r="M17" s="814"/>
    </row>
    <row r="18" spans="1:13">
      <c r="A18" s="177">
        <f t="shared" si="2"/>
        <v>11</v>
      </c>
      <c r="B18" s="191" t="str">
        <f>IF('Budget Gold'!E84="Indiquer le nom du projet à financer","",'Budget Gold'!E84)</f>
        <v>Capital "NAISSANCE" - Enfant 1</v>
      </c>
      <c r="C18" s="6" t="str">
        <f>IF('Budget Gold'!E86="- compte d'épargne à saisir -","",'Budget Gold'!E86)</f>
        <v/>
      </c>
      <c r="D18" s="156"/>
      <c r="E18" s="192">
        <f>'Budget Gold'!AQ84</f>
        <v>0</v>
      </c>
      <c r="F18" s="193">
        <f>'Budget Gold'!AQ85</f>
        <v>0</v>
      </c>
      <c r="G18" s="194">
        <f t="shared" si="0"/>
        <v>0</v>
      </c>
      <c r="H18" s="6" t="str">
        <f t="shared" si="1"/>
        <v>--- rien à faire ---</v>
      </c>
      <c r="I18" s="195">
        <f>'Budget Gold'!AP86</f>
        <v>146</v>
      </c>
      <c r="J18" s="814"/>
      <c r="K18" s="814"/>
      <c r="L18" s="814"/>
      <c r="M18" s="814"/>
    </row>
    <row r="19" spans="1:13">
      <c r="A19" s="177">
        <f t="shared" si="2"/>
        <v>12</v>
      </c>
      <c r="B19" s="191" t="str">
        <f>IF('Budget Gold'!E87="Indiquer le nom du projet à financer","",'Budget Gold'!E87)</f>
        <v>Capital "NAISSANCE" - Enfant 2</v>
      </c>
      <c r="C19" s="6" t="str">
        <f>IF('Budget Gold'!E89="- compte d'épargne à saisir -","",'Budget Gold'!E89)</f>
        <v/>
      </c>
      <c r="D19" s="156"/>
      <c r="E19" s="192">
        <f>'Budget Gold'!AQ87</f>
        <v>0</v>
      </c>
      <c r="F19" s="193">
        <f>'Budget Gold'!AQ88</f>
        <v>0</v>
      </c>
      <c r="G19" s="194">
        <f t="shared" si="0"/>
        <v>0</v>
      </c>
      <c r="H19" s="6" t="str">
        <f t="shared" si="1"/>
        <v>--- rien à faire ---</v>
      </c>
      <c r="I19" s="195">
        <f>'Budget Gold'!AP89</f>
        <v>146</v>
      </c>
      <c r="J19" s="814"/>
      <c r="K19" s="814"/>
      <c r="L19" s="814"/>
      <c r="M19" s="814"/>
    </row>
    <row r="20" spans="1:13">
      <c r="A20" s="177">
        <f t="shared" si="2"/>
        <v>13</v>
      </c>
      <c r="B20" s="191" t="str">
        <f>IF('Budget Gold'!E90="Indiquer le nom du projet à financer","",'Budget Gold'!E90)</f>
        <v/>
      </c>
      <c r="C20" s="6" t="str">
        <f>IF('Budget Gold'!E92="- compte d'épargne à saisir -","",'Budget Gold'!E92)</f>
        <v/>
      </c>
      <c r="D20" s="156"/>
      <c r="E20" s="192">
        <f>'Budget Gold'!AQ90</f>
        <v>0</v>
      </c>
      <c r="F20" s="193">
        <f>'Budget Gold'!AQ91</f>
        <v>0</v>
      </c>
      <c r="G20" s="194">
        <f t="shared" si="0"/>
        <v>0</v>
      </c>
      <c r="H20" s="6" t="str">
        <f t="shared" si="1"/>
        <v>--- rien à faire ---</v>
      </c>
      <c r="I20" s="195">
        <f>'Budget Gold'!AP92</f>
        <v>0</v>
      </c>
      <c r="J20" s="814"/>
      <c r="K20" s="814"/>
      <c r="L20" s="814"/>
      <c r="M20" s="814"/>
    </row>
    <row r="21" spans="1:13">
      <c r="A21" s="177">
        <f t="shared" si="2"/>
        <v>14</v>
      </c>
      <c r="B21" s="191" t="str">
        <f>IF('Budget Gold'!E93="Indiquer le nom du projet à financer","",'Budget Gold'!E93)</f>
        <v/>
      </c>
      <c r="C21" s="6" t="str">
        <f>IF('Budget Gold'!E95="- compte d'épargne à saisir -","",'Budget Gold'!E95)</f>
        <v/>
      </c>
      <c r="D21" s="156"/>
      <c r="E21" s="192">
        <f>'Budget Gold'!AQ93</f>
        <v>0</v>
      </c>
      <c r="F21" s="193">
        <f>'Budget Gold'!AQ94</f>
        <v>0</v>
      </c>
      <c r="G21" s="194">
        <f t="shared" si="0"/>
        <v>0</v>
      </c>
      <c r="H21" s="6" t="str">
        <f t="shared" si="1"/>
        <v>--- rien à faire ---</v>
      </c>
      <c r="I21" s="195">
        <f>'Budget Gold'!AP95</f>
        <v>0</v>
      </c>
      <c r="J21" s="814"/>
      <c r="K21" s="814"/>
      <c r="L21" s="814"/>
      <c r="M21" s="814"/>
    </row>
    <row r="22" spans="1:13">
      <c r="A22" s="177">
        <f t="shared" si="2"/>
        <v>15</v>
      </c>
      <c r="B22" s="191" t="str">
        <f>IF('Budget Gold'!E96="Indiquer le nom du projet à financer","",'Budget Gold'!E96)</f>
        <v/>
      </c>
      <c r="C22" s="6" t="str">
        <f>IF('Budget Gold'!E98="- compte d'épargne à saisir -","",'Budget Gold'!E98)</f>
        <v/>
      </c>
      <c r="D22" s="156"/>
      <c r="E22" s="192">
        <f>'Budget Gold'!AQ96</f>
        <v>0</v>
      </c>
      <c r="F22" s="193">
        <f>'Budget Gold'!AQ97</f>
        <v>0</v>
      </c>
      <c r="G22" s="194">
        <f t="shared" si="0"/>
        <v>0</v>
      </c>
      <c r="H22" s="6" t="str">
        <f t="shared" si="1"/>
        <v>--- rien à faire ---</v>
      </c>
      <c r="I22" s="195">
        <f>'Budget Gold'!AP98</f>
        <v>0</v>
      </c>
      <c r="J22" s="814"/>
      <c r="K22" s="814"/>
      <c r="L22" s="814"/>
      <c r="M22" s="814"/>
    </row>
    <row r="23" spans="1:13">
      <c r="A23" s="177">
        <f t="shared" si="2"/>
        <v>16</v>
      </c>
      <c r="B23" s="191" t="str">
        <f>IF('Budget Gold'!E99="Indiquer le nom du projet à financer","",'Budget Gold'!E99)</f>
        <v/>
      </c>
      <c r="C23" s="6" t="str">
        <f>IF('Budget Gold'!E101="- compte d'épargne à saisir -","",'Budget Gold'!E101)</f>
        <v/>
      </c>
      <c r="D23" s="156"/>
      <c r="E23" s="192">
        <f>'Budget Gold'!AQ99</f>
        <v>0</v>
      </c>
      <c r="F23" s="193">
        <f>'Budget Gold'!AQ100</f>
        <v>0</v>
      </c>
      <c r="G23" s="194">
        <f t="shared" si="0"/>
        <v>0</v>
      </c>
      <c r="H23" s="6" t="str">
        <f t="shared" si="1"/>
        <v>--- rien à faire ---</v>
      </c>
      <c r="I23" s="195">
        <f>'Budget Gold'!AP101</f>
        <v>0</v>
      </c>
    </row>
    <row r="24" spans="1:13">
      <c r="A24" s="177">
        <f t="shared" si="2"/>
        <v>17</v>
      </c>
      <c r="B24" s="191" t="str">
        <f>IF('Budget Gold'!E102="Indiquer le nom du projet à financer","",'Budget Gold'!E102)</f>
        <v/>
      </c>
      <c r="C24" s="6" t="str">
        <f>IF('Budget Gold'!E104="- compte d'épargne à saisir -","",'Budget Gold'!E104)</f>
        <v/>
      </c>
      <c r="D24" s="156"/>
      <c r="E24" s="192">
        <f>'Budget Gold'!AQ102</f>
        <v>0</v>
      </c>
      <c r="F24" s="193">
        <f>'Budget Gold'!AQ103</f>
        <v>0</v>
      </c>
      <c r="G24" s="194">
        <f t="shared" ref="G24:G31" si="3">E24-F24</f>
        <v>0</v>
      </c>
      <c r="H24" s="6" t="str">
        <f t="shared" ref="H24:H30" si="4">IF(G24&gt;0,"(+) à ajouter sur le compte épargne",IF(G24=0,"--- rien à faire ---","(-) de moins sur le compte épargne"))</f>
        <v>--- rien à faire ---</v>
      </c>
      <c r="I24" s="195">
        <f>'Budget Gold'!AP104</f>
        <v>0</v>
      </c>
    </row>
    <row r="25" spans="1:13">
      <c r="A25" s="177">
        <f t="shared" si="2"/>
        <v>18</v>
      </c>
      <c r="B25" s="191" t="str">
        <f>IF('Budget Gold'!E105="Indiquer le nom du projet à financer","",'Budget Gold'!E105)</f>
        <v/>
      </c>
      <c r="C25" s="6" t="str">
        <f>IF('Budget Gold'!E107="- compte d'épargne à saisir -","",'Budget Gold'!E107)</f>
        <v/>
      </c>
      <c r="D25" s="156"/>
      <c r="E25" s="192">
        <f>'Budget Gold'!AQ105</f>
        <v>0</v>
      </c>
      <c r="F25" s="193">
        <f>'Budget Gold'!AQ106</f>
        <v>0</v>
      </c>
      <c r="G25" s="194">
        <f t="shared" si="3"/>
        <v>0</v>
      </c>
      <c r="H25" s="6" t="str">
        <f t="shared" si="4"/>
        <v>--- rien à faire ---</v>
      </c>
      <c r="I25" s="195">
        <f>'Budget Gold'!AP107</f>
        <v>0</v>
      </c>
    </row>
    <row r="26" spans="1:13">
      <c r="A26" s="177">
        <f t="shared" si="2"/>
        <v>19</v>
      </c>
      <c r="B26" s="191" t="str">
        <f>IF('Budget Gold'!E108="Indiquer le nom du projet à financer","",'Budget Gold'!E108)</f>
        <v/>
      </c>
      <c r="C26" s="6" t="str">
        <f>IF('Budget Gold'!E110="- compte d'épargne à saisir -","",'Budget Gold'!E110)</f>
        <v/>
      </c>
      <c r="D26" s="156"/>
      <c r="E26" s="192">
        <f>'Budget Gold'!AQ108</f>
        <v>0</v>
      </c>
      <c r="F26" s="193">
        <f>'Budget Gold'!AQ109</f>
        <v>0</v>
      </c>
      <c r="G26" s="194">
        <f t="shared" si="3"/>
        <v>0</v>
      </c>
      <c r="H26" s="6" t="str">
        <f t="shared" si="4"/>
        <v>--- rien à faire ---</v>
      </c>
      <c r="I26" s="195">
        <f>'Budget Gold'!AP110</f>
        <v>0</v>
      </c>
    </row>
    <row r="27" spans="1:13">
      <c r="A27" s="177">
        <f t="shared" si="2"/>
        <v>20</v>
      </c>
      <c r="B27" s="191" t="str">
        <f>IF('Budget Gold'!E111="Indiquer le nom du projet à financer","",'Budget Gold'!E111)</f>
        <v/>
      </c>
      <c r="C27" s="6" t="str">
        <f>IF('Budget Gold'!E113="- compte d'épargne à saisir -","",'Budget Gold'!E113)</f>
        <v/>
      </c>
      <c r="D27" s="156"/>
      <c r="E27" s="192">
        <f>'Budget Gold'!AQ111</f>
        <v>0</v>
      </c>
      <c r="F27" s="193">
        <f>'Budget Gold'!AQ112</f>
        <v>0</v>
      </c>
      <c r="G27" s="194">
        <f t="shared" si="3"/>
        <v>0</v>
      </c>
      <c r="H27" s="6" t="str">
        <f t="shared" si="4"/>
        <v>--- rien à faire ---</v>
      </c>
      <c r="I27" s="195">
        <f>'Budget Gold'!AP113</f>
        <v>0</v>
      </c>
    </row>
    <row r="28" spans="1:13">
      <c r="A28" s="177">
        <f t="shared" si="2"/>
        <v>21</v>
      </c>
      <c r="B28" s="191" t="str">
        <f>IF('Budget Gold'!E114="Indiquer le nom du projet à financer","",'Budget Gold'!E114)</f>
        <v>PATRIMOINE A - FONCIER et IMMOBILIER (Valeur nette)</v>
      </c>
      <c r="C28" s="6" t="str">
        <f>IF('Budget Gold'!E116="- compte d'épargne à saisir -","",'Budget Gold'!E116)</f>
        <v>PATRIMOINE</v>
      </c>
      <c r="D28" s="156"/>
      <c r="E28" s="192">
        <f>'Budget Gold'!AQ114</f>
        <v>0</v>
      </c>
      <c r="F28" s="193">
        <f>'Budget Gold'!AQ115</f>
        <v>0</v>
      </c>
      <c r="G28" s="194">
        <f t="shared" si="3"/>
        <v>0</v>
      </c>
      <c r="H28" s="6" t="str">
        <f t="shared" si="4"/>
        <v>--- rien à faire ---</v>
      </c>
      <c r="I28" s="195">
        <f>'Budget Gold'!AP116</f>
        <v>0</v>
      </c>
    </row>
    <row r="29" spans="1:13">
      <c r="A29" s="177">
        <f t="shared" si="2"/>
        <v>22</v>
      </c>
      <c r="B29" s="191" t="str">
        <f>IF('Budget Gold'!E117="Indiquer le nom du projet à financer","",'Budget Gold'!E117)</f>
        <v>PATRIMOINE B - OBJETS et METAUX PRECIEUX</v>
      </c>
      <c r="C29" s="6" t="str">
        <f>IF('Budget Gold'!E119="- compte d'épargne à saisir -","",'Budget Gold'!E119)</f>
        <v>PATRIMOINE</v>
      </c>
      <c r="D29" s="156"/>
      <c r="E29" s="192">
        <f>'Budget Gold'!AQ117</f>
        <v>0</v>
      </c>
      <c r="F29" s="193">
        <f>'Budget Gold'!AQ118</f>
        <v>0</v>
      </c>
      <c r="G29" s="194">
        <f t="shared" si="3"/>
        <v>0</v>
      </c>
      <c r="H29" s="6" t="str">
        <f t="shared" si="4"/>
        <v>--- rien à faire ---</v>
      </c>
      <c r="I29" s="195">
        <f>'Budget Gold'!AP119</f>
        <v>0</v>
      </c>
    </row>
    <row r="30" spans="1:13">
      <c r="A30" s="177">
        <f t="shared" si="2"/>
        <v>23</v>
      </c>
      <c r="B30" s="191" t="str">
        <f>IF('Budget Gold'!E120="Indiquer le nom du projet à financer","",'Budget Gold'!E120)</f>
        <v>PATRIMOINE C - EQUIPEMENTS DE VALEUR, VEHICULES (Valeur nette)</v>
      </c>
      <c r="C30" s="6" t="str">
        <f>IF('Budget Gold'!E122="- compte d'épargne à saisir -","",'Budget Gold'!E122)</f>
        <v>PATRIMOINE</v>
      </c>
      <c r="D30" s="156"/>
      <c r="E30" s="192">
        <f>'Budget Gold'!AQ120</f>
        <v>0</v>
      </c>
      <c r="F30" s="193">
        <f>'Budget Gold'!AQ121</f>
        <v>0</v>
      </c>
      <c r="G30" s="194">
        <f t="shared" si="3"/>
        <v>0</v>
      </c>
      <c r="H30" s="6" t="str">
        <f t="shared" si="4"/>
        <v>--- rien à faire ---</v>
      </c>
      <c r="I30" s="195">
        <f>'Budget Gold'!AP122</f>
        <v>0</v>
      </c>
    </row>
    <row r="31" spans="1:13">
      <c r="A31" s="177">
        <f t="shared" si="2"/>
        <v>24</v>
      </c>
      <c r="B31" s="191" t="str">
        <f>IF('Budget Gold'!E123="Indiquer le nom du projet à financer","",'Budget Gold'!E123)</f>
        <v>PATRIMOINE D - AUTRES (Parts de sociétés, cryptomonnaie, créances, etc.)</v>
      </c>
      <c r="C31" s="6" t="str">
        <f>IF('Budget Gold'!E125="- compte d'épargne à saisir -","",'Budget Gold'!E125)</f>
        <v>PATRIMOINE</v>
      </c>
      <c r="D31" s="156"/>
      <c r="E31" s="192">
        <f>'Budget Gold'!AQ123</f>
        <v>0</v>
      </c>
      <c r="F31" s="193">
        <f>'Budget Gold'!AQ124</f>
        <v>0</v>
      </c>
      <c r="G31" s="194">
        <f t="shared" si="3"/>
        <v>0</v>
      </c>
      <c r="H31" s="6" t="str">
        <f>IF(G31&gt;0,"(+) à ajouter sur le compte épargne",IF(G31=0,"--- rien à faire ---","(-) de moins sur le compte épargne"))</f>
        <v>--- rien à faire ---</v>
      </c>
      <c r="I31" s="195">
        <f>'Budget Gold'!AP125</f>
        <v>0</v>
      </c>
    </row>
    <row r="32" spans="1:13">
      <c r="A32" s="177">
        <f t="shared" si="2"/>
        <v>25</v>
      </c>
      <c r="B32" s="191" t="str">
        <f>IF('Budget Gold'!E160="Indiquer le nom de la provision à financer","",'Budget Gold'!E160)</f>
        <v>Provision - Achat cuisine</v>
      </c>
      <c r="C32" s="6" t="str">
        <f>IF('Budget Gold'!E162="- compte d'épargne à saisir -","",'Budget Gold'!E162)</f>
        <v/>
      </c>
      <c r="D32" s="156"/>
      <c r="E32" s="192">
        <f>'Budget Gold'!AQ160</f>
        <v>0</v>
      </c>
      <c r="F32" s="193">
        <f>'Budget Gold'!AQ161</f>
        <v>0</v>
      </c>
      <c r="G32" s="194">
        <f t="shared" si="0"/>
        <v>0</v>
      </c>
      <c r="H32" s="6" t="str">
        <f t="shared" si="1"/>
        <v>--- rien à faire ---</v>
      </c>
      <c r="I32" s="195">
        <f>'Budget Gold'!AP162</f>
        <v>350</v>
      </c>
    </row>
    <row r="33" spans="1:9">
      <c r="A33" s="177">
        <f t="shared" si="2"/>
        <v>26</v>
      </c>
      <c r="B33" s="191" t="str">
        <f>IF('Budget Gold'!E163="Indiquer le nom de la provision à financer","",'Budget Gold'!E163)</f>
        <v>Provision - Achat chambre</v>
      </c>
      <c r="C33" s="6" t="str">
        <f>IF('Budget Gold'!E165="- compte d'épargne à saisir -","",'Budget Gold'!E165)</f>
        <v/>
      </c>
      <c r="D33" s="156"/>
      <c r="E33" s="192">
        <f>'Budget Gold'!AQ163</f>
        <v>0</v>
      </c>
      <c r="F33" s="193">
        <f>'Budget Gold'!AQ164</f>
        <v>0</v>
      </c>
      <c r="G33" s="194">
        <f t="shared" si="0"/>
        <v>0</v>
      </c>
      <c r="H33" s="6" t="str">
        <f t="shared" si="1"/>
        <v>--- rien à faire ---</v>
      </c>
      <c r="I33" s="195">
        <f>'Budget Gold'!AP165</f>
        <v>1550</v>
      </c>
    </row>
    <row r="34" spans="1:9">
      <c r="A34" s="177">
        <f t="shared" si="2"/>
        <v>27</v>
      </c>
      <c r="B34" s="191" t="str">
        <f>IF('Budget Gold'!E166="Indiquer le nom de la provision à financer","",'Budget Gold'!E166)</f>
        <v>Provision - Vacances / Sorties / Détente</v>
      </c>
      <c r="C34" s="6" t="str">
        <f>IF('Budget Gold'!E168="- compte d'épargne à saisir -","",'Budget Gold'!E168)</f>
        <v/>
      </c>
      <c r="D34" s="156"/>
      <c r="E34" s="192">
        <f>'Budget Gold'!AQ166</f>
        <v>0</v>
      </c>
      <c r="F34" s="193">
        <f>'Budget Gold'!AQ167</f>
        <v>0</v>
      </c>
      <c r="G34" s="194">
        <f t="shared" si="0"/>
        <v>0</v>
      </c>
      <c r="H34" s="6" t="str">
        <f t="shared" si="1"/>
        <v>--- rien à faire ---</v>
      </c>
      <c r="I34" s="195">
        <f>'Budget Gold'!AP168</f>
        <v>200</v>
      </c>
    </row>
    <row r="35" spans="1:9">
      <c r="A35" s="177">
        <f t="shared" si="2"/>
        <v>28</v>
      </c>
      <c r="B35" s="191" t="str">
        <f>IF('Budget Gold'!E169="Indiquer le nom de la provision à financer","",'Budget Gold'!E169)</f>
        <v>Provision - Habillement</v>
      </c>
      <c r="C35" s="6" t="str">
        <f>IF('Budget Gold'!E171="- compte d'épargne à saisir -","",'Budget Gold'!E171)</f>
        <v/>
      </c>
      <c r="D35" s="156"/>
      <c r="E35" s="192">
        <f>'Budget Gold'!AQ169</f>
        <v>0</v>
      </c>
      <c r="F35" s="193">
        <f>'Budget Gold'!AQ170</f>
        <v>0</v>
      </c>
      <c r="G35" s="194">
        <f t="shared" si="0"/>
        <v>0</v>
      </c>
      <c r="H35" s="6" t="str">
        <f t="shared" si="1"/>
        <v>--- rien à faire ---</v>
      </c>
      <c r="I35" s="195">
        <f>'Budget Gold'!AP171</f>
        <v>400</v>
      </c>
    </row>
    <row r="36" spans="1:9">
      <c r="A36" s="177">
        <f t="shared" si="2"/>
        <v>29</v>
      </c>
      <c r="B36" s="191" t="str">
        <f>IF('Budget Gold'!E172="Indiquer le nom de la provision à financer","",'Budget Gold'!E172)</f>
        <v>Provision - Achat bureau</v>
      </c>
      <c r="C36" s="6" t="str">
        <f>IF('Budget Gold'!E174="- compte d'épargne à saisir -","",'Budget Gold'!E174)</f>
        <v/>
      </c>
      <c r="D36" s="156"/>
      <c r="E36" s="192">
        <f>'Budget Gold'!AQ172</f>
        <v>0</v>
      </c>
      <c r="F36" s="193">
        <f>'Budget Gold'!AQ173</f>
        <v>0</v>
      </c>
      <c r="G36" s="194">
        <f t="shared" si="0"/>
        <v>0</v>
      </c>
      <c r="H36" s="6" t="str">
        <f t="shared" si="1"/>
        <v>--- rien à faire ---</v>
      </c>
      <c r="I36" s="195">
        <f>'Budget Gold'!AP174</f>
        <v>1550</v>
      </c>
    </row>
    <row r="37" spans="1:9">
      <c r="A37" s="177">
        <f t="shared" si="2"/>
        <v>30</v>
      </c>
      <c r="B37" s="191" t="str">
        <f>IF('Budget Gold'!E175="Indiquer le nom de la provision à financer","",'Budget Gold'!E175)</f>
        <v>Provision - Achat séjour</v>
      </c>
      <c r="C37" s="6" t="str">
        <f>IF('Budget Gold'!E177="- compte d'épargne à saisir -","",'Budget Gold'!E177)</f>
        <v/>
      </c>
      <c r="D37" s="156"/>
      <c r="E37" s="192">
        <f>'Budget Gold'!AQ175</f>
        <v>0</v>
      </c>
      <c r="F37" s="193">
        <f>'Budget Gold'!AQ176</f>
        <v>0</v>
      </c>
      <c r="G37" s="194">
        <f t="shared" si="0"/>
        <v>0</v>
      </c>
      <c r="H37" s="6" t="str">
        <f t="shared" si="1"/>
        <v>--- rien à faire ---</v>
      </c>
      <c r="I37" s="195">
        <f>'Budget Gold'!AP177</f>
        <v>1550</v>
      </c>
    </row>
    <row r="38" spans="1:9">
      <c r="A38" s="177">
        <f t="shared" si="2"/>
        <v>31</v>
      </c>
      <c r="B38" s="191" t="str">
        <f>IF('Budget Gold'!E178="Indiquer le nom de la provision à financer","",'Budget Gold'!E178)</f>
        <v>Provision - Cadeaux (Anniversaires, événements, etc.)</v>
      </c>
      <c r="C38" s="6" t="str">
        <f>IF('Budget Gold'!E180="- compte d'épargne à saisir -","",'Budget Gold'!E180)</f>
        <v/>
      </c>
      <c r="D38" s="156"/>
      <c r="E38" s="192">
        <f>'Budget Gold'!AQ178</f>
        <v>0</v>
      </c>
      <c r="F38" s="193">
        <f>'Budget Gold'!AQ179</f>
        <v>0</v>
      </c>
      <c r="G38" s="194">
        <f t="shared" si="0"/>
        <v>0</v>
      </c>
      <c r="H38" s="6" t="str">
        <f t="shared" si="1"/>
        <v>--- rien à faire ---</v>
      </c>
      <c r="I38" s="195">
        <f>'Budget Gold'!AP180</f>
        <v>40</v>
      </c>
    </row>
    <row r="39" spans="1:9">
      <c r="A39" s="177">
        <f t="shared" si="2"/>
        <v>32</v>
      </c>
      <c r="B39" s="191" t="str">
        <f>IF('Budget Gold'!E181="Indiquer le nom de la provision à financer","",'Budget Gold'!E181)</f>
        <v>Provision - Charges de Co-propriété</v>
      </c>
      <c r="C39" s="6" t="str">
        <f>IF('Budget Gold'!E183="- compte d'épargne à saisir -","",'Budget Gold'!E183)</f>
        <v/>
      </c>
      <c r="D39" s="156"/>
      <c r="E39" s="192">
        <f>'Budget Gold'!AQ181</f>
        <v>200</v>
      </c>
      <c r="F39" s="193">
        <f>'Budget Gold'!AQ182</f>
        <v>200</v>
      </c>
      <c r="G39" s="194">
        <f t="shared" si="0"/>
        <v>0</v>
      </c>
      <c r="H39" s="6" t="str">
        <f t="shared" si="1"/>
        <v>--- rien à faire ---</v>
      </c>
      <c r="I39" s="195">
        <f>'Budget Gold'!AP183</f>
        <v>0</v>
      </c>
    </row>
    <row r="40" spans="1:9">
      <c r="A40" s="177">
        <f t="shared" si="2"/>
        <v>33</v>
      </c>
      <c r="B40" s="191" t="str">
        <f>IF('Budget Gold'!E184="Indiquer le nom de la provision à financer","",'Budget Gold'!E184)</f>
        <v>Provision - Taxe d'Habitation + Taxe Foncière</v>
      </c>
      <c r="C40" s="6" t="str">
        <f>IF('Budget Gold'!E186="- compte d'épargne à saisir -","",'Budget Gold'!E186)</f>
        <v/>
      </c>
      <c r="D40" s="156"/>
      <c r="E40" s="192">
        <f>'Budget Gold'!AQ184</f>
        <v>0</v>
      </c>
      <c r="F40" s="193">
        <f>'Budget Gold'!AQ185</f>
        <v>0</v>
      </c>
      <c r="G40" s="194">
        <f t="shared" si="0"/>
        <v>0</v>
      </c>
      <c r="H40" s="6" t="str">
        <f t="shared" si="1"/>
        <v>--- rien à faire ---</v>
      </c>
      <c r="I40" s="195">
        <f>'Budget Gold'!AP186</f>
        <v>0</v>
      </c>
    </row>
    <row r="41" spans="1:9">
      <c r="A41" s="177">
        <f t="shared" si="2"/>
        <v>34</v>
      </c>
      <c r="B41" s="191" t="str">
        <f>IF('Budget Gold'!E187="Indiquer le nom de la provision à financer","",'Budget Gold'!E187)</f>
        <v/>
      </c>
      <c r="C41" s="6" t="str">
        <f>IF('Budget Gold'!E189="- compte d'épargne à saisir -","",'Budget Gold'!E189)</f>
        <v/>
      </c>
      <c r="D41" s="156"/>
      <c r="E41" s="192">
        <f>'Budget Gold'!AQ187</f>
        <v>0</v>
      </c>
      <c r="F41" s="193">
        <f>'Budget Gold'!AQ188</f>
        <v>0</v>
      </c>
      <c r="G41" s="194">
        <f t="shared" si="0"/>
        <v>0</v>
      </c>
      <c r="H41" s="6" t="str">
        <f t="shared" si="1"/>
        <v>--- rien à faire ---</v>
      </c>
      <c r="I41" s="195">
        <f>'Budget Gold'!AP189</f>
        <v>0</v>
      </c>
    </row>
    <row r="42" spans="1:9">
      <c r="A42" s="177">
        <f t="shared" si="2"/>
        <v>35</v>
      </c>
      <c r="B42" s="191" t="str">
        <f>IF('Budget Gold'!E190="Indiquer le nom de la provision à financer","",'Budget Gold'!E190)</f>
        <v/>
      </c>
      <c r="C42" s="6" t="str">
        <f>IF('Budget Gold'!E192="- compte d'épargne à saisir -","",'Budget Gold'!E192)</f>
        <v/>
      </c>
      <c r="D42" s="156"/>
      <c r="E42" s="192">
        <f>'Budget Gold'!AQ190</f>
        <v>0</v>
      </c>
      <c r="F42" s="193">
        <f>'Budget Gold'!AQ191</f>
        <v>0</v>
      </c>
      <c r="G42" s="194">
        <f t="shared" si="0"/>
        <v>0</v>
      </c>
      <c r="H42" s="6" t="str">
        <f t="shared" si="1"/>
        <v>--- rien à faire ---</v>
      </c>
      <c r="I42" s="195">
        <f>'Budget Gold'!AP192</f>
        <v>0</v>
      </c>
    </row>
    <row r="43" spans="1:9">
      <c r="A43" s="177">
        <f t="shared" si="2"/>
        <v>36</v>
      </c>
      <c r="B43" s="191" t="str">
        <f>IF('Budget Gold'!E193="Indiquer le nom de la provision à financer","",'Budget Gold'!E193)</f>
        <v/>
      </c>
      <c r="C43" s="6" t="str">
        <f>IF('Budget Gold'!E195="- compte d'épargne à saisir -","",'Budget Gold'!E195)</f>
        <v/>
      </c>
      <c r="D43" s="156"/>
      <c r="E43" s="192">
        <f>'Budget Gold'!AQ193</f>
        <v>0</v>
      </c>
      <c r="F43" s="193">
        <f>'Budget Gold'!AQ194</f>
        <v>0</v>
      </c>
      <c r="G43" s="194">
        <f t="shared" si="0"/>
        <v>0</v>
      </c>
      <c r="H43" s="6" t="str">
        <f t="shared" si="1"/>
        <v>--- rien à faire ---</v>
      </c>
      <c r="I43" s="195">
        <f>'Budget Gold'!AP195</f>
        <v>0</v>
      </c>
    </row>
    <row r="44" spans="1:9">
      <c r="A44" s="177">
        <f t="shared" si="2"/>
        <v>37</v>
      </c>
      <c r="B44" s="191" t="str">
        <f>IF('Budget Gold'!E196="Indiquer le nom de la provision à financer","",'Budget Gold'!E196)</f>
        <v/>
      </c>
      <c r="C44" s="6" t="str">
        <f>IF('Budget Gold'!E198="- compte d'épargne à saisir -","",'Budget Gold'!E198)</f>
        <v/>
      </c>
      <c r="D44" s="156"/>
      <c r="E44" s="192">
        <f>'Budget Gold'!AQ196</f>
        <v>0</v>
      </c>
      <c r="F44" s="193">
        <f>'Budget Gold'!AQ197</f>
        <v>0</v>
      </c>
      <c r="G44" s="194">
        <f t="shared" ref="G44:G51" si="5">E44-F44</f>
        <v>0</v>
      </c>
      <c r="H44" s="6" t="str">
        <f t="shared" ref="H44:H51" si="6">IF(G44&gt;0,"(+) à ajouter sur le compte épargne",IF(G44=0,"--- rien à faire ---","(-) de moins sur le compte épargne"))</f>
        <v>--- rien à faire ---</v>
      </c>
      <c r="I44" s="195">
        <f>'Budget Gold'!AP198</f>
        <v>0</v>
      </c>
    </row>
    <row r="45" spans="1:9">
      <c r="A45" s="177">
        <f t="shared" si="2"/>
        <v>38</v>
      </c>
      <c r="B45" s="191" t="str">
        <f>IF('Budget Gold'!E199="Indiquer le nom de la provision à financer","",'Budget Gold'!E199)</f>
        <v/>
      </c>
      <c r="C45" s="6" t="str">
        <f>IF('Budget Gold'!E201="- compte d'épargne à saisir -","",'Budget Gold'!E201)</f>
        <v/>
      </c>
      <c r="D45" s="156"/>
      <c r="E45" s="192">
        <f>'Budget Gold'!AQ199</f>
        <v>0</v>
      </c>
      <c r="F45" s="193">
        <f>'Budget Gold'!AQ200</f>
        <v>0</v>
      </c>
      <c r="G45" s="194">
        <f t="shared" si="5"/>
        <v>0</v>
      </c>
      <c r="H45" s="6" t="str">
        <f t="shared" si="6"/>
        <v>--- rien à faire ---</v>
      </c>
      <c r="I45" s="195">
        <f>'Budget Gold'!AP201</f>
        <v>0</v>
      </c>
    </row>
    <row r="46" spans="1:9">
      <c r="A46" s="177">
        <f t="shared" si="2"/>
        <v>39</v>
      </c>
      <c r="B46" s="191" t="str">
        <f>IF('Budget Gold'!E202="Indiquer le nom de la provision à financer","",'Budget Gold'!E202)</f>
        <v/>
      </c>
      <c r="C46" s="6" t="str">
        <f>IF('Budget Gold'!E204="- compte d'épargne à saisir -","",'Budget Gold'!E204)</f>
        <v/>
      </c>
      <c r="D46" s="156"/>
      <c r="E46" s="192">
        <f>'Budget Gold'!AQ202</f>
        <v>0</v>
      </c>
      <c r="F46" s="193">
        <f>'Budget Gold'!AQ203</f>
        <v>0</v>
      </c>
      <c r="G46" s="194">
        <f t="shared" si="5"/>
        <v>0</v>
      </c>
      <c r="H46" s="6" t="str">
        <f t="shared" si="6"/>
        <v>--- rien à faire ---</v>
      </c>
      <c r="I46" s="195">
        <f>'Budget Gold'!AP204</f>
        <v>0</v>
      </c>
    </row>
    <row r="47" spans="1:9">
      <c r="A47" s="177">
        <f t="shared" si="2"/>
        <v>40</v>
      </c>
      <c r="B47" s="191" t="str">
        <f>IF('Budget Gold'!E205="Indiquer le nom de la provision à financer","",'Budget Gold'!E205)</f>
        <v/>
      </c>
      <c r="C47" s="6" t="str">
        <f>IF('Budget Gold'!E207="- compte d'épargne à saisir -","",'Budget Gold'!E207)</f>
        <v/>
      </c>
      <c r="D47" s="156"/>
      <c r="E47" s="192">
        <f>'Budget Gold'!AQ205</f>
        <v>0</v>
      </c>
      <c r="F47" s="193">
        <f>'Budget Gold'!AQ206</f>
        <v>0</v>
      </c>
      <c r="G47" s="194">
        <f t="shared" si="5"/>
        <v>0</v>
      </c>
      <c r="H47" s="6" t="str">
        <f t="shared" si="6"/>
        <v>--- rien à faire ---</v>
      </c>
      <c r="I47" s="195">
        <f>'Budget Gold'!AP207</f>
        <v>0</v>
      </c>
    </row>
    <row r="48" spans="1:9">
      <c r="A48" s="177">
        <f t="shared" si="2"/>
        <v>41</v>
      </c>
      <c r="B48" s="191" t="str">
        <f>IF('Budget Gold'!E208="Indiquer le nom de la provision à financer","",'Budget Gold'!E208)</f>
        <v/>
      </c>
      <c r="C48" s="6" t="str">
        <f>IF('Budget Gold'!E210="- compte d'épargne à saisir -","",'Budget Gold'!E210)</f>
        <v/>
      </c>
      <c r="D48" s="156"/>
      <c r="E48" s="192">
        <f>'Budget Gold'!AQ208</f>
        <v>0</v>
      </c>
      <c r="F48" s="193">
        <f>'Budget Gold'!AQ209</f>
        <v>0</v>
      </c>
      <c r="G48" s="194">
        <f t="shared" si="5"/>
        <v>0</v>
      </c>
      <c r="H48" s="6" t="str">
        <f t="shared" si="6"/>
        <v>--- rien à faire ---</v>
      </c>
      <c r="I48" s="195">
        <f>'Budget Gold'!AP210</f>
        <v>0</v>
      </c>
    </row>
    <row r="49" spans="1:13">
      <c r="A49" s="177">
        <f t="shared" si="2"/>
        <v>42</v>
      </c>
      <c r="B49" s="191" t="str">
        <f>IF('Budget Gold'!E211="Indiquer le nom de la provision à financer","",'Budget Gold'!E211)</f>
        <v/>
      </c>
      <c r="C49" s="6" t="str">
        <f>IF('Budget Gold'!E213="- compte d'épargne à saisir -","",'Budget Gold'!E213)</f>
        <v/>
      </c>
      <c r="D49" s="156"/>
      <c r="E49" s="192">
        <f>'Budget Gold'!AQ211</f>
        <v>0</v>
      </c>
      <c r="F49" s="193">
        <f>'Budget Gold'!AQ212</f>
        <v>0</v>
      </c>
      <c r="G49" s="194">
        <f t="shared" si="5"/>
        <v>0</v>
      </c>
      <c r="H49" s="6" t="str">
        <f t="shared" si="6"/>
        <v>--- rien à faire ---</v>
      </c>
      <c r="I49" s="195">
        <f>'Budget Gold'!AP213</f>
        <v>0</v>
      </c>
    </row>
    <row r="50" spans="1:13">
      <c r="A50" s="177">
        <f t="shared" si="2"/>
        <v>43</v>
      </c>
      <c r="B50" s="191" t="str">
        <f>IF('Budget Gold'!E214="Indiquer le nom de la provision à financer","",'Budget Gold'!E214)</f>
        <v/>
      </c>
      <c r="C50" s="6" t="str">
        <f>IF('Budget Gold'!E216="- compte d'épargne à saisir -","",'Budget Gold'!E216)</f>
        <v/>
      </c>
      <c r="D50" s="156"/>
      <c r="E50" s="192">
        <f>'Budget Gold'!AQ214</f>
        <v>0</v>
      </c>
      <c r="F50" s="193">
        <f>'Budget Gold'!AQ215</f>
        <v>0</v>
      </c>
      <c r="G50" s="194">
        <f t="shared" si="5"/>
        <v>0</v>
      </c>
      <c r="H50" s="6" t="str">
        <f t="shared" si="6"/>
        <v>--- rien à faire ---</v>
      </c>
      <c r="I50" s="195">
        <f>'Budget Gold'!AP216</f>
        <v>0</v>
      </c>
    </row>
    <row r="51" spans="1:13">
      <c r="A51" s="177">
        <f t="shared" si="2"/>
        <v>44</v>
      </c>
      <c r="B51" s="191" t="str">
        <f>IF('Budget Gold'!E217="Indiquer le nom de la provision à financer","",'Budget Gold'!E217)</f>
        <v/>
      </c>
      <c r="C51" s="6" t="str">
        <f>IF('Budget Gold'!E219="- compte d'épargne à saisir -","",'Budget Gold'!E219)</f>
        <v/>
      </c>
      <c r="D51" s="156"/>
      <c r="E51" s="192">
        <f>'Budget Gold'!AQ217</f>
        <v>0</v>
      </c>
      <c r="F51" s="193">
        <f>'Budget Gold'!AQ218</f>
        <v>0</v>
      </c>
      <c r="G51" s="194">
        <f t="shared" si="5"/>
        <v>0</v>
      </c>
      <c r="H51" s="6" t="str">
        <f t="shared" si="6"/>
        <v>--- rien à faire ---</v>
      </c>
      <c r="I51" s="195">
        <f>'Budget Gold'!AP219</f>
        <v>0</v>
      </c>
    </row>
    <row r="52" spans="1:13" s="1" customFormat="1">
      <c r="A52" s="156"/>
      <c r="D52" s="156"/>
      <c r="J52" s="180"/>
      <c r="K52" s="180"/>
      <c r="L52" s="180"/>
      <c r="M52" s="180"/>
    </row>
    <row r="53" spans="1:13" s="1" customFormat="1" ht="16">
      <c r="A53" s="156"/>
      <c r="D53" s="156"/>
      <c r="H53" s="248" t="s">
        <v>568</v>
      </c>
      <c r="I53" s="398">
        <f>SUM(I6:I51)</f>
        <v>53623</v>
      </c>
      <c r="J53" s="180"/>
      <c r="K53" s="180"/>
      <c r="L53" s="180"/>
      <c r="M53" s="180"/>
    </row>
    <row r="54" spans="1:13" s="1" customFormat="1">
      <c r="A54" s="156"/>
      <c r="D54" s="156"/>
      <c r="J54" s="180"/>
      <c r="K54" s="180"/>
      <c r="L54" s="180"/>
      <c r="M54" s="180"/>
    </row>
    <row r="55" spans="1:13" s="1" customFormat="1">
      <c r="A55" s="156"/>
      <c r="D55" s="156"/>
      <c r="J55" s="180"/>
      <c r="K55" s="180"/>
      <c r="L55" s="180"/>
      <c r="M55" s="180"/>
    </row>
    <row r="56" spans="1:13" s="1" customFormat="1" ht="12.75" customHeight="1">
      <c r="A56" s="452" t="s">
        <v>330</v>
      </c>
      <c r="D56" s="183"/>
      <c r="E56" s="815">
        <f>'Budget Gold'!AP7</f>
        <v>46526</v>
      </c>
      <c r="F56" s="816"/>
      <c r="G56" s="816"/>
      <c r="H56" s="816"/>
      <c r="J56" s="180"/>
      <c r="K56" s="180"/>
      <c r="L56" s="180"/>
      <c r="M56" s="180"/>
    </row>
    <row r="57" spans="1:13" s="1" customFormat="1" ht="12.75" customHeight="1">
      <c r="A57" s="452"/>
      <c r="D57" s="184"/>
      <c r="E57" s="816"/>
      <c r="F57" s="816"/>
      <c r="G57" s="816"/>
      <c r="H57" s="816"/>
      <c r="J57" s="180"/>
      <c r="K57" s="180"/>
      <c r="L57" s="180"/>
      <c r="M57" s="180"/>
    </row>
    <row r="58" spans="1:13" s="25" customFormat="1">
      <c r="A58" s="452"/>
      <c r="C58" s="25" t="s">
        <v>255</v>
      </c>
      <c r="E58" s="25" t="s">
        <v>299</v>
      </c>
      <c r="F58" s="25" t="s">
        <v>300</v>
      </c>
      <c r="G58" s="447" t="s">
        <v>301</v>
      </c>
      <c r="H58" s="447"/>
      <c r="I58" s="25" t="s">
        <v>303</v>
      </c>
      <c r="J58" s="187"/>
      <c r="K58" s="187"/>
      <c r="L58" s="187"/>
      <c r="M58" s="187"/>
    </row>
    <row r="59" spans="1:13">
      <c r="B59" s="1"/>
      <c r="C59" s="91"/>
      <c r="E59" s="196"/>
      <c r="F59" s="196"/>
      <c r="G59" s="196"/>
      <c r="H59" s="91"/>
      <c r="I59" s="196"/>
      <c r="J59" s="813">
        <f>'Budget Gold'!AP7</f>
        <v>46526</v>
      </c>
      <c r="K59" s="814"/>
      <c r="L59" s="814"/>
      <c r="M59" s="814"/>
    </row>
    <row r="60" spans="1:13">
      <c r="B60" s="177">
        <v>1</v>
      </c>
      <c r="C60" s="197" t="str">
        <f>IF('Menu 2'!E24="","",'Menu 2'!E24)</f>
        <v>Livret A - BANXO</v>
      </c>
      <c r="E60" s="198">
        <f>(IF(C$8=C60,E$8)+IF(C$9=C60,E$9)+IF(C$10=C60,E$10)+IF(C$11=C60,E$11)+IF(C$12=C60,E$12)+IF(C$13=C60,E$13)+IF(C$14=C60,E$14)+IF(C$15=C60,E$15)+IF(C$16=C60,E$16)+IF(C$17=C60,E$17)+IF(C$18=C60,E$18)+IF(C$19=C60,E$19)+IF(C$20=C60,E$20)+IF(C$21=C60,E$21)+IF(C$22=C60,E$22)+IF(C$23=C60,E$23)+IF(C$24=C60,E$24)+IF(C$25=C60,E$25)+IF(C$26=C60,E$26)+IF(C$27=C60,E$27)+IF(C$28=C60,E$28)+IF(C$29=C60,E$29)+IF(C$30=C60,E$30)+IF(C$31=C60,E$31)+IF(C$32=C60,E$32)+IF(C$33=C60,E$33)+IF(C$34=C60,E$34)+IF(C$35=C60,E$35)+IF(C$36=C60,E$36)+IF(C$37=C60,E$37)+IF(C$38=C60,E$38)+IF(C$39=C60,E$39)+IF(C$40=C60,E$40)+IF(C$41=C60,E$41)+IF(C$42=C60,E$42)+IF(C$43=C60,E$43)+IF(C$44=C60,E$44)+IF(C$45=C60,E$45)+IF(C$46=C60,E$46)+IF(C$47=C60,E$47)+IF(C$48=C60,E$48)+IF(C$49=C60,E$49)+IF(C$50=C60,E$50)+IF(C$51=C60,E$51))</f>
        <v>0</v>
      </c>
      <c r="F60" s="199">
        <f>(IF(C$8=C60,F$8)+IF(C$9=C60,F$9)+IF(C$10=C60,F$10)+IF(C$11=C60,F$11)+IF(C$12=C60,F$12)+IF(C$13=C60,F$13)+IF(C$14=C60,F$14)+IF(C$15=C60,F$15)+IF(C$16=C60,F$16)+IF(C$17=C60,F$17)+IF(C$18=C60,F$18)+IF(C$19=C60,F$19)+IF(C$20=C60,F$20)+IF(C$21=C60,F$21)+IF(C$22=C60,F$22)+IF(C$23=C60,F$23)+IF(C$24=C60,F$24)+IF(C$25=C60,F$25)+IF(C$26=C60,F$26)+IF(C$27=C60,F$27)+IF(C$28=C60,F$28)+IF(C$29=C60,F$29)+IF(C$30=C60,F$30)+IF(C$31=C60,F$31)+IF(C$32=C60,F$32)+IF(C$33=C60,F$33)+IF(C$34=C60,F$34)+IF(C$35=C60,F$35)+IF(C$36=C60,F$36)+IF(C$37=C60,F$37)+IF(C$38=C60,F$38)+IF(C$39=C60,F$39)+IF(C$40=C60,F$40)+IF(C$41=C60,F$41)+IF(C$42=C60,F$42)+IF(C$43=C60,F$43)+IF(C$44=C60,F$44)+IF(C$45=C60,F$45)+IF(C$46=C60,F$46)+IF(C$47=C60,F$47)+IF(C$48=C60,F$48)+IF(C$49=C60,F$49)+IF(C$50=C60,F$50)+IF(C$51=C60,F$51))</f>
        <v>0</v>
      </c>
      <c r="G60" s="200">
        <f>E60-F60</f>
        <v>0</v>
      </c>
      <c r="H60" s="91" t="str">
        <f>IF(G60&gt;0,"(+) à ajouter sur ce compte épargne",IF(G60=0,"--- le solde ne change pas ---","(-) de moins sur ce compte épargne"))</f>
        <v>--- le solde ne change pas ---</v>
      </c>
      <c r="I60" s="201">
        <f>(IF(C$8=C60,I$8)+IF(C$9=C60,I$9)+IF(C$10=C60,I$10)+IF(C$11=C60,I$11)+IF(C$12=C60,I$12)+IF(C$13=C60,I$13)+IF(C$14=C60,I$14)+IF(C$15=C60,I$15)+IF(C$16=C60,I$16)+IF(C$17=C60,I$17)+IF(C$18=C60,I$18)+IF(C$19=C60,I$19)+IF(C$20=C60,I$20)+IF(C$21=C60,I$21)+IF(C$22=C60,I$22)+IF(C$23=C60,I$23)+IF(C$24=C60,I$24)+IF(C$25=C60,I$25)+IF(C$26=C60,I$26)+IF(C$27=C60,I$27)+IF(C$28=C60,I$28)+IF(C$29=C60,I$29)+IF(C$30=C60,I$30)+IF(C$31=C60,I$31)+IF(C$32=C60,I$32)+IF(C$33=C60,I$33)+IF(C$34=C60,I$34)+IF(C$35=C60,I$35)+IF(C$36=C60,I$36)+IF(C$37=C60,I$37)+IF(C$38=C60,I$38)+IF(C$39=C60,I$39)+IF(C$40=C60,I$40)+IF(C$41=C60,I$41)+IF(C$42=C60,I$42)+IF(C$43=C60,I$43)+IF(C$44=C60,I$44)+IF(C$45=C60,I$45)+IF(C$46=C60,I$46)+IF(C$47=C60,I$47)+IF(C$48=C60,I$48)+IF(C$49=C60,I$49)+IF(C$50=C60,I$50)+IF(C$51=C60,I$51))</f>
        <v>50</v>
      </c>
      <c r="J60" s="814"/>
      <c r="K60" s="814"/>
      <c r="L60" s="814"/>
      <c r="M60" s="814"/>
    </row>
    <row r="61" spans="1:13">
      <c r="B61" s="177">
        <f>1+B60</f>
        <v>2</v>
      </c>
      <c r="C61" s="197" t="str">
        <f>IF('Menu 2'!E25="","",'Menu 2'!E25)</f>
        <v>PEA - Bourse direct</v>
      </c>
      <c r="E61" s="198">
        <f>(IF(C$8=C61,E$8)+IF(C$9=C61,E$9)+IF(C$10=C61,E$10)+IF(C$11=C61,E$11)+IF(C$12=C61,E$12)+IF(C$13=C61,E$13)+IF(C$14=C61,E$14)+IF(C$15=C61,E$15)+IF(C$16=C61,E$16)+IF(C$17=C61,E$17)+IF(C$18=C61,E$18)+IF(C$19=C61,E$19)+IF(C$20=C61,E$20)+IF(C$21=C61,E$21)+IF(C$22=C61,E$22)+IF(C$23=C61,E$23)+IF(C$24=C61,E$24)+IF(C$25=C61,E$25)+IF(C$26=C61,E$26)+IF(C$27=C61,E$27)+IF(C$28=C61,E$28)+IF(C$29=C61,E$29)+IF(C$30=C61,E$30)+IF(C$31=C61,E$31)+IF(C$32=C61,E$32)+IF(C$33=C61,E$33)+IF(C$34=C61,E$34)+IF(C$35=C61,E$35)+IF(C$36=C61,E$36)+IF(C$37=C61,E$37)+IF(C$38=C61,E$38)+IF(C$39=C61,E$39)+IF(C$40=C61,E$40)+IF(C$41=C61,E$41)+IF(C$42=C61,E$42)+IF(C$43=C61,E$43)+IF(C$44=C61,E$44)+IF(C$45=C61,E$45)+IF(C$46=C61,E$46)+IF(C$47=C61,E$47)+IF(C$48=C61,E$48)+IF(C$49=C61,E$49)+IF(C$50=C61,E$50)+IF(C$51=C61,E$51))</f>
        <v>250</v>
      </c>
      <c r="F61" s="199">
        <f>(IF(C$8=C61,F$8)+IF(C$9=C61,F$9)+IF(C$10=C61,F$10)+IF(C$11=C61,F$11)+IF(C$12=C61,F$12)+IF(C$13=C61,F$13)+IF(C$14=C61,F$14)+IF(C$15=C61,F$15)+IF(C$16=C61,F$16)+IF(C$17=C61,F$17)+IF(C$18=C61,F$18)+IF(C$19=C61,F$19)+IF(C$20=C61,F$20)+IF(C$21=C61,F$21)+IF(C$22=C61,F$22)+IF(C$23=C61,F$23)+IF(C$24=C61,F$24)+IF(C$25=C61,F$25)+IF(C$26=C61,F$26)+IF(C$27=C61,F$27)+IF(C$28=C61,F$28)+IF(C$29=C61,F$29)+IF(C$30=C61,F$30)+IF(C$31=C61,F$31)+IF(C$32=C61,F$32)+IF(C$33=C61,F$33)+IF(C$34=C61,F$34)+IF(C$35=C61,F$35)+IF(C$36=C61,F$36)+IF(C$37=C61,F$37)+IF(C$38=C61,F$38)+IF(C$39=C61,F$39)+IF(C$40=C61,F$40)+IF(C$41=C61,F$41)+IF(C$42=C61,F$42)+IF(C$43=C61,F$43)+IF(C$44=C61,F$44)+IF(C$45=C61,F$45)+IF(C$46=C61,F$46)+IF(C$47=C61,F$47)+IF(C$48=C61,F$48)+IF(C$49=C61,F$49)+IF(C$50=C61,F$50)+IF(C$51=C61,F$51))</f>
        <v>0</v>
      </c>
      <c r="G61" s="200">
        <f t="shared" ref="G61:G89" si="7">E61-F61</f>
        <v>250</v>
      </c>
      <c r="H61" s="91" t="str">
        <f t="shared" ref="H61:H88" si="8">IF(G61&gt;0,"(+) à ajouter sur ce compte épargne",IF(G61=0,"--- le solde ne change pas ---","(-) de moins sur ce compte épargne"))</f>
        <v>(+) à ajouter sur ce compte épargne</v>
      </c>
      <c r="I61" s="201">
        <f t="shared" ref="I61:I89" si="9">(IF(C$8=C61,I$8)+IF(C$9=C61,I$9)+IF(C$10=C61,I$10)+IF(C$11=C61,I$11)+IF(C$12=C61,I$12)+IF(C$13=C61,I$13)+IF(C$14=C61,I$14)+IF(C$15=C61,I$15)+IF(C$16=C61,I$16)+IF(C$17=C61,I$17)+IF(C$18=C61,I$18)+IF(C$19=C61,I$19)+IF(C$20=C61,I$20)+IF(C$21=C61,I$21)+IF(C$22=C61,I$22)+IF(C$23=C61,I$23)+IF(C$24=C61,I$24)+IF(C$25=C61,I$25)+IF(C$26=C61,I$26)+IF(C$27=C61,I$27)+IF(C$28=C61,I$28)+IF(C$29=C61,I$29)+IF(C$30=C61,I$30)+IF(C$31=C61,I$31)+IF(C$32=C61,I$32)+IF(C$33=C61,I$33)+IF(C$34=C61,I$34)+IF(C$35=C61,I$35)+IF(C$36=C61,I$36)+IF(C$37=C61,I$37)+IF(C$38=C61,I$38)+IF(C$39=C61,I$39)+IF(C$40=C61,I$40)+IF(C$41=C61,I$41)+IF(C$42=C61,I$42)+IF(C$43=C61,I$43)+IF(C$44=C61,I$44)+IF(C$45=C61,I$45)+IF(C$46=C61,I$46)+IF(C$47=C61,I$47)+IF(C$48=C61,I$48)+IF(C$49=C61,I$49)+IF(C$50=C61,I$50)+IF(C$51=C61,I$51))</f>
        <v>42530</v>
      </c>
      <c r="J61" s="814"/>
      <c r="K61" s="814"/>
      <c r="L61" s="814"/>
      <c r="M61" s="814"/>
    </row>
    <row r="62" spans="1:13">
      <c r="B62" s="177">
        <f t="shared" ref="B62:B89" si="10">1+B61</f>
        <v>3</v>
      </c>
      <c r="C62" s="197" t="str">
        <f>IF('Menu 2'!E26="","",'Menu 2'!E26)</f>
        <v>Assurance vie - Finarylife</v>
      </c>
      <c r="E62" s="198">
        <f t="shared" ref="E62:E89" si="11">(IF(C$8=C62,E$8)+IF(C$9=C62,E$9)+IF(C$10=C62,E$10)+IF(C$11=C62,E$11)+IF(C$12=C62,E$12)+IF(C$13=C62,E$13)+IF(C$14=C62,E$14)+IF(C$15=C62,E$15)+IF(C$16=C62,E$16)+IF(C$17=C62,E$17)+IF(C$18=C62,E$18)+IF(C$19=C62,E$19)+IF(C$20=C62,E$20)+IF(C$21=C62,E$21)+IF(C$22=C62,E$22)+IF(C$23=C62,E$23)+IF(C$24=C62,E$24)+IF(C$25=C62,E$25)+IF(C$26=C62,E$26)+IF(C$27=C62,E$27)+IF(C$28=C62,E$28)+IF(C$29=C62,E$29)+IF(C$30=C62,E$30)+IF(C$31=C62,E$31)+IF(C$32=C62,E$32)+IF(C$33=C62,E$33)+IF(C$34=C62,E$34)+IF(C$35=C62,E$35)+IF(C$36=C62,E$36)+IF(C$37=C62,E$37)+IF(C$38=C62,E$38)+IF(C$39=C62,E$39)+IF(C$40=C62,E$40)+IF(C$41=C62,E$41)+IF(C$42=C62,E$42)+IF(C$43=C62,E$43)+IF(C$44=C62,E$44)+IF(C$45=C62,E$45)+IF(C$46=C62,E$46)+IF(C$47=C62,E$47)+IF(C$48=C62,E$48)+IF(C$49=C62,E$49)+IF(C$50=C62,E$50)+IF(C$51=C62,E$51))</f>
        <v>200</v>
      </c>
      <c r="F62" s="199">
        <f t="shared" ref="F62:F89" si="12">(IF(C$8=C62,F$8)+IF(C$9=C62,F$9)+IF(C$10=C62,F$10)+IF(C$11=C62,F$11)+IF(C$12=C62,F$12)+IF(C$13=C62,F$13)+IF(C$14=C62,F$14)+IF(C$15=C62,F$15)+IF(C$16=C62,F$16)+IF(C$17=C62,F$17)+IF(C$18=C62,F$18)+IF(C$19=C62,F$19)+IF(C$20=C62,F$20)+IF(C$21=C62,F$21)+IF(C$22=C62,F$22)+IF(C$23=C62,F$23)+IF(C$24=C62,F$24)+IF(C$25=C62,F$25)+IF(C$26=C62,F$26)+IF(C$27=C62,F$27)+IF(C$28=C62,F$28)+IF(C$29=C62,F$29)+IF(C$30=C62,F$30)+IF(C$31=C62,F$31)+IF(C$32=C62,F$32)+IF(C$33=C62,F$33)+IF(C$34=C62,F$34)+IF(C$35=C62,F$35)+IF(C$36=C62,F$36)+IF(C$37=C62,F$37)+IF(C$38=C62,F$38)+IF(C$39=C62,F$39)+IF(C$40=C62,F$40)+IF(C$41=C62,F$41)+IF(C$42=C62,F$42)+IF(C$43=C62,F$43)+IF(C$44=C62,F$44)+IF(C$45=C62,F$45)+IF(C$46=C62,F$46)+IF(C$47=C62,F$47)+IF(C$48=C62,F$48)+IF(C$49=C62,F$49)+IF(C$50=C62,F$50)+IF(C$51=C62,F$51))</f>
        <v>0</v>
      </c>
      <c r="G62" s="200">
        <f t="shared" si="7"/>
        <v>200</v>
      </c>
      <c r="H62" s="91" t="str">
        <f t="shared" si="8"/>
        <v>(+) à ajouter sur ce compte épargne</v>
      </c>
      <c r="I62" s="201">
        <f t="shared" si="9"/>
        <v>4711</v>
      </c>
      <c r="J62" s="814"/>
      <c r="K62" s="814"/>
      <c r="L62" s="814"/>
      <c r="M62" s="814"/>
    </row>
    <row r="63" spans="1:13">
      <c r="B63" s="177">
        <f t="shared" si="10"/>
        <v>4</v>
      </c>
      <c r="C63" s="197" t="str">
        <f>IF('Menu 2'!E27="","",'Menu 2'!E27)</f>
        <v xml:space="preserve">Placements financiers </v>
      </c>
      <c r="E63" s="198">
        <f>(IF(C$8=C63,E$8)+IF(C$9=C63,E$9)+IF(C$10=C63,E$10)+IF(C$11=C63,E$11)+IF(C$12=C63,E$12)+IF(C$13=C63,E$13)+IF(C$14=C63,E$14)+IF(C$15=C63,E$15)+IF(C$16=C63,E$16)+IF(C$17=C63,E$17)+IF(C$18=C63,E$18)+IF(C$19=C63,E$19)+IF(C$20=C63,E$20)+IF(C$21=C63,E$21)+IF(C$22=C63,E$22)+IF(C$23=C63,E$23)+IF(C$24=C63,E$24)+IF(C$25=C63,E$25)+IF(C$26=C63,E$26)+IF(C$27=C63,E$27)+IF(C$28=C63,E$28)+IF(C$29=C63,E$29)+IF(C$30=C63,E$30)+IF(C$31=C63,E$31)+IF(C$32=C63,E$32)+IF(C$33=C63,E$33)+IF(C$34=C63,E$34)+IF(C$35=C63,E$35)+IF(C$36=C63,E$36)+IF(C$37=C63,E$37)+IF(C$38=C63,E$38)+IF(C$39=C63,E$39)+IF(C$40=C63,E$40)+IF(C$41=C63,E$41)+IF(C$42=C63,E$42)+IF(C$43=C63,E$43)+IF(C$44=C63,E$44)+IF(C$45=C63,E$45)+IF(C$46=C63,E$46)+IF(C$47=C63,E$47)+IF(C$48=C63,E$48)+IF(C$49=C63,E$49)+IF(C$50=C63,E$50)+IF(C$51=C63,E$51))</f>
        <v>0</v>
      </c>
      <c r="F63" s="199">
        <f t="shared" si="12"/>
        <v>0</v>
      </c>
      <c r="G63" s="200">
        <f t="shared" si="7"/>
        <v>0</v>
      </c>
      <c r="H63" s="91" t="str">
        <f t="shared" si="8"/>
        <v>--- le solde ne change pas ---</v>
      </c>
      <c r="I63" s="201">
        <f t="shared" si="9"/>
        <v>0</v>
      </c>
      <c r="J63" s="814"/>
      <c r="K63" s="814"/>
      <c r="L63" s="814"/>
      <c r="M63" s="814"/>
    </row>
    <row r="64" spans="1:13">
      <c r="B64" s="177">
        <f t="shared" si="10"/>
        <v>5</v>
      </c>
      <c r="C64" s="197" t="str">
        <f>IF('Menu 2'!E28="","",'Menu 2'!E28)</f>
        <v>Fonds euros - Finarylife</v>
      </c>
      <c r="E64" s="198">
        <f t="shared" si="11"/>
        <v>0</v>
      </c>
      <c r="F64" s="199">
        <f t="shared" si="12"/>
        <v>0</v>
      </c>
      <c r="G64" s="200">
        <f t="shared" si="7"/>
        <v>0</v>
      </c>
      <c r="H64" s="91" t="str">
        <f t="shared" si="8"/>
        <v>--- le solde ne change pas ---</v>
      </c>
      <c r="I64" s="201">
        <f t="shared" si="9"/>
        <v>0</v>
      </c>
      <c r="J64" s="814"/>
      <c r="K64" s="814"/>
      <c r="L64" s="814"/>
      <c r="M64" s="814"/>
    </row>
    <row r="65" spans="2:13">
      <c r="B65" s="177">
        <f t="shared" si="10"/>
        <v>6</v>
      </c>
      <c r="C65" s="197" t="str">
        <f>IF('Menu 2'!E29="","",'Menu 2'!E29)</f>
        <v/>
      </c>
      <c r="E65" s="198">
        <f t="shared" si="11"/>
        <v>200</v>
      </c>
      <c r="F65" s="199">
        <f t="shared" si="12"/>
        <v>200</v>
      </c>
      <c r="G65" s="200">
        <f t="shared" si="7"/>
        <v>0</v>
      </c>
      <c r="H65" s="91" t="str">
        <f>IF(G65&gt;0,"(+) à ajouter sur ce compte épargne",IF(G65=0,"--- le solde ne change pas ---","(-) de moins sur ce compte épargne"))</f>
        <v>--- le solde ne change pas ---</v>
      </c>
      <c r="I65" s="201">
        <f t="shared" si="9"/>
        <v>6332</v>
      </c>
      <c r="J65" s="814"/>
      <c r="K65" s="814"/>
      <c r="L65" s="814"/>
      <c r="M65" s="814"/>
    </row>
    <row r="66" spans="2:13">
      <c r="B66" s="177">
        <f t="shared" si="10"/>
        <v>7</v>
      </c>
      <c r="C66" s="197" t="str">
        <f>IF('Menu 2'!E30="","",'Menu 2'!E30)</f>
        <v/>
      </c>
      <c r="E66" s="198">
        <f t="shared" si="11"/>
        <v>200</v>
      </c>
      <c r="F66" s="199">
        <f t="shared" si="12"/>
        <v>200</v>
      </c>
      <c r="G66" s="200">
        <f t="shared" si="7"/>
        <v>0</v>
      </c>
      <c r="H66" s="91" t="str">
        <f t="shared" si="8"/>
        <v>--- le solde ne change pas ---</v>
      </c>
      <c r="I66" s="201">
        <f t="shared" si="9"/>
        <v>6332</v>
      </c>
      <c r="J66" s="814"/>
      <c r="K66" s="814"/>
      <c r="L66" s="814"/>
      <c r="M66" s="814"/>
    </row>
    <row r="67" spans="2:13">
      <c r="B67" s="177">
        <f t="shared" si="10"/>
        <v>8</v>
      </c>
      <c r="C67" s="197" t="str">
        <f>IF('Menu 2'!E31="","",'Menu 2'!E31)</f>
        <v/>
      </c>
      <c r="E67" s="198">
        <f t="shared" si="11"/>
        <v>200</v>
      </c>
      <c r="F67" s="199">
        <f t="shared" si="12"/>
        <v>200</v>
      </c>
      <c r="G67" s="200">
        <f t="shared" si="7"/>
        <v>0</v>
      </c>
      <c r="H67" s="91" t="str">
        <f t="shared" si="8"/>
        <v>--- le solde ne change pas ---</v>
      </c>
      <c r="I67" s="201">
        <f t="shared" si="9"/>
        <v>6332</v>
      </c>
      <c r="J67" s="814"/>
      <c r="K67" s="814"/>
      <c r="L67" s="814"/>
      <c r="M67" s="814"/>
    </row>
    <row r="68" spans="2:13">
      <c r="B68" s="177">
        <f t="shared" si="10"/>
        <v>9</v>
      </c>
      <c r="C68" s="197" t="str">
        <f>IF('Menu 2'!E32="","",'Menu 2'!E32)</f>
        <v/>
      </c>
      <c r="E68" s="198">
        <f t="shared" si="11"/>
        <v>200</v>
      </c>
      <c r="F68" s="199">
        <f t="shared" si="12"/>
        <v>200</v>
      </c>
      <c r="G68" s="200">
        <f t="shared" si="7"/>
        <v>0</v>
      </c>
      <c r="H68" s="91" t="str">
        <f t="shared" si="8"/>
        <v>--- le solde ne change pas ---</v>
      </c>
      <c r="I68" s="201">
        <f t="shared" si="9"/>
        <v>6332</v>
      </c>
      <c r="J68" s="814"/>
      <c r="K68" s="814"/>
      <c r="L68" s="814"/>
      <c r="M68" s="814"/>
    </row>
    <row r="69" spans="2:13">
      <c r="B69" s="177">
        <f t="shared" si="10"/>
        <v>10</v>
      </c>
      <c r="C69" s="197" t="str">
        <f>IF('Menu 2'!E33="","",'Menu 2'!E33)</f>
        <v/>
      </c>
      <c r="E69" s="198">
        <f t="shared" si="11"/>
        <v>200</v>
      </c>
      <c r="F69" s="199">
        <f t="shared" si="12"/>
        <v>200</v>
      </c>
      <c r="G69" s="200">
        <f t="shared" si="7"/>
        <v>0</v>
      </c>
      <c r="H69" s="91" t="str">
        <f t="shared" si="8"/>
        <v>--- le solde ne change pas ---</v>
      </c>
      <c r="I69" s="201">
        <f t="shared" si="9"/>
        <v>6332</v>
      </c>
      <c r="J69" s="814"/>
      <c r="K69" s="814"/>
      <c r="L69" s="814"/>
      <c r="M69" s="814"/>
    </row>
    <row r="70" spans="2:13">
      <c r="B70" s="177">
        <f t="shared" si="10"/>
        <v>11</v>
      </c>
      <c r="C70" s="197" t="str">
        <f>IF('Menu 2'!E34="","",'Menu 2'!E34)</f>
        <v/>
      </c>
      <c r="E70" s="198">
        <f t="shared" si="11"/>
        <v>200</v>
      </c>
      <c r="F70" s="199">
        <f t="shared" si="12"/>
        <v>200</v>
      </c>
      <c r="G70" s="200">
        <f t="shared" si="7"/>
        <v>0</v>
      </c>
      <c r="H70" s="91" t="str">
        <f t="shared" si="8"/>
        <v>--- le solde ne change pas ---</v>
      </c>
      <c r="I70" s="201">
        <f t="shared" si="9"/>
        <v>6332</v>
      </c>
      <c r="J70" s="814"/>
      <c r="K70" s="814"/>
      <c r="L70" s="814"/>
      <c r="M70" s="814"/>
    </row>
    <row r="71" spans="2:13">
      <c r="B71" s="177">
        <f t="shared" si="10"/>
        <v>12</v>
      </c>
      <c r="C71" s="197" t="str">
        <f>IF('Menu 2'!E35="","",'Menu 2'!E35)</f>
        <v/>
      </c>
      <c r="E71" s="198">
        <f t="shared" si="11"/>
        <v>200</v>
      </c>
      <c r="F71" s="199">
        <f t="shared" si="12"/>
        <v>200</v>
      </c>
      <c r="G71" s="200">
        <f t="shared" si="7"/>
        <v>0</v>
      </c>
      <c r="H71" s="91" t="str">
        <f t="shared" si="8"/>
        <v>--- le solde ne change pas ---</v>
      </c>
      <c r="I71" s="201">
        <f t="shared" si="9"/>
        <v>6332</v>
      </c>
      <c r="J71" s="814"/>
      <c r="K71" s="814"/>
      <c r="L71" s="814"/>
      <c r="M71" s="814"/>
    </row>
    <row r="72" spans="2:13">
      <c r="B72" s="177">
        <f t="shared" si="10"/>
        <v>13</v>
      </c>
      <c r="C72" s="197" t="str">
        <f>IF('Menu 2'!E36="","",'Menu 2'!E36)</f>
        <v/>
      </c>
      <c r="E72" s="198">
        <f t="shared" si="11"/>
        <v>200</v>
      </c>
      <c r="F72" s="199">
        <f t="shared" si="12"/>
        <v>200</v>
      </c>
      <c r="G72" s="200">
        <f t="shared" si="7"/>
        <v>0</v>
      </c>
      <c r="H72" s="91" t="str">
        <f t="shared" si="8"/>
        <v>--- le solde ne change pas ---</v>
      </c>
      <c r="I72" s="201">
        <f t="shared" si="9"/>
        <v>6332</v>
      </c>
      <c r="J72" s="814"/>
      <c r="K72" s="814"/>
      <c r="L72" s="814"/>
      <c r="M72" s="814"/>
    </row>
    <row r="73" spans="2:13">
      <c r="B73" s="177">
        <f t="shared" si="10"/>
        <v>14</v>
      </c>
      <c r="C73" s="197" t="str">
        <f>IF('Menu 2'!E37="","",'Menu 2'!E37)</f>
        <v/>
      </c>
      <c r="E73" s="198">
        <f t="shared" si="11"/>
        <v>200</v>
      </c>
      <c r="F73" s="199">
        <f t="shared" si="12"/>
        <v>200</v>
      </c>
      <c r="G73" s="200">
        <f t="shared" si="7"/>
        <v>0</v>
      </c>
      <c r="H73" s="91" t="str">
        <f t="shared" si="8"/>
        <v>--- le solde ne change pas ---</v>
      </c>
      <c r="I73" s="201">
        <f t="shared" si="9"/>
        <v>6332</v>
      </c>
      <c r="J73" s="814"/>
      <c r="K73" s="814"/>
      <c r="L73" s="814"/>
      <c r="M73" s="814"/>
    </row>
    <row r="74" spans="2:13">
      <c r="B74" s="177">
        <f t="shared" si="10"/>
        <v>15</v>
      </c>
      <c r="C74" s="197" t="str">
        <f>IF('Menu 2'!E38="","",'Menu 2'!E38)</f>
        <v/>
      </c>
      <c r="E74" s="198">
        <f t="shared" si="11"/>
        <v>200</v>
      </c>
      <c r="F74" s="199">
        <f t="shared" si="12"/>
        <v>200</v>
      </c>
      <c r="G74" s="200">
        <f t="shared" si="7"/>
        <v>0</v>
      </c>
      <c r="H74" s="91" t="str">
        <f t="shared" si="8"/>
        <v>--- le solde ne change pas ---</v>
      </c>
      <c r="I74" s="201">
        <f t="shared" si="9"/>
        <v>6332</v>
      </c>
      <c r="J74" s="814"/>
      <c r="K74" s="814"/>
      <c r="L74" s="814"/>
      <c r="M74" s="814"/>
    </row>
    <row r="75" spans="2:13">
      <c r="B75" s="177">
        <f t="shared" si="10"/>
        <v>16</v>
      </c>
      <c r="C75" s="197" t="str">
        <f>IF('Menu 2'!E39="","",'Menu 2'!E39)</f>
        <v/>
      </c>
      <c r="E75" s="198">
        <f t="shared" si="11"/>
        <v>200</v>
      </c>
      <c r="F75" s="199">
        <f t="shared" si="12"/>
        <v>200</v>
      </c>
      <c r="G75" s="200">
        <f t="shared" si="7"/>
        <v>0</v>
      </c>
      <c r="H75" s="91" t="str">
        <f t="shared" si="8"/>
        <v>--- le solde ne change pas ---</v>
      </c>
      <c r="I75" s="201">
        <f t="shared" si="9"/>
        <v>6332</v>
      </c>
    </row>
    <row r="76" spans="2:13">
      <c r="B76" s="177">
        <f t="shared" si="10"/>
        <v>17</v>
      </c>
      <c r="C76" s="197" t="str">
        <f>IF('Menu 2'!E40="","",'Menu 2'!E40)</f>
        <v/>
      </c>
      <c r="E76" s="198">
        <f t="shared" si="11"/>
        <v>200</v>
      </c>
      <c r="F76" s="199">
        <f t="shared" si="12"/>
        <v>200</v>
      </c>
      <c r="G76" s="200">
        <f t="shared" si="7"/>
        <v>0</v>
      </c>
      <c r="H76" s="91" t="str">
        <f t="shared" si="8"/>
        <v>--- le solde ne change pas ---</v>
      </c>
      <c r="I76" s="201">
        <f t="shared" si="9"/>
        <v>6332</v>
      </c>
    </row>
    <row r="77" spans="2:13">
      <c r="B77" s="177">
        <f t="shared" si="10"/>
        <v>18</v>
      </c>
      <c r="C77" s="197" t="str">
        <f>IF('Menu 2'!E41="","",'Menu 2'!E41)</f>
        <v/>
      </c>
      <c r="E77" s="198">
        <f t="shared" si="11"/>
        <v>200</v>
      </c>
      <c r="F77" s="199">
        <f t="shared" si="12"/>
        <v>200</v>
      </c>
      <c r="G77" s="200">
        <f t="shared" si="7"/>
        <v>0</v>
      </c>
      <c r="H77" s="91" t="str">
        <f t="shared" si="8"/>
        <v>--- le solde ne change pas ---</v>
      </c>
      <c r="I77" s="201">
        <f t="shared" si="9"/>
        <v>6332</v>
      </c>
    </row>
    <row r="78" spans="2:13">
      <c r="B78" s="177">
        <f t="shared" si="10"/>
        <v>19</v>
      </c>
      <c r="C78" s="197" t="str">
        <f>IF('Menu 2'!E42="","",'Menu 2'!E42)</f>
        <v/>
      </c>
      <c r="E78" s="198">
        <f t="shared" si="11"/>
        <v>200</v>
      </c>
      <c r="F78" s="199">
        <f t="shared" si="12"/>
        <v>200</v>
      </c>
      <c r="G78" s="200">
        <f t="shared" si="7"/>
        <v>0</v>
      </c>
      <c r="H78" s="91" t="str">
        <f t="shared" si="8"/>
        <v>--- le solde ne change pas ---</v>
      </c>
      <c r="I78" s="201">
        <f t="shared" si="9"/>
        <v>6332</v>
      </c>
    </row>
    <row r="79" spans="2:13">
      <c r="B79" s="177">
        <f t="shared" si="10"/>
        <v>20</v>
      </c>
      <c r="C79" s="197" t="str">
        <f>IF('Menu 2'!E43="","",'Menu 2'!E43)</f>
        <v/>
      </c>
      <c r="E79" s="198">
        <f t="shared" si="11"/>
        <v>200</v>
      </c>
      <c r="F79" s="199">
        <f t="shared" si="12"/>
        <v>200</v>
      </c>
      <c r="G79" s="200">
        <f t="shared" si="7"/>
        <v>0</v>
      </c>
      <c r="H79" s="91" t="str">
        <f t="shared" si="8"/>
        <v>--- le solde ne change pas ---</v>
      </c>
      <c r="I79" s="201">
        <f t="shared" si="9"/>
        <v>6332</v>
      </c>
    </row>
    <row r="80" spans="2:13">
      <c r="B80" s="177">
        <f t="shared" si="10"/>
        <v>21</v>
      </c>
      <c r="C80" s="197" t="str">
        <f>IF('Menu 2'!E44="","",'Menu 2'!E44)</f>
        <v/>
      </c>
      <c r="E80" s="198">
        <f t="shared" si="11"/>
        <v>200</v>
      </c>
      <c r="F80" s="199">
        <f t="shared" si="12"/>
        <v>200</v>
      </c>
      <c r="G80" s="200">
        <f t="shared" si="7"/>
        <v>0</v>
      </c>
      <c r="H80" s="91" t="str">
        <f t="shared" si="8"/>
        <v>--- le solde ne change pas ---</v>
      </c>
      <c r="I80" s="201">
        <f t="shared" si="9"/>
        <v>6332</v>
      </c>
    </row>
    <row r="81" spans="2:13">
      <c r="B81" s="177">
        <f t="shared" si="10"/>
        <v>22</v>
      </c>
      <c r="C81" s="197" t="str">
        <f>IF('Menu 2'!E45="","",'Menu 2'!E45)</f>
        <v/>
      </c>
      <c r="E81" s="198">
        <f t="shared" si="11"/>
        <v>200</v>
      </c>
      <c r="F81" s="199">
        <f t="shared" si="12"/>
        <v>200</v>
      </c>
      <c r="G81" s="200">
        <f t="shared" si="7"/>
        <v>0</v>
      </c>
      <c r="H81" s="91" t="str">
        <f t="shared" si="8"/>
        <v>--- le solde ne change pas ---</v>
      </c>
      <c r="I81" s="201">
        <f t="shared" si="9"/>
        <v>6332</v>
      </c>
    </row>
    <row r="82" spans="2:13">
      <c r="B82" s="177">
        <f t="shared" si="10"/>
        <v>23</v>
      </c>
      <c r="C82" s="197" t="str">
        <f>IF('Menu 2'!E46="","",'Menu 2'!E46)</f>
        <v/>
      </c>
      <c r="E82" s="198">
        <f t="shared" si="11"/>
        <v>200</v>
      </c>
      <c r="F82" s="199">
        <f t="shared" si="12"/>
        <v>200</v>
      </c>
      <c r="G82" s="200">
        <f t="shared" si="7"/>
        <v>0</v>
      </c>
      <c r="H82" s="91" t="str">
        <f t="shared" si="8"/>
        <v>--- le solde ne change pas ---</v>
      </c>
      <c r="I82" s="201">
        <f t="shared" si="9"/>
        <v>6332</v>
      </c>
    </row>
    <row r="83" spans="2:13">
      <c r="B83" s="177">
        <f t="shared" si="10"/>
        <v>24</v>
      </c>
      <c r="C83" s="197" t="str">
        <f>IF('Menu 2'!E47="","",'Menu 2'!E47)</f>
        <v/>
      </c>
      <c r="E83" s="198">
        <f t="shared" si="11"/>
        <v>200</v>
      </c>
      <c r="F83" s="199">
        <f t="shared" si="12"/>
        <v>200</v>
      </c>
      <c r="G83" s="200">
        <f t="shared" si="7"/>
        <v>0</v>
      </c>
      <c r="H83" s="91" t="str">
        <f t="shared" si="8"/>
        <v>--- le solde ne change pas ---</v>
      </c>
      <c r="I83" s="201">
        <f t="shared" si="9"/>
        <v>6332</v>
      </c>
    </row>
    <row r="84" spans="2:13">
      <c r="B84" s="177">
        <f t="shared" si="10"/>
        <v>25</v>
      </c>
      <c r="C84" s="197" t="str">
        <f>IF('Menu 2'!E48="","",'Menu 2'!E48)</f>
        <v/>
      </c>
      <c r="E84" s="198">
        <f t="shared" si="11"/>
        <v>200</v>
      </c>
      <c r="F84" s="199">
        <f t="shared" si="12"/>
        <v>200</v>
      </c>
      <c r="G84" s="200">
        <f t="shared" si="7"/>
        <v>0</v>
      </c>
      <c r="H84" s="91" t="str">
        <f t="shared" si="8"/>
        <v>--- le solde ne change pas ---</v>
      </c>
      <c r="I84" s="201">
        <f t="shared" si="9"/>
        <v>6332</v>
      </c>
    </row>
    <row r="85" spans="2:13">
      <c r="B85" s="177">
        <f t="shared" si="10"/>
        <v>26</v>
      </c>
      <c r="C85" s="197" t="str">
        <f>IF('Menu 2'!E49="","",'Menu 2'!E49)</f>
        <v/>
      </c>
      <c r="E85" s="198">
        <f t="shared" si="11"/>
        <v>200</v>
      </c>
      <c r="F85" s="199">
        <f t="shared" si="12"/>
        <v>200</v>
      </c>
      <c r="G85" s="200">
        <f t="shared" si="7"/>
        <v>0</v>
      </c>
      <c r="H85" s="91" t="str">
        <f t="shared" si="8"/>
        <v>--- le solde ne change pas ---</v>
      </c>
      <c r="I85" s="201">
        <f t="shared" si="9"/>
        <v>6332</v>
      </c>
    </row>
    <row r="86" spans="2:13">
      <c r="B86" s="177">
        <f t="shared" si="10"/>
        <v>27</v>
      </c>
      <c r="C86" s="197" t="str">
        <f>IF('Menu 2'!E50="","",'Menu 2'!E50)</f>
        <v/>
      </c>
      <c r="E86" s="198">
        <f t="shared" si="11"/>
        <v>200</v>
      </c>
      <c r="F86" s="199">
        <f t="shared" si="12"/>
        <v>200</v>
      </c>
      <c r="G86" s="200">
        <f t="shared" si="7"/>
        <v>0</v>
      </c>
      <c r="H86" s="91" t="str">
        <f t="shared" si="8"/>
        <v>--- le solde ne change pas ---</v>
      </c>
      <c r="I86" s="201">
        <f t="shared" si="9"/>
        <v>6332</v>
      </c>
    </row>
    <row r="87" spans="2:13">
      <c r="B87" s="177">
        <f t="shared" si="10"/>
        <v>28</v>
      </c>
      <c r="C87" s="197" t="str">
        <f>IF('Menu 2'!E51="","",'Menu 2'!E51)</f>
        <v/>
      </c>
      <c r="E87" s="198">
        <f t="shared" si="11"/>
        <v>200</v>
      </c>
      <c r="F87" s="199">
        <f t="shared" si="12"/>
        <v>200</v>
      </c>
      <c r="G87" s="200">
        <f t="shared" si="7"/>
        <v>0</v>
      </c>
      <c r="H87" s="91" t="str">
        <f t="shared" si="8"/>
        <v>--- le solde ne change pas ---</v>
      </c>
      <c r="I87" s="201">
        <f t="shared" si="9"/>
        <v>6332</v>
      </c>
    </row>
    <row r="88" spans="2:13">
      <c r="B88" s="177">
        <f t="shared" si="10"/>
        <v>29</v>
      </c>
      <c r="C88" s="197" t="str">
        <f>IF('Menu 2'!E52="","",'Menu 2'!E52)</f>
        <v/>
      </c>
      <c r="E88" s="198">
        <f t="shared" si="11"/>
        <v>200</v>
      </c>
      <c r="F88" s="199">
        <f t="shared" si="12"/>
        <v>200</v>
      </c>
      <c r="G88" s="200">
        <f t="shared" si="7"/>
        <v>0</v>
      </c>
      <c r="H88" s="91" t="str">
        <f t="shared" si="8"/>
        <v>--- le solde ne change pas ---</v>
      </c>
      <c r="I88" s="201">
        <f t="shared" si="9"/>
        <v>6332</v>
      </c>
    </row>
    <row r="89" spans="2:13">
      <c r="B89" s="177">
        <f t="shared" si="10"/>
        <v>30</v>
      </c>
      <c r="C89" s="197" t="str">
        <f>IF('Menu 2'!E53="","",'Menu 2'!E53)</f>
        <v>PATRIMOINE</v>
      </c>
      <c r="E89" s="198">
        <f t="shared" si="11"/>
        <v>0</v>
      </c>
      <c r="F89" s="199">
        <f t="shared" si="12"/>
        <v>0</v>
      </c>
      <c r="G89" s="200">
        <f t="shared" si="7"/>
        <v>0</v>
      </c>
      <c r="H89" s="91" t="str">
        <f>IF(G89&gt;0,"(+) à ajouter sur ce compte épargne",IF(G89=0,"--- le solde ne change pas ---","(-) de moins sur ce compte épargne"))</f>
        <v>--- le solde ne change pas ---</v>
      </c>
      <c r="I89" s="201">
        <f t="shared" si="9"/>
        <v>0</v>
      </c>
    </row>
    <row r="90" spans="2:13" s="1" customFormat="1">
      <c r="E90" s="202"/>
      <c r="F90" s="202"/>
      <c r="G90" s="202"/>
      <c r="J90" s="180"/>
      <c r="K90" s="180"/>
      <c r="L90" s="180"/>
      <c r="M90" s="180"/>
    </row>
    <row r="91" spans="2:13" s="1" customFormat="1" ht="16">
      <c r="H91" s="248" t="s">
        <v>568</v>
      </c>
      <c r="I91" s="398">
        <f>SUM(I60:I89)</f>
        <v>199259</v>
      </c>
      <c r="J91" s="180"/>
      <c r="K91" s="180"/>
      <c r="L91" s="180"/>
      <c r="M91" s="180"/>
    </row>
    <row r="92" spans="2:13" s="1" customFormat="1">
      <c r="J92" s="180"/>
      <c r="K92" s="180"/>
      <c r="L92" s="180"/>
      <c r="M92" s="180"/>
    </row>
    <row r="93" spans="2:13" s="1" customFormat="1">
      <c r="J93" s="180"/>
      <c r="K93" s="180"/>
      <c r="L93" s="180"/>
      <c r="M93" s="180"/>
    </row>
    <row r="94" spans="2:13" s="1" customFormat="1">
      <c r="J94" s="180"/>
      <c r="K94" s="180"/>
      <c r="L94" s="180"/>
      <c r="M94" s="180"/>
    </row>
    <row r="95" spans="2:13" s="1" customFormat="1">
      <c r="J95" s="180"/>
      <c r="K95" s="180"/>
      <c r="L95" s="180"/>
      <c r="M95" s="180"/>
    </row>
    <row r="96" spans="2:13" s="1" customFormat="1">
      <c r="J96" s="180"/>
      <c r="K96" s="180"/>
      <c r="L96" s="180"/>
      <c r="M96" s="180"/>
    </row>
    <row r="97" spans="10:13" s="1" customFormat="1">
      <c r="J97" s="180"/>
      <c r="K97" s="180"/>
      <c r="L97" s="180"/>
      <c r="M97" s="180"/>
    </row>
    <row r="98" spans="10:13" s="1" customFormat="1">
      <c r="J98" s="180"/>
      <c r="K98" s="180"/>
      <c r="L98" s="180"/>
      <c r="M98" s="180"/>
    </row>
    <row r="99" spans="10:13" s="1" customFormat="1">
      <c r="J99" s="180"/>
      <c r="K99" s="180"/>
      <c r="L99" s="180"/>
      <c r="M99" s="180"/>
    </row>
    <row r="100" spans="10:13" s="1" customFormat="1">
      <c r="J100" s="180"/>
      <c r="K100" s="180"/>
      <c r="L100" s="180"/>
      <c r="M100" s="180"/>
    </row>
    <row r="101" spans="10:13" s="1" customFormat="1">
      <c r="J101" s="180"/>
      <c r="K101" s="180"/>
      <c r="L101" s="180"/>
      <c r="M101" s="180"/>
    </row>
    <row r="102" spans="10:13" s="1" customFormat="1">
      <c r="J102" s="180"/>
      <c r="K102" s="180"/>
      <c r="L102" s="180"/>
      <c r="M102" s="180"/>
    </row>
    <row r="103" spans="10:13" s="1" customFormat="1">
      <c r="J103" s="180"/>
      <c r="K103" s="180"/>
      <c r="L103" s="180"/>
      <c r="M103" s="180"/>
    </row>
    <row r="104" spans="10:13" s="1" customFormat="1">
      <c r="J104" s="180"/>
      <c r="K104" s="180"/>
      <c r="L104" s="180"/>
      <c r="M104" s="180"/>
    </row>
    <row r="105" spans="10:13" s="1" customFormat="1">
      <c r="J105" s="180"/>
      <c r="K105" s="180"/>
      <c r="L105" s="180"/>
      <c r="M105" s="180"/>
    </row>
    <row r="106" spans="10:13" s="1" customFormat="1">
      <c r="J106" s="180"/>
      <c r="K106" s="180"/>
      <c r="L106" s="180"/>
      <c r="M106" s="180"/>
    </row>
    <row r="107" spans="10:13" s="1" customFormat="1">
      <c r="J107" s="180"/>
      <c r="K107" s="180"/>
      <c r="L107" s="180"/>
      <c r="M107" s="180"/>
    </row>
    <row r="108" spans="10:13" s="1" customFormat="1">
      <c r="J108" s="180"/>
      <c r="K108" s="180"/>
      <c r="L108" s="180"/>
      <c r="M108" s="180"/>
    </row>
    <row r="109" spans="10:13" s="1" customFormat="1">
      <c r="J109" s="180"/>
      <c r="K109" s="180"/>
      <c r="L109" s="180"/>
      <c r="M109" s="180"/>
    </row>
    <row r="110" spans="10:13" s="1" customFormat="1">
      <c r="J110" s="180"/>
      <c r="K110" s="180"/>
      <c r="L110" s="180"/>
      <c r="M110" s="180"/>
    </row>
    <row r="111" spans="10:13" s="1" customFormat="1">
      <c r="J111" s="180"/>
      <c r="K111" s="180"/>
      <c r="L111" s="180"/>
      <c r="M111" s="180"/>
    </row>
    <row r="112" spans="10:13" s="1" customFormat="1">
      <c r="J112" s="180"/>
      <c r="K112" s="180"/>
      <c r="L112" s="180"/>
      <c r="M112" s="180"/>
    </row>
    <row r="113" spans="10:13" s="1" customFormat="1">
      <c r="J113" s="180"/>
      <c r="K113" s="180"/>
      <c r="L113" s="180"/>
      <c r="M113" s="180"/>
    </row>
    <row r="114" spans="10:13" s="1" customFormat="1">
      <c r="J114" s="180"/>
      <c r="K114" s="180"/>
      <c r="L114" s="180"/>
      <c r="M114" s="180"/>
    </row>
    <row r="115" spans="10:13" s="1" customFormat="1">
      <c r="J115" s="180"/>
      <c r="K115" s="180"/>
      <c r="L115" s="180"/>
      <c r="M115" s="180"/>
    </row>
    <row r="116" spans="10:13" s="1" customFormat="1">
      <c r="J116" s="180"/>
      <c r="K116" s="180"/>
      <c r="L116" s="180"/>
      <c r="M116" s="180"/>
    </row>
    <row r="117" spans="10:13" s="1" customFormat="1">
      <c r="J117" s="180"/>
      <c r="K117" s="180"/>
      <c r="L117" s="180"/>
      <c r="M117" s="180"/>
    </row>
    <row r="118" spans="10:13" s="1" customFormat="1">
      <c r="J118" s="180"/>
      <c r="K118" s="180"/>
      <c r="L118" s="180"/>
      <c r="M118" s="180"/>
    </row>
    <row r="119" spans="10:13" s="1" customFormat="1">
      <c r="J119" s="180"/>
      <c r="K119" s="180"/>
      <c r="L119" s="180"/>
      <c r="M119" s="180"/>
    </row>
    <row r="120" spans="10:13" s="1" customFormat="1">
      <c r="J120" s="180"/>
      <c r="K120" s="180"/>
      <c r="L120" s="180"/>
      <c r="M120" s="180"/>
    </row>
    <row r="121" spans="10:13" s="1" customFormat="1">
      <c r="J121" s="180"/>
      <c r="K121" s="180"/>
      <c r="L121" s="180"/>
      <c r="M121" s="180"/>
    </row>
    <row r="122" spans="10:13" s="1" customFormat="1">
      <c r="J122" s="180"/>
      <c r="K122" s="180"/>
      <c r="L122" s="180"/>
      <c r="M122" s="180"/>
    </row>
    <row r="123" spans="10:13" s="1" customFormat="1">
      <c r="J123" s="180"/>
      <c r="K123" s="180"/>
      <c r="L123" s="180"/>
      <c r="M123" s="180"/>
    </row>
    <row r="124" spans="10:13" s="1" customFormat="1">
      <c r="J124" s="180"/>
      <c r="K124" s="180"/>
      <c r="L124" s="180"/>
      <c r="M124" s="180"/>
    </row>
    <row r="125" spans="10:13" s="1" customFormat="1">
      <c r="J125" s="180"/>
      <c r="K125" s="180"/>
      <c r="L125" s="180"/>
      <c r="M125" s="180"/>
    </row>
    <row r="126" spans="10:13" s="1" customFormat="1">
      <c r="J126" s="180"/>
      <c r="K126" s="180"/>
      <c r="L126" s="180"/>
      <c r="M126" s="180"/>
    </row>
    <row r="127" spans="10:13" s="1" customFormat="1">
      <c r="J127" s="180"/>
      <c r="K127" s="180"/>
      <c r="L127" s="180"/>
      <c r="M127" s="180"/>
    </row>
    <row r="128" spans="10:13" s="1" customFormat="1">
      <c r="J128" s="180"/>
      <c r="K128" s="180"/>
      <c r="L128" s="180"/>
      <c r="M128" s="180"/>
    </row>
    <row r="129" spans="10:13" s="1" customFormat="1">
      <c r="J129" s="180"/>
      <c r="K129" s="180"/>
      <c r="L129" s="180"/>
      <c r="M129" s="180"/>
    </row>
    <row r="130" spans="10:13" s="1" customFormat="1">
      <c r="J130" s="180"/>
      <c r="K130" s="180"/>
      <c r="L130" s="180"/>
      <c r="M130" s="180"/>
    </row>
    <row r="131" spans="10:13" s="1" customFormat="1">
      <c r="J131" s="180"/>
      <c r="K131" s="180"/>
      <c r="L131" s="180"/>
      <c r="M131" s="180"/>
    </row>
    <row r="132" spans="10:13" s="1" customFormat="1">
      <c r="J132" s="180"/>
      <c r="K132" s="180"/>
      <c r="L132" s="180"/>
      <c r="M132" s="180"/>
    </row>
    <row r="133" spans="10:13" s="1" customFormat="1">
      <c r="J133" s="180"/>
      <c r="K133" s="180"/>
      <c r="L133" s="180"/>
      <c r="M133" s="180"/>
    </row>
    <row r="134" spans="10:13" s="1" customFormat="1">
      <c r="J134" s="180"/>
      <c r="K134" s="180"/>
      <c r="L134" s="180"/>
      <c r="M134" s="180"/>
    </row>
    <row r="135" spans="10:13" s="1" customFormat="1">
      <c r="J135" s="180"/>
      <c r="K135" s="180"/>
      <c r="L135" s="180"/>
      <c r="M135" s="180"/>
    </row>
    <row r="136" spans="10:13" s="1" customFormat="1">
      <c r="J136" s="180"/>
      <c r="K136" s="180"/>
      <c r="L136" s="180"/>
      <c r="M136" s="180"/>
    </row>
    <row r="137" spans="10:13" s="1" customFormat="1">
      <c r="J137" s="180"/>
      <c r="K137" s="180"/>
      <c r="L137" s="180"/>
      <c r="M137" s="180"/>
    </row>
    <row r="138" spans="10:13" s="1" customFormat="1">
      <c r="J138" s="180"/>
      <c r="K138" s="180"/>
      <c r="L138" s="180"/>
      <c r="M138" s="180"/>
    </row>
    <row r="139" spans="10:13" s="1" customFormat="1">
      <c r="J139" s="180"/>
      <c r="K139" s="180"/>
      <c r="L139" s="180"/>
      <c r="M139" s="180"/>
    </row>
    <row r="140" spans="10:13" s="1" customFormat="1">
      <c r="J140" s="180"/>
      <c r="K140" s="180"/>
      <c r="L140" s="180"/>
      <c r="M140" s="180"/>
    </row>
    <row r="141" spans="10:13" s="1" customFormat="1">
      <c r="J141" s="180"/>
      <c r="K141" s="180"/>
      <c r="L141" s="180"/>
      <c r="M141" s="180"/>
    </row>
    <row r="142" spans="10:13" s="1" customFormat="1">
      <c r="J142" s="180"/>
      <c r="K142" s="180"/>
      <c r="L142" s="180"/>
      <c r="M142" s="180"/>
    </row>
    <row r="143" spans="10:13" s="1" customFormat="1">
      <c r="J143" s="180"/>
      <c r="K143" s="180"/>
      <c r="L143" s="180"/>
      <c r="M143" s="180"/>
    </row>
    <row r="144" spans="10:13" s="1" customFormat="1">
      <c r="J144" s="180"/>
      <c r="K144" s="180"/>
      <c r="L144" s="180"/>
      <c r="M144" s="180"/>
    </row>
    <row r="145" spans="10:13" s="1" customFormat="1">
      <c r="J145" s="180"/>
      <c r="K145" s="180"/>
      <c r="L145" s="180"/>
      <c r="M145" s="180"/>
    </row>
    <row r="146" spans="10:13" s="1" customFormat="1">
      <c r="J146" s="180"/>
      <c r="K146" s="180"/>
      <c r="L146" s="180"/>
      <c r="M146" s="180"/>
    </row>
    <row r="147" spans="10:13" s="1" customFormat="1">
      <c r="J147" s="180"/>
      <c r="K147" s="180"/>
      <c r="L147" s="180"/>
      <c r="M147" s="180"/>
    </row>
    <row r="148" spans="10:13" s="1" customFormat="1">
      <c r="J148" s="180"/>
      <c r="K148" s="180"/>
      <c r="L148" s="180"/>
      <c r="M148" s="180"/>
    </row>
    <row r="149" spans="10:13" s="1" customFormat="1">
      <c r="J149" s="180"/>
      <c r="K149" s="180"/>
      <c r="L149" s="180"/>
      <c r="M149" s="180"/>
    </row>
    <row r="150" spans="10:13" s="1" customFormat="1">
      <c r="J150" s="180"/>
      <c r="K150" s="180"/>
      <c r="L150" s="180"/>
      <c r="M150" s="180"/>
    </row>
    <row r="151" spans="10:13" s="1" customFormat="1">
      <c r="J151" s="180"/>
      <c r="K151" s="180"/>
      <c r="L151" s="180"/>
      <c r="M151" s="180"/>
    </row>
    <row r="152" spans="10:13" s="1" customFormat="1">
      <c r="J152" s="180"/>
      <c r="K152" s="180"/>
      <c r="L152" s="180"/>
      <c r="M152" s="180"/>
    </row>
    <row r="153" spans="10:13" s="1" customFormat="1">
      <c r="J153" s="180"/>
      <c r="K153" s="180"/>
      <c r="L153" s="180"/>
      <c r="M153" s="180"/>
    </row>
    <row r="154" spans="10:13" s="1" customFormat="1">
      <c r="J154" s="180"/>
      <c r="K154" s="180"/>
      <c r="L154" s="180"/>
      <c r="M154" s="180"/>
    </row>
    <row r="155" spans="10:13" s="1" customFormat="1">
      <c r="J155" s="180"/>
      <c r="K155" s="180"/>
      <c r="L155" s="180"/>
      <c r="M155" s="180"/>
    </row>
    <row r="156" spans="10:13" s="1" customFormat="1">
      <c r="J156" s="180"/>
      <c r="K156" s="180"/>
      <c r="L156" s="180"/>
      <c r="M156" s="180"/>
    </row>
    <row r="157" spans="10:13" s="1" customFormat="1">
      <c r="J157" s="180"/>
      <c r="K157" s="180"/>
      <c r="L157" s="180"/>
      <c r="M157" s="180"/>
    </row>
    <row r="158" spans="10:13" s="1" customFormat="1">
      <c r="J158" s="180"/>
      <c r="K158" s="180"/>
      <c r="L158" s="180"/>
      <c r="M158" s="180"/>
    </row>
    <row r="159" spans="10:13" s="1" customFormat="1">
      <c r="J159" s="180"/>
      <c r="K159" s="180"/>
      <c r="L159" s="180"/>
      <c r="M159" s="180"/>
    </row>
    <row r="160" spans="10:13" s="1" customFormat="1">
      <c r="J160" s="180"/>
      <c r="K160" s="180"/>
      <c r="L160" s="180"/>
      <c r="M160" s="180"/>
    </row>
    <row r="161" spans="10:13" s="1" customFormat="1">
      <c r="J161" s="180"/>
      <c r="K161" s="180"/>
      <c r="L161" s="180"/>
      <c r="M161" s="180"/>
    </row>
    <row r="162" spans="10:13" s="1" customFormat="1">
      <c r="J162" s="180"/>
      <c r="K162" s="180"/>
      <c r="L162" s="180"/>
      <c r="M162" s="180"/>
    </row>
    <row r="163" spans="10:13" s="1" customFormat="1">
      <c r="J163" s="180"/>
      <c r="K163" s="180"/>
      <c r="L163" s="180"/>
      <c r="M163" s="180"/>
    </row>
    <row r="164" spans="10:13" s="1" customFormat="1">
      <c r="J164" s="180"/>
      <c r="K164" s="180"/>
      <c r="L164" s="180"/>
      <c r="M164" s="180"/>
    </row>
    <row r="165" spans="10:13" s="1" customFormat="1">
      <c r="J165" s="180"/>
      <c r="K165" s="180"/>
      <c r="L165" s="180"/>
      <c r="M165" s="180"/>
    </row>
    <row r="166" spans="10:13" s="1" customFormat="1">
      <c r="J166" s="180"/>
      <c r="K166" s="180"/>
      <c r="L166" s="180"/>
      <c r="M166" s="180"/>
    </row>
    <row r="167" spans="10:13" s="1" customFormat="1">
      <c r="J167" s="180"/>
      <c r="K167" s="180"/>
      <c r="L167" s="180"/>
      <c r="M167" s="180"/>
    </row>
    <row r="168" spans="10:13" s="1" customFormat="1">
      <c r="J168" s="180"/>
      <c r="K168" s="180"/>
      <c r="L168" s="180"/>
      <c r="M168" s="180"/>
    </row>
    <row r="169" spans="10:13" s="1" customFormat="1">
      <c r="J169" s="180"/>
      <c r="K169" s="180"/>
      <c r="L169" s="180"/>
      <c r="M169" s="180"/>
    </row>
    <row r="170" spans="10:13" s="1" customFormat="1">
      <c r="J170" s="180"/>
      <c r="K170" s="180"/>
      <c r="L170" s="180"/>
      <c r="M170" s="180"/>
    </row>
    <row r="171" spans="10:13" s="1" customFormat="1">
      <c r="J171" s="180"/>
      <c r="K171" s="180"/>
      <c r="L171" s="180"/>
      <c r="M171" s="180"/>
    </row>
    <row r="172" spans="10:13" s="1" customFormat="1">
      <c r="J172" s="180"/>
      <c r="K172" s="180"/>
      <c r="L172" s="180"/>
      <c r="M172" s="180"/>
    </row>
    <row r="173" spans="10:13" s="1" customFormat="1">
      <c r="J173" s="180"/>
      <c r="K173" s="180"/>
      <c r="L173" s="180"/>
      <c r="M173" s="180"/>
    </row>
    <row r="174" spans="10:13" s="1" customFormat="1">
      <c r="J174" s="180"/>
      <c r="K174" s="180"/>
      <c r="L174" s="180"/>
      <c r="M174" s="180"/>
    </row>
    <row r="175" spans="10:13" s="1" customFormat="1">
      <c r="J175" s="180"/>
      <c r="K175" s="180"/>
      <c r="L175" s="180"/>
      <c r="M175" s="180"/>
    </row>
    <row r="176" spans="10:13" s="1" customFormat="1">
      <c r="J176" s="180"/>
      <c r="K176" s="180"/>
      <c r="L176" s="180"/>
      <c r="M176" s="180"/>
    </row>
    <row r="177" spans="10:13" s="1" customFormat="1">
      <c r="J177" s="180"/>
      <c r="K177" s="180"/>
      <c r="L177" s="180"/>
      <c r="M177" s="180"/>
    </row>
    <row r="178" spans="10:13" s="1" customFormat="1">
      <c r="J178" s="180"/>
      <c r="K178" s="180"/>
      <c r="L178" s="180"/>
      <c r="M178" s="180"/>
    </row>
    <row r="179" spans="10:13" s="1" customFormat="1">
      <c r="J179" s="180"/>
      <c r="K179" s="180"/>
      <c r="L179" s="180"/>
      <c r="M179" s="180"/>
    </row>
    <row r="180" spans="10:13" s="1" customFormat="1">
      <c r="J180" s="180"/>
      <c r="K180" s="180"/>
      <c r="L180" s="180"/>
      <c r="M180" s="180"/>
    </row>
    <row r="181" spans="10:13" s="1" customFormat="1">
      <c r="J181" s="180"/>
      <c r="K181" s="180"/>
      <c r="L181" s="180"/>
      <c r="M181" s="180"/>
    </row>
    <row r="182" spans="10:13" s="1" customFormat="1">
      <c r="J182" s="180"/>
      <c r="K182" s="180"/>
      <c r="L182" s="180"/>
      <c r="M182" s="180"/>
    </row>
    <row r="183" spans="10:13" s="1" customFormat="1">
      <c r="J183" s="180"/>
      <c r="K183" s="180"/>
      <c r="L183" s="180"/>
      <c r="M183" s="180"/>
    </row>
    <row r="184" spans="10:13" s="1" customFormat="1">
      <c r="J184" s="180"/>
      <c r="K184" s="180"/>
      <c r="L184" s="180"/>
      <c r="M184" s="180"/>
    </row>
    <row r="185" spans="10:13" s="1" customFormat="1">
      <c r="J185" s="180"/>
      <c r="K185" s="180"/>
      <c r="L185" s="180"/>
      <c r="M185" s="180"/>
    </row>
    <row r="186" spans="10:13" s="1" customFormat="1">
      <c r="J186" s="180"/>
      <c r="K186" s="180"/>
      <c r="L186" s="180"/>
      <c r="M186" s="180"/>
    </row>
    <row r="187" spans="10:13" s="1" customFormat="1">
      <c r="J187" s="180"/>
      <c r="K187" s="180"/>
      <c r="L187" s="180"/>
      <c r="M187" s="180"/>
    </row>
    <row r="188" spans="10:13" s="1" customFormat="1">
      <c r="J188" s="180"/>
      <c r="K188" s="180"/>
      <c r="L188" s="180"/>
      <c r="M188" s="180"/>
    </row>
    <row r="189" spans="10:13" s="1" customFormat="1">
      <c r="J189" s="180"/>
      <c r="K189" s="180"/>
      <c r="L189" s="180"/>
      <c r="M189" s="180"/>
    </row>
    <row r="190" spans="10:13" s="1" customFormat="1">
      <c r="J190" s="180"/>
      <c r="K190" s="180"/>
      <c r="L190" s="180"/>
      <c r="M190" s="180"/>
    </row>
    <row r="191" spans="10:13" s="1" customFormat="1">
      <c r="J191" s="180"/>
      <c r="K191" s="180"/>
      <c r="L191" s="180"/>
      <c r="M191" s="180"/>
    </row>
    <row r="192" spans="10:13" s="1" customFormat="1">
      <c r="J192" s="180"/>
      <c r="K192" s="180"/>
      <c r="L192" s="180"/>
      <c r="M192" s="180"/>
    </row>
    <row r="193" spans="10:13" s="1" customFormat="1">
      <c r="J193" s="180"/>
      <c r="K193" s="180"/>
      <c r="L193" s="180"/>
      <c r="M193" s="180"/>
    </row>
    <row r="194" spans="10:13" s="1" customFormat="1">
      <c r="J194" s="180"/>
      <c r="K194" s="180"/>
      <c r="L194" s="180"/>
      <c r="M194" s="180"/>
    </row>
    <row r="195" spans="10:13" s="1" customFormat="1">
      <c r="J195" s="180"/>
      <c r="K195" s="180"/>
      <c r="L195" s="180"/>
      <c r="M195" s="180"/>
    </row>
    <row r="196" spans="10:13" s="1" customFormat="1">
      <c r="J196" s="180"/>
      <c r="K196" s="180"/>
      <c r="L196" s="180"/>
      <c r="M196" s="180"/>
    </row>
    <row r="197" spans="10:13" s="1" customFormat="1">
      <c r="J197" s="180"/>
      <c r="K197" s="180"/>
      <c r="L197" s="180"/>
      <c r="M197" s="180"/>
    </row>
    <row r="198" spans="10:13" s="1" customFormat="1">
      <c r="J198" s="180"/>
      <c r="K198" s="180"/>
      <c r="L198" s="180"/>
      <c r="M198" s="180"/>
    </row>
    <row r="199" spans="10:13" s="1" customFormat="1">
      <c r="J199" s="180"/>
      <c r="K199" s="180"/>
      <c r="L199" s="180"/>
      <c r="M199" s="180"/>
    </row>
    <row r="200" spans="10:13" s="1" customFormat="1">
      <c r="J200" s="180"/>
      <c r="K200" s="180"/>
      <c r="L200" s="180"/>
      <c r="M200" s="180"/>
    </row>
    <row r="201" spans="10:13" s="1" customFormat="1">
      <c r="J201" s="180"/>
      <c r="K201" s="180"/>
      <c r="L201" s="180"/>
      <c r="M201" s="180"/>
    </row>
    <row r="202" spans="10:13" s="1" customFormat="1">
      <c r="J202" s="180"/>
      <c r="K202" s="180"/>
      <c r="L202" s="180"/>
      <c r="M202" s="180"/>
    </row>
    <row r="203" spans="10:13" s="1" customFormat="1">
      <c r="J203" s="180"/>
      <c r="K203" s="180"/>
      <c r="L203" s="180"/>
      <c r="M203" s="180"/>
    </row>
    <row r="204" spans="10:13" s="1" customFormat="1">
      <c r="J204" s="180"/>
      <c r="K204" s="180"/>
      <c r="L204" s="180"/>
      <c r="M204" s="180"/>
    </row>
    <row r="205" spans="10:13" s="1" customFormat="1">
      <c r="J205" s="180"/>
      <c r="K205" s="180"/>
      <c r="L205" s="180"/>
      <c r="M205" s="180"/>
    </row>
    <row r="206" spans="10:13" s="1" customFormat="1">
      <c r="J206" s="180"/>
      <c r="K206" s="180"/>
      <c r="L206" s="180"/>
      <c r="M206" s="180"/>
    </row>
    <row r="207" spans="10:13" s="1" customFormat="1">
      <c r="J207" s="180"/>
      <c r="K207" s="180"/>
      <c r="L207" s="180"/>
      <c r="M207" s="180"/>
    </row>
    <row r="208" spans="10:13" s="1" customFormat="1">
      <c r="J208" s="180"/>
      <c r="K208" s="180"/>
      <c r="L208" s="180"/>
      <c r="M208" s="180"/>
    </row>
    <row r="209" spans="10:13" s="1" customFormat="1">
      <c r="J209" s="180"/>
      <c r="K209" s="180"/>
      <c r="L209" s="180"/>
      <c r="M209" s="180"/>
    </row>
    <row r="210" spans="10:13" s="1" customFormat="1">
      <c r="J210" s="180"/>
      <c r="K210" s="180"/>
      <c r="L210" s="180"/>
      <c r="M210" s="180"/>
    </row>
    <row r="211" spans="10:13" s="1" customFormat="1">
      <c r="J211" s="180"/>
      <c r="K211" s="180"/>
      <c r="L211" s="180"/>
      <c r="M211" s="180"/>
    </row>
    <row r="212" spans="10:13" s="1" customFormat="1">
      <c r="J212" s="180"/>
      <c r="K212" s="180"/>
      <c r="L212" s="180"/>
      <c r="M212" s="180"/>
    </row>
    <row r="213" spans="10:13" s="1" customFormat="1">
      <c r="J213" s="180"/>
      <c r="K213" s="180"/>
      <c r="L213" s="180"/>
      <c r="M213" s="180"/>
    </row>
    <row r="214" spans="10:13" s="1" customFormat="1">
      <c r="J214" s="180"/>
      <c r="K214" s="180"/>
      <c r="L214" s="180"/>
      <c r="M214" s="180"/>
    </row>
    <row r="215" spans="10:13" s="1" customFormat="1">
      <c r="J215" s="180"/>
      <c r="K215" s="180"/>
      <c r="L215" s="180"/>
      <c r="M215" s="180"/>
    </row>
    <row r="216" spans="10:13" s="1" customFormat="1">
      <c r="J216" s="180"/>
      <c r="K216" s="180"/>
      <c r="L216" s="180"/>
      <c r="M216" s="180"/>
    </row>
    <row r="217" spans="10:13" s="1" customFormat="1">
      <c r="J217" s="180"/>
      <c r="K217" s="180"/>
      <c r="L217" s="180"/>
      <c r="M217" s="180"/>
    </row>
    <row r="218" spans="10:13" s="1" customFormat="1">
      <c r="J218" s="180"/>
      <c r="K218" s="180"/>
      <c r="L218" s="180"/>
      <c r="M218" s="180"/>
    </row>
    <row r="219" spans="10:13" s="1" customFormat="1">
      <c r="J219" s="180"/>
      <c r="K219" s="180"/>
      <c r="L219" s="180"/>
      <c r="M219" s="180"/>
    </row>
    <row r="220" spans="10:13" s="1" customFormat="1">
      <c r="J220" s="180"/>
      <c r="K220" s="180"/>
      <c r="L220" s="180"/>
      <c r="M220" s="180"/>
    </row>
    <row r="221" spans="10:13" s="1" customFormat="1">
      <c r="J221" s="180"/>
      <c r="K221" s="180"/>
      <c r="L221" s="180"/>
      <c r="M221" s="180"/>
    </row>
    <row r="222" spans="10:13" s="1" customFormat="1">
      <c r="J222" s="180"/>
      <c r="K222" s="180"/>
      <c r="L222" s="180"/>
      <c r="M222" s="180"/>
    </row>
    <row r="223" spans="10:13" s="1" customFormat="1">
      <c r="J223" s="180"/>
      <c r="K223" s="180"/>
      <c r="L223" s="180"/>
      <c r="M223" s="180"/>
    </row>
    <row r="224" spans="10:13" s="1" customFormat="1">
      <c r="J224" s="180"/>
      <c r="K224" s="180"/>
      <c r="L224" s="180"/>
      <c r="M224" s="180"/>
    </row>
    <row r="225" spans="10:13" s="1" customFormat="1">
      <c r="J225" s="180"/>
      <c r="K225" s="180"/>
      <c r="L225" s="180"/>
      <c r="M225" s="180"/>
    </row>
    <row r="226" spans="10:13" s="1" customFormat="1">
      <c r="J226" s="180"/>
      <c r="K226" s="180"/>
      <c r="L226" s="180"/>
      <c r="M226" s="180"/>
    </row>
    <row r="227" spans="10:13" s="1" customFormat="1">
      <c r="J227" s="180"/>
      <c r="K227" s="180"/>
      <c r="L227" s="180"/>
      <c r="M227" s="180"/>
    </row>
    <row r="228" spans="10:13" s="1" customFormat="1">
      <c r="J228" s="180"/>
      <c r="K228" s="180"/>
      <c r="L228" s="180"/>
      <c r="M228" s="180"/>
    </row>
    <row r="229" spans="10:13" s="1" customFormat="1">
      <c r="J229" s="180"/>
      <c r="K229" s="180"/>
      <c r="L229" s="180"/>
      <c r="M229" s="180"/>
    </row>
    <row r="230" spans="10:13" s="1" customFormat="1">
      <c r="J230" s="180"/>
      <c r="K230" s="180"/>
      <c r="L230" s="180"/>
      <c r="M230" s="180"/>
    </row>
    <row r="231" spans="10:13" s="1" customFormat="1">
      <c r="J231" s="180"/>
      <c r="K231" s="180"/>
      <c r="L231" s="180"/>
      <c r="M231" s="180"/>
    </row>
    <row r="232" spans="10:13" s="1" customFormat="1">
      <c r="J232" s="180"/>
      <c r="K232" s="180"/>
      <c r="L232" s="180"/>
      <c r="M232" s="180"/>
    </row>
    <row r="233" spans="10:13" s="1" customFormat="1">
      <c r="J233" s="180"/>
      <c r="K233" s="180"/>
      <c r="L233" s="180"/>
      <c r="M233" s="180"/>
    </row>
    <row r="234" spans="10:13" s="1" customFormat="1">
      <c r="J234" s="180"/>
      <c r="K234" s="180"/>
      <c r="L234" s="180"/>
      <c r="M234" s="180"/>
    </row>
    <row r="235" spans="10:13" s="1" customFormat="1">
      <c r="J235" s="180"/>
      <c r="K235" s="180"/>
      <c r="L235" s="180"/>
      <c r="M235" s="180"/>
    </row>
    <row r="236" spans="10:13" s="1" customFormat="1">
      <c r="J236" s="180"/>
      <c r="K236" s="180"/>
      <c r="L236" s="180"/>
      <c r="M236" s="180"/>
    </row>
    <row r="237" spans="10:13" s="1" customFormat="1">
      <c r="J237" s="180"/>
      <c r="K237" s="180"/>
      <c r="L237" s="180"/>
      <c r="M237" s="180"/>
    </row>
    <row r="238" spans="10:13" s="1" customFormat="1">
      <c r="J238" s="180"/>
      <c r="K238" s="180"/>
      <c r="L238" s="180"/>
      <c r="M238" s="180"/>
    </row>
    <row r="239" spans="10:13" s="1" customFormat="1">
      <c r="J239" s="180"/>
      <c r="K239" s="180"/>
      <c r="L239" s="180"/>
      <c r="M239" s="180"/>
    </row>
    <row r="240" spans="10:13" s="1" customFormat="1">
      <c r="J240" s="180"/>
      <c r="K240" s="180"/>
      <c r="L240" s="180"/>
      <c r="M240" s="180"/>
    </row>
    <row r="241" spans="10:13" s="1" customFormat="1">
      <c r="J241" s="180"/>
      <c r="K241" s="180"/>
      <c r="L241" s="180"/>
      <c r="M241" s="180"/>
    </row>
    <row r="242" spans="10:13" s="1" customFormat="1">
      <c r="J242" s="180"/>
      <c r="K242" s="180"/>
      <c r="L242" s="180"/>
      <c r="M242" s="180"/>
    </row>
    <row r="243" spans="10:13" s="1" customFormat="1">
      <c r="J243" s="180"/>
      <c r="K243" s="180"/>
      <c r="L243" s="180"/>
      <c r="M243" s="180"/>
    </row>
    <row r="244" spans="10:13" s="1" customFormat="1">
      <c r="J244" s="180"/>
      <c r="K244" s="180"/>
      <c r="L244" s="180"/>
      <c r="M244" s="180"/>
    </row>
    <row r="245" spans="10:13" s="1" customFormat="1">
      <c r="J245" s="180"/>
      <c r="K245" s="180"/>
      <c r="L245" s="180"/>
      <c r="M245" s="180"/>
    </row>
    <row r="246" spans="10:13" s="1" customFormat="1">
      <c r="J246" s="180"/>
      <c r="K246" s="180"/>
      <c r="L246" s="180"/>
      <c r="M246" s="180"/>
    </row>
    <row r="247" spans="10:13" s="1" customFormat="1">
      <c r="J247" s="180"/>
      <c r="K247" s="180"/>
      <c r="L247" s="180"/>
      <c r="M247" s="180"/>
    </row>
    <row r="248" spans="10:13" s="1" customFormat="1">
      <c r="J248" s="180"/>
      <c r="K248" s="180"/>
      <c r="L248" s="180"/>
      <c r="M248" s="180"/>
    </row>
    <row r="249" spans="10:13" s="1" customFormat="1">
      <c r="J249" s="180"/>
      <c r="K249" s="180"/>
      <c r="L249" s="180"/>
      <c r="M249" s="180"/>
    </row>
    <row r="250" spans="10:13" s="1" customFormat="1">
      <c r="J250" s="180"/>
      <c r="K250" s="180"/>
      <c r="L250" s="180"/>
      <c r="M250" s="180"/>
    </row>
    <row r="251" spans="10:13" s="1" customFormat="1">
      <c r="J251" s="180"/>
      <c r="K251" s="180"/>
      <c r="L251" s="180"/>
      <c r="M251" s="180"/>
    </row>
    <row r="252" spans="10:13" s="1" customFormat="1">
      <c r="J252" s="180"/>
      <c r="K252" s="180"/>
      <c r="L252" s="180"/>
      <c r="M252" s="180"/>
    </row>
    <row r="253" spans="10:13" s="1" customFormat="1">
      <c r="J253" s="180"/>
      <c r="K253" s="180"/>
      <c r="L253" s="180"/>
      <c r="M253" s="180"/>
    </row>
    <row r="254" spans="10:13" s="1" customFormat="1">
      <c r="J254" s="180"/>
      <c r="K254" s="180"/>
      <c r="L254" s="180"/>
      <c r="M254" s="180"/>
    </row>
    <row r="255" spans="10:13" s="1" customFormat="1">
      <c r="J255" s="180"/>
      <c r="K255" s="180"/>
      <c r="L255" s="180"/>
      <c r="M255" s="180"/>
    </row>
    <row r="256" spans="10:13" s="1" customFormat="1">
      <c r="J256" s="180"/>
      <c r="K256" s="180"/>
      <c r="L256" s="180"/>
      <c r="M256" s="180"/>
    </row>
    <row r="257" spans="10:13" s="1" customFormat="1">
      <c r="J257" s="180"/>
      <c r="K257" s="180"/>
      <c r="L257" s="180"/>
      <c r="M257" s="180"/>
    </row>
    <row r="258" spans="10:13" s="1" customFormat="1">
      <c r="J258" s="180"/>
      <c r="K258" s="180"/>
      <c r="L258" s="180"/>
      <c r="M258" s="180"/>
    </row>
    <row r="259" spans="10:13" s="1" customFormat="1">
      <c r="J259" s="180"/>
      <c r="K259" s="180"/>
      <c r="L259" s="180"/>
      <c r="M259" s="180"/>
    </row>
    <row r="260" spans="10:13" s="1" customFormat="1">
      <c r="J260" s="180"/>
      <c r="K260" s="180"/>
      <c r="L260" s="180"/>
      <c r="M260" s="180"/>
    </row>
    <row r="261" spans="10:13" s="1" customFormat="1">
      <c r="J261" s="180"/>
      <c r="K261" s="180"/>
      <c r="L261" s="180"/>
      <c r="M261" s="180"/>
    </row>
    <row r="262" spans="10:13" s="1" customFormat="1">
      <c r="J262" s="180"/>
      <c r="K262" s="180"/>
      <c r="L262" s="180"/>
      <c r="M262" s="180"/>
    </row>
    <row r="263" spans="10:13" s="1" customFormat="1">
      <c r="J263" s="180"/>
      <c r="K263" s="180"/>
      <c r="L263" s="180"/>
      <c r="M263" s="180"/>
    </row>
    <row r="264" spans="10:13" s="1" customFormat="1">
      <c r="J264" s="180"/>
      <c r="K264" s="180"/>
      <c r="L264" s="180"/>
      <c r="M264" s="180"/>
    </row>
    <row r="265" spans="10:13" s="1" customFormat="1">
      <c r="J265" s="180"/>
      <c r="K265" s="180"/>
      <c r="L265" s="180"/>
      <c r="M265" s="180"/>
    </row>
    <row r="266" spans="10:13" s="1" customFormat="1">
      <c r="J266" s="180"/>
      <c r="K266" s="180"/>
      <c r="L266" s="180"/>
      <c r="M266" s="180"/>
    </row>
    <row r="267" spans="10:13" s="1" customFormat="1">
      <c r="J267" s="180"/>
      <c r="K267" s="180"/>
      <c r="L267" s="180"/>
      <c r="M267" s="180"/>
    </row>
    <row r="268" spans="10:13" s="1" customFormat="1">
      <c r="J268" s="180"/>
      <c r="K268" s="180"/>
      <c r="L268" s="180"/>
      <c r="M268" s="180"/>
    </row>
    <row r="269" spans="10:13" s="1" customFormat="1">
      <c r="J269" s="180"/>
      <c r="K269" s="180"/>
      <c r="L269" s="180"/>
      <c r="M269" s="180"/>
    </row>
    <row r="270" spans="10:13" s="1" customFormat="1">
      <c r="J270" s="180"/>
      <c r="K270" s="180"/>
      <c r="L270" s="180"/>
      <c r="M270" s="180"/>
    </row>
    <row r="271" spans="10:13" s="1" customFormat="1">
      <c r="J271" s="180"/>
      <c r="K271" s="180"/>
      <c r="L271" s="180"/>
      <c r="M271" s="180"/>
    </row>
    <row r="272" spans="10:13" s="1" customFormat="1">
      <c r="J272" s="180"/>
      <c r="K272" s="180"/>
      <c r="L272" s="180"/>
      <c r="M272" s="180"/>
    </row>
    <row r="273" spans="10:13" s="1" customFormat="1">
      <c r="J273" s="180"/>
      <c r="K273" s="180"/>
      <c r="L273" s="180"/>
      <c r="M273" s="180"/>
    </row>
    <row r="274" spans="10:13" s="1" customFormat="1">
      <c r="J274" s="180"/>
      <c r="K274" s="180"/>
      <c r="L274" s="180"/>
      <c r="M274" s="180"/>
    </row>
    <row r="275" spans="10:13" s="1" customFormat="1">
      <c r="J275" s="180"/>
      <c r="K275" s="180"/>
      <c r="L275" s="180"/>
      <c r="M275" s="180"/>
    </row>
    <row r="276" spans="10:13" s="1" customFormat="1">
      <c r="J276" s="180"/>
      <c r="K276" s="180"/>
      <c r="L276" s="180"/>
      <c r="M276" s="180"/>
    </row>
    <row r="277" spans="10:13" s="1" customFormat="1">
      <c r="J277" s="180"/>
      <c r="K277" s="180"/>
      <c r="L277" s="180"/>
      <c r="M277" s="180"/>
    </row>
    <row r="278" spans="10:13" s="1" customFormat="1">
      <c r="J278" s="180"/>
      <c r="K278" s="180"/>
      <c r="L278" s="180"/>
      <c r="M278" s="180"/>
    </row>
    <row r="279" spans="10:13" s="1" customFormat="1">
      <c r="J279" s="180"/>
      <c r="K279" s="180"/>
      <c r="L279" s="180"/>
      <c r="M279" s="180"/>
    </row>
    <row r="280" spans="10:13" s="1" customFormat="1">
      <c r="J280" s="180"/>
      <c r="K280" s="180"/>
      <c r="L280" s="180"/>
      <c r="M280" s="180"/>
    </row>
    <row r="281" spans="10:13" s="1" customFormat="1">
      <c r="J281" s="180"/>
      <c r="K281" s="180"/>
      <c r="L281" s="180"/>
      <c r="M281" s="180"/>
    </row>
    <row r="282" spans="10:13" s="1" customFormat="1">
      <c r="J282" s="180"/>
      <c r="K282" s="180"/>
      <c r="L282" s="180"/>
      <c r="M282" s="180"/>
    </row>
    <row r="283" spans="10:13" s="1" customFormat="1">
      <c r="J283" s="180"/>
      <c r="K283" s="180"/>
      <c r="L283" s="180"/>
      <c r="M283" s="180"/>
    </row>
    <row r="284" spans="10:13" s="1" customFormat="1">
      <c r="J284" s="180"/>
      <c r="K284" s="180"/>
      <c r="L284" s="180"/>
      <c r="M284" s="180"/>
    </row>
    <row r="285" spans="10:13" s="1" customFormat="1">
      <c r="J285" s="180"/>
      <c r="K285" s="180"/>
      <c r="L285" s="180"/>
      <c r="M285" s="180"/>
    </row>
    <row r="286" spans="10:13" s="1" customFormat="1">
      <c r="J286" s="180"/>
      <c r="K286" s="180"/>
      <c r="L286" s="180"/>
      <c r="M286" s="180"/>
    </row>
    <row r="287" spans="10:13" s="1" customFormat="1">
      <c r="J287" s="180"/>
      <c r="K287" s="180"/>
      <c r="L287" s="180"/>
      <c r="M287" s="180"/>
    </row>
    <row r="288" spans="10:13" s="1" customFormat="1">
      <c r="J288" s="180"/>
      <c r="K288" s="180"/>
      <c r="L288" s="180"/>
      <c r="M288" s="180"/>
    </row>
    <row r="289" spans="10:13" s="1" customFormat="1">
      <c r="J289" s="180"/>
      <c r="K289" s="180"/>
      <c r="L289" s="180"/>
      <c r="M289" s="180"/>
    </row>
    <row r="290" spans="10:13" s="1" customFormat="1">
      <c r="J290" s="180"/>
      <c r="K290" s="180"/>
      <c r="L290" s="180"/>
      <c r="M290" s="180"/>
    </row>
    <row r="291" spans="10:13" s="1" customFormat="1">
      <c r="J291" s="180"/>
      <c r="K291" s="180"/>
      <c r="L291" s="180"/>
      <c r="M291" s="180"/>
    </row>
    <row r="292" spans="10:13" s="1" customFormat="1">
      <c r="J292" s="180"/>
      <c r="K292" s="180"/>
      <c r="L292" s="180"/>
      <c r="M292" s="180"/>
    </row>
    <row r="293" spans="10:13" s="1" customFormat="1">
      <c r="J293" s="180"/>
      <c r="K293" s="180"/>
      <c r="L293" s="180"/>
      <c r="M293" s="180"/>
    </row>
    <row r="294" spans="10:13" s="1" customFormat="1">
      <c r="J294" s="180"/>
      <c r="K294" s="180"/>
      <c r="L294" s="180"/>
      <c r="M294" s="180"/>
    </row>
    <row r="295" spans="10:13" s="1" customFormat="1">
      <c r="J295" s="180"/>
      <c r="K295" s="180"/>
      <c r="L295" s="180"/>
      <c r="M295" s="180"/>
    </row>
    <row r="296" spans="10:13" s="1" customFormat="1">
      <c r="J296" s="180"/>
      <c r="K296" s="180"/>
      <c r="L296" s="180"/>
      <c r="M296" s="180"/>
    </row>
    <row r="297" spans="10:13" s="1" customFormat="1">
      <c r="J297" s="180"/>
      <c r="K297" s="180"/>
      <c r="L297" s="180"/>
      <c r="M297" s="180"/>
    </row>
    <row r="298" spans="10:13" s="1" customFormat="1">
      <c r="J298" s="180"/>
      <c r="K298" s="180"/>
      <c r="L298" s="180"/>
      <c r="M298" s="180"/>
    </row>
    <row r="299" spans="10:13" s="1" customFormat="1">
      <c r="J299" s="180"/>
      <c r="K299" s="180"/>
      <c r="L299" s="180"/>
      <c r="M299" s="180"/>
    </row>
    <row r="300" spans="10:13" s="1" customFormat="1">
      <c r="J300" s="180"/>
      <c r="K300" s="180"/>
      <c r="L300" s="180"/>
      <c r="M300" s="180"/>
    </row>
    <row r="301" spans="10:13" s="1" customFormat="1">
      <c r="J301" s="180"/>
      <c r="K301" s="180"/>
      <c r="L301" s="180"/>
      <c r="M301" s="180"/>
    </row>
    <row r="302" spans="10:13" s="1" customFormat="1">
      <c r="J302" s="180"/>
      <c r="K302" s="180"/>
      <c r="L302" s="180"/>
      <c r="M302" s="180"/>
    </row>
    <row r="303" spans="10:13" s="1" customFormat="1">
      <c r="J303" s="180"/>
      <c r="K303" s="180"/>
      <c r="L303" s="180"/>
      <c r="M303" s="180"/>
    </row>
    <row r="304" spans="10:13" s="1" customFormat="1">
      <c r="J304" s="180"/>
      <c r="K304" s="180"/>
      <c r="L304" s="180"/>
      <c r="M304" s="180"/>
    </row>
    <row r="305" spans="10:13" s="1" customFormat="1">
      <c r="J305" s="180"/>
      <c r="K305" s="180"/>
      <c r="L305" s="180"/>
      <c r="M305" s="180"/>
    </row>
    <row r="306" spans="10:13" s="1" customFormat="1">
      <c r="J306" s="180"/>
      <c r="K306" s="180"/>
      <c r="L306" s="180"/>
      <c r="M306" s="180"/>
    </row>
    <row r="307" spans="10:13" s="1" customFormat="1">
      <c r="J307" s="180"/>
      <c r="K307" s="180"/>
      <c r="L307" s="180"/>
      <c r="M307" s="180"/>
    </row>
    <row r="308" spans="10:13" s="1" customFormat="1">
      <c r="J308" s="180"/>
      <c r="K308" s="180"/>
      <c r="L308" s="180"/>
      <c r="M308" s="180"/>
    </row>
    <row r="309" spans="10:13" s="1" customFormat="1">
      <c r="J309" s="180"/>
      <c r="K309" s="180"/>
      <c r="L309" s="180"/>
      <c r="M309" s="180"/>
    </row>
    <row r="310" spans="10:13" s="1" customFormat="1">
      <c r="J310" s="180"/>
      <c r="K310" s="180"/>
      <c r="L310" s="180"/>
      <c r="M310" s="180"/>
    </row>
    <row r="311" spans="10:13" s="1" customFormat="1">
      <c r="J311" s="180"/>
      <c r="K311" s="180"/>
      <c r="L311" s="180"/>
      <c r="M311" s="180"/>
    </row>
    <row r="312" spans="10:13" s="1" customFormat="1">
      <c r="J312" s="180"/>
      <c r="K312" s="180"/>
      <c r="L312" s="180"/>
      <c r="M312" s="180"/>
    </row>
    <row r="313" spans="10:13" s="1" customFormat="1">
      <c r="J313" s="180"/>
      <c r="K313" s="180"/>
      <c r="L313" s="180"/>
      <c r="M313" s="180"/>
    </row>
    <row r="314" spans="10:13" s="1" customFormat="1">
      <c r="J314" s="180"/>
      <c r="K314" s="180"/>
      <c r="L314" s="180"/>
      <c r="M314" s="180"/>
    </row>
    <row r="315" spans="10:13" s="1" customFormat="1">
      <c r="J315" s="180"/>
      <c r="K315" s="180"/>
      <c r="L315" s="180"/>
      <c r="M315" s="180"/>
    </row>
    <row r="316" spans="10:13" s="1" customFormat="1">
      <c r="J316" s="180"/>
      <c r="K316" s="180"/>
      <c r="L316" s="180"/>
      <c r="M316" s="180"/>
    </row>
    <row r="317" spans="10:13" s="1" customFormat="1">
      <c r="J317" s="180"/>
      <c r="K317" s="180"/>
      <c r="L317" s="180"/>
      <c r="M317" s="180"/>
    </row>
    <row r="318" spans="10:13" s="1" customFormat="1">
      <c r="J318" s="180"/>
      <c r="K318" s="180"/>
      <c r="L318" s="180"/>
      <c r="M318" s="180"/>
    </row>
    <row r="319" spans="10:13" s="1" customFormat="1">
      <c r="J319" s="180"/>
      <c r="K319" s="180"/>
      <c r="L319" s="180"/>
      <c r="M319" s="180"/>
    </row>
    <row r="320" spans="10:13" s="1" customFormat="1">
      <c r="J320" s="180"/>
      <c r="K320" s="180"/>
      <c r="L320" s="180"/>
      <c r="M320" s="180"/>
    </row>
    <row r="321" spans="10:13" s="1" customFormat="1">
      <c r="J321" s="180"/>
      <c r="K321" s="180"/>
      <c r="L321" s="180"/>
      <c r="M321" s="180"/>
    </row>
    <row r="322" spans="10:13" s="1" customFormat="1">
      <c r="J322" s="180"/>
      <c r="K322" s="180"/>
      <c r="L322" s="180"/>
      <c r="M322" s="180"/>
    </row>
    <row r="323" spans="10:13" s="1" customFormat="1">
      <c r="J323" s="180"/>
      <c r="K323" s="180"/>
      <c r="L323" s="180"/>
      <c r="M323" s="180"/>
    </row>
    <row r="324" spans="10:13" s="1" customFormat="1">
      <c r="J324" s="180"/>
      <c r="K324" s="180"/>
      <c r="L324" s="180"/>
      <c r="M324" s="180"/>
    </row>
    <row r="325" spans="10:13" s="1" customFormat="1">
      <c r="J325" s="180"/>
      <c r="K325" s="180"/>
      <c r="L325" s="180"/>
      <c r="M325" s="180"/>
    </row>
    <row r="326" spans="10:13" s="1" customFormat="1">
      <c r="J326" s="180"/>
      <c r="K326" s="180"/>
      <c r="L326" s="180"/>
      <c r="M326" s="180"/>
    </row>
    <row r="327" spans="10:13" s="1" customFormat="1">
      <c r="J327" s="180"/>
      <c r="K327" s="180"/>
      <c r="L327" s="180"/>
      <c r="M327" s="180"/>
    </row>
    <row r="328" spans="10:13" s="1" customFormat="1">
      <c r="J328" s="180"/>
      <c r="K328" s="180"/>
      <c r="L328" s="180"/>
      <c r="M328" s="180"/>
    </row>
    <row r="329" spans="10:13" s="1" customFormat="1">
      <c r="J329" s="180"/>
      <c r="K329" s="180"/>
      <c r="L329" s="180"/>
      <c r="M329" s="180"/>
    </row>
    <row r="330" spans="10:13" s="1" customFormat="1">
      <c r="J330" s="180"/>
      <c r="K330" s="180"/>
      <c r="L330" s="180"/>
      <c r="M330" s="180"/>
    </row>
    <row r="331" spans="10:13" s="1" customFormat="1">
      <c r="J331" s="180"/>
      <c r="K331" s="180"/>
      <c r="L331" s="180"/>
      <c r="M331" s="180"/>
    </row>
    <row r="332" spans="10:13" s="1" customFormat="1">
      <c r="J332" s="180"/>
      <c r="K332" s="180"/>
      <c r="L332" s="180"/>
      <c r="M332" s="180"/>
    </row>
    <row r="333" spans="10:13" s="1" customFormat="1">
      <c r="J333" s="180"/>
      <c r="K333" s="180"/>
      <c r="L333" s="180"/>
      <c r="M333" s="180"/>
    </row>
    <row r="334" spans="10:13" s="1" customFormat="1">
      <c r="J334" s="180"/>
      <c r="K334" s="180"/>
      <c r="L334" s="180"/>
      <c r="M334" s="180"/>
    </row>
    <row r="335" spans="10:13" s="1" customFormat="1">
      <c r="J335" s="180"/>
      <c r="K335" s="180"/>
      <c r="L335" s="180"/>
      <c r="M335" s="180"/>
    </row>
    <row r="336" spans="10:13" s="1" customFormat="1">
      <c r="J336" s="180"/>
      <c r="K336" s="180"/>
      <c r="L336" s="180"/>
      <c r="M336" s="180"/>
    </row>
    <row r="337" spans="10:13" s="1" customFormat="1">
      <c r="J337" s="180"/>
      <c r="K337" s="180"/>
      <c r="L337" s="180"/>
      <c r="M337" s="180"/>
    </row>
    <row r="338" spans="10:13" s="1" customFormat="1">
      <c r="J338" s="180"/>
      <c r="K338" s="180"/>
      <c r="L338" s="180"/>
      <c r="M338" s="180"/>
    </row>
    <row r="339" spans="10:13" s="1" customFormat="1">
      <c r="J339" s="180"/>
      <c r="K339" s="180"/>
      <c r="L339" s="180"/>
      <c r="M339" s="180"/>
    </row>
    <row r="340" spans="10:13" s="1" customFormat="1">
      <c r="J340" s="180"/>
      <c r="K340" s="180"/>
      <c r="L340" s="180"/>
      <c r="M340" s="180"/>
    </row>
    <row r="341" spans="10:13" s="1" customFormat="1">
      <c r="J341" s="180"/>
      <c r="K341" s="180"/>
      <c r="L341" s="180"/>
      <c r="M341" s="180"/>
    </row>
    <row r="342" spans="10:13" s="1" customFormat="1">
      <c r="J342" s="180"/>
      <c r="K342" s="180"/>
      <c r="L342" s="180"/>
      <c r="M342" s="180"/>
    </row>
    <row r="343" spans="10:13" s="1" customFormat="1">
      <c r="J343" s="180"/>
      <c r="K343" s="180"/>
      <c r="L343" s="180"/>
      <c r="M343" s="180"/>
    </row>
    <row r="344" spans="10:13" s="1" customFormat="1">
      <c r="J344" s="180"/>
      <c r="K344" s="180"/>
      <c r="L344" s="180"/>
      <c r="M344" s="180"/>
    </row>
    <row r="345" spans="10:13" s="1" customFormat="1">
      <c r="J345" s="180"/>
      <c r="K345" s="180"/>
      <c r="L345" s="180"/>
      <c r="M345" s="180"/>
    </row>
    <row r="346" spans="10:13" s="1" customFormat="1">
      <c r="J346" s="180"/>
      <c r="K346" s="180"/>
      <c r="L346" s="180"/>
      <c r="M346" s="180"/>
    </row>
    <row r="347" spans="10:13" s="1" customFormat="1">
      <c r="J347" s="180"/>
      <c r="K347" s="180"/>
      <c r="L347" s="180"/>
      <c r="M347" s="180"/>
    </row>
    <row r="348" spans="10:13" s="1" customFormat="1">
      <c r="J348" s="180"/>
      <c r="K348" s="180"/>
      <c r="L348" s="180"/>
      <c r="M348" s="180"/>
    </row>
    <row r="349" spans="10:13" s="1" customFormat="1">
      <c r="J349" s="180"/>
      <c r="K349" s="180"/>
      <c r="L349" s="180"/>
      <c r="M349" s="180"/>
    </row>
    <row r="350" spans="10:13" s="1" customFormat="1">
      <c r="J350" s="180"/>
      <c r="K350" s="180"/>
      <c r="L350" s="180"/>
      <c r="M350" s="180"/>
    </row>
    <row r="351" spans="10:13" s="1" customFormat="1">
      <c r="J351" s="180"/>
      <c r="K351" s="180"/>
      <c r="L351" s="180"/>
      <c r="M351" s="180"/>
    </row>
    <row r="352" spans="10:13" s="1" customFormat="1">
      <c r="J352" s="180"/>
      <c r="K352" s="180"/>
      <c r="L352" s="180"/>
      <c r="M352" s="180"/>
    </row>
    <row r="353" spans="10:13" s="1" customFormat="1">
      <c r="J353" s="180"/>
      <c r="K353" s="180"/>
      <c r="L353" s="180"/>
      <c r="M353" s="180"/>
    </row>
    <row r="354" spans="10:13" s="1" customFormat="1">
      <c r="J354" s="180"/>
      <c r="K354" s="180"/>
      <c r="L354" s="180"/>
      <c r="M354" s="180"/>
    </row>
    <row r="355" spans="10:13" s="1" customFormat="1">
      <c r="J355" s="180"/>
      <c r="K355" s="180"/>
      <c r="L355" s="180"/>
      <c r="M355" s="180"/>
    </row>
    <row r="356" spans="10:13" s="1" customFormat="1">
      <c r="J356" s="180"/>
      <c r="K356" s="180"/>
      <c r="L356" s="180"/>
      <c r="M356" s="180"/>
    </row>
    <row r="357" spans="10:13" s="1" customFormat="1">
      <c r="J357" s="180"/>
      <c r="K357" s="180"/>
      <c r="L357" s="180"/>
      <c r="M357" s="180"/>
    </row>
    <row r="358" spans="10:13" s="1" customFormat="1">
      <c r="J358" s="180"/>
      <c r="K358" s="180"/>
      <c r="L358" s="180"/>
      <c r="M358" s="180"/>
    </row>
    <row r="359" spans="10:13" s="1" customFormat="1">
      <c r="J359" s="180"/>
      <c r="K359" s="180"/>
      <c r="L359" s="180"/>
      <c r="M359" s="180"/>
    </row>
    <row r="360" spans="10:13" s="1" customFormat="1">
      <c r="J360" s="180"/>
      <c r="K360" s="180"/>
      <c r="L360" s="180"/>
      <c r="M360" s="180"/>
    </row>
    <row r="361" spans="10:13" s="1" customFormat="1">
      <c r="J361" s="180"/>
      <c r="K361" s="180"/>
      <c r="L361" s="180"/>
      <c r="M361" s="180"/>
    </row>
    <row r="362" spans="10:13" s="1" customFormat="1">
      <c r="J362" s="180"/>
      <c r="K362" s="180"/>
      <c r="L362" s="180"/>
      <c r="M362" s="180"/>
    </row>
    <row r="363" spans="10:13" s="1" customFormat="1">
      <c r="J363" s="180"/>
      <c r="K363" s="180"/>
      <c r="L363" s="180"/>
      <c r="M363" s="180"/>
    </row>
    <row r="364" spans="10:13" s="1" customFormat="1">
      <c r="J364" s="180"/>
      <c r="K364" s="180"/>
      <c r="L364" s="180"/>
      <c r="M364" s="180"/>
    </row>
    <row r="365" spans="10:13" s="1" customFormat="1">
      <c r="J365" s="180"/>
      <c r="K365" s="180"/>
      <c r="L365" s="180"/>
      <c r="M365" s="180"/>
    </row>
    <row r="366" spans="10:13" s="1" customFormat="1">
      <c r="J366" s="180"/>
      <c r="K366" s="180"/>
      <c r="L366" s="180"/>
      <c r="M366" s="180"/>
    </row>
    <row r="367" spans="10:13" s="1" customFormat="1">
      <c r="J367" s="180"/>
      <c r="K367" s="180"/>
      <c r="L367" s="180"/>
      <c r="M367" s="180"/>
    </row>
    <row r="368" spans="10:13" s="1" customFormat="1">
      <c r="J368" s="180"/>
      <c r="K368" s="180"/>
      <c r="L368" s="180"/>
      <c r="M368" s="180"/>
    </row>
    <row r="369" spans="10:13" s="1" customFormat="1">
      <c r="J369" s="180"/>
      <c r="K369" s="180"/>
      <c r="L369" s="180"/>
      <c r="M369" s="180"/>
    </row>
    <row r="370" spans="10:13" s="1" customFormat="1">
      <c r="J370" s="180"/>
      <c r="K370" s="180"/>
      <c r="L370" s="180"/>
      <c r="M370" s="180"/>
    </row>
    <row r="371" spans="10:13" s="1" customFormat="1">
      <c r="J371" s="180"/>
      <c r="K371" s="180"/>
      <c r="L371" s="180"/>
      <c r="M371" s="180"/>
    </row>
    <row r="372" spans="10:13" s="1" customFormat="1">
      <c r="J372" s="180"/>
      <c r="K372" s="180"/>
      <c r="L372" s="180"/>
      <c r="M372" s="180"/>
    </row>
    <row r="373" spans="10:13" s="1" customFormat="1">
      <c r="J373" s="180"/>
      <c r="K373" s="180"/>
      <c r="L373" s="180"/>
      <c r="M373" s="180"/>
    </row>
    <row r="374" spans="10:13" s="1" customFormat="1">
      <c r="J374" s="180"/>
      <c r="K374" s="180"/>
      <c r="L374" s="180"/>
      <c r="M374" s="180"/>
    </row>
    <row r="375" spans="10:13" s="1" customFormat="1">
      <c r="J375" s="180"/>
      <c r="K375" s="180"/>
      <c r="L375" s="180"/>
      <c r="M375" s="180"/>
    </row>
    <row r="376" spans="10:13" s="1" customFormat="1">
      <c r="J376" s="180"/>
      <c r="K376" s="180"/>
      <c r="L376" s="180"/>
      <c r="M376" s="180"/>
    </row>
    <row r="377" spans="10:13" s="1" customFormat="1">
      <c r="J377" s="180"/>
      <c r="K377" s="180"/>
      <c r="L377" s="180"/>
      <c r="M377" s="180"/>
    </row>
    <row r="378" spans="10:13" s="1" customFormat="1">
      <c r="J378" s="180"/>
      <c r="K378" s="180"/>
      <c r="L378" s="180"/>
      <c r="M378" s="180"/>
    </row>
    <row r="379" spans="10:13" s="1" customFormat="1">
      <c r="J379" s="180"/>
      <c r="K379" s="180"/>
      <c r="L379" s="180"/>
      <c r="M379" s="180"/>
    </row>
    <row r="380" spans="10:13" s="1" customFormat="1">
      <c r="J380" s="180"/>
      <c r="K380" s="180"/>
      <c r="L380" s="180"/>
      <c r="M380" s="180"/>
    </row>
    <row r="381" spans="10:13" s="1" customFormat="1">
      <c r="J381" s="180"/>
      <c r="K381" s="180"/>
      <c r="L381" s="180"/>
      <c r="M381" s="180"/>
    </row>
    <row r="382" spans="10:13" s="1" customFormat="1">
      <c r="J382" s="180"/>
      <c r="K382" s="180"/>
      <c r="L382" s="180"/>
      <c r="M382" s="180"/>
    </row>
    <row r="383" spans="10:13" s="1" customFormat="1">
      <c r="J383" s="180"/>
      <c r="K383" s="180"/>
      <c r="L383" s="180"/>
      <c r="M383" s="180"/>
    </row>
    <row r="384" spans="10:13" s="1" customFormat="1">
      <c r="J384" s="180"/>
      <c r="K384" s="180"/>
      <c r="L384" s="180"/>
      <c r="M384" s="180"/>
    </row>
    <row r="385" spans="10:13" s="1" customFormat="1">
      <c r="J385" s="180"/>
      <c r="K385" s="180"/>
      <c r="L385" s="180"/>
      <c r="M385" s="180"/>
    </row>
    <row r="386" spans="10:13" s="1" customFormat="1">
      <c r="J386" s="180"/>
      <c r="K386" s="180"/>
      <c r="L386" s="180"/>
      <c r="M386" s="180"/>
    </row>
    <row r="387" spans="10:13" s="1" customFormat="1">
      <c r="J387" s="180"/>
      <c r="K387" s="180"/>
      <c r="L387" s="180"/>
      <c r="M387" s="180"/>
    </row>
    <row r="388" spans="10:13" s="1" customFormat="1">
      <c r="J388" s="180"/>
      <c r="K388" s="180"/>
      <c r="L388" s="180"/>
      <c r="M388" s="180"/>
    </row>
    <row r="389" spans="10:13" s="1" customFormat="1">
      <c r="J389" s="180"/>
      <c r="K389" s="180"/>
      <c r="L389" s="180"/>
      <c r="M389" s="180"/>
    </row>
    <row r="390" spans="10:13" s="1" customFormat="1">
      <c r="J390" s="180"/>
      <c r="K390" s="180"/>
      <c r="L390" s="180"/>
      <c r="M390" s="180"/>
    </row>
    <row r="391" spans="10:13" s="1" customFormat="1">
      <c r="J391" s="180"/>
      <c r="K391" s="180"/>
      <c r="L391" s="180"/>
      <c r="M391" s="180"/>
    </row>
    <row r="392" spans="10:13" s="1" customFormat="1">
      <c r="J392" s="180"/>
      <c r="K392" s="180"/>
      <c r="L392" s="180"/>
      <c r="M392" s="180"/>
    </row>
    <row r="393" spans="10:13" s="1" customFormat="1">
      <c r="J393" s="180"/>
      <c r="K393" s="180"/>
      <c r="L393" s="180"/>
      <c r="M393" s="180"/>
    </row>
    <row r="394" spans="10:13" s="1" customFormat="1">
      <c r="J394" s="180"/>
      <c r="K394" s="180"/>
      <c r="L394" s="180"/>
      <c r="M394" s="180"/>
    </row>
    <row r="395" spans="10:13" s="1" customFormat="1">
      <c r="J395" s="180"/>
      <c r="K395" s="180"/>
      <c r="L395" s="180"/>
      <c r="M395" s="180"/>
    </row>
    <row r="396" spans="10:13" s="1" customFormat="1">
      <c r="J396" s="180"/>
      <c r="K396" s="180"/>
      <c r="L396" s="180"/>
      <c r="M396" s="180"/>
    </row>
    <row r="397" spans="10:13" s="1" customFormat="1">
      <c r="J397" s="180"/>
      <c r="K397" s="180"/>
      <c r="L397" s="180"/>
      <c r="M397" s="180"/>
    </row>
    <row r="398" spans="10:13" s="1" customFormat="1">
      <c r="J398" s="180"/>
      <c r="K398" s="180"/>
      <c r="L398" s="180"/>
      <c r="M398" s="180"/>
    </row>
    <row r="399" spans="10:13" s="1" customFormat="1">
      <c r="J399" s="180"/>
      <c r="K399" s="180"/>
      <c r="L399" s="180"/>
      <c r="M399" s="180"/>
    </row>
    <row r="400" spans="10:13" s="1" customFormat="1">
      <c r="J400" s="180"/>
      <c r="K400" s="180"/>
      <c r="L400" s="180"/>
      <c r="M400" s="180"/>
    </row>
    <row r="401" spans="10:13" s="1" customFormat="1">
      <c r="J401" s="180"/>
      <c r="K401" s="180"/>
      <c r="L401" s="180"/>
      <c r="M401" s="180"/>
    </row>
    <row r="402" spans="10:13" s="1" customFormat="1">
      <c r="J402" s="180"/>
      <c r="K402" s="180"/>
      <c r="L402" s="180"/>
      <c r="M402" s="180"/>
    </row>
    <row r="403" spans="10:13" s="1" customFormat="1">
      <c r="J403" s="180"/>
      <c r="K403" s="180"/>
      <c r="L403" s="180"/>
      <c r="M403" s="180"/>
    </row>
    <row r="404" spans="10:13" s="1" customFormat="1">
      <c r="J404" s="180"/>
      <c r="K404" s="180"/>
      <c r="L404" s="180"/>
      <c r="M404" s="180"/>
    </row>
    <row r="405" spans="10:13" s="1" customFormat="1">
      <c r="J405" s="180"/>
      <c r="K405" s="180"/>
      <c r="L405" s="180"/>
      <c r="M405" s="180"/>
    </row>
    <row r="406" spans="10:13" s="1" customFormat="1">
      <c r="J406" s="180"/>
      <c r="K406" s="180"/>
      <c r="L406" s="180"/>
      <c r="M406" s="180"/>
    </row>
    <row r="407" spans="10:13" s="1" customFormat="1">
      <c r="J407" s="180"/>
      <c r="K407" s="180"/>
      <c r="L407" s="180"/>
      <c r="M407" s="180"/>
    </row>
    <row r="408" spans="10:13" s="1" customFormat="1">
      <c r="J408" s="180"/>
      <c r="K408" s="180"/>
      <c r="L408" s="180"/>
      <c r="M408" s="180"/>
    </row>
    <row r="409" spans="10:13" s="1" customFormat="1">
      <c r="J409" s="180"/>
      <c r="K409" s="180"/>
      <c r="L409" s="180"/>
      <c r="M409" s="180"/>
    </row>
    <row r="410" spans="10:13" s="1" customFormat="1">
      <c r="J410" s="180"/>
      <c r="K410" s="180"/>
      <c r="L410" s="180"/>
      <c r="M410" s="180"/>
    </row>
    <row r="411" spans="10:13" s="1" customFormat="1">
      <c r="J411" s="180"/>
      <c r="K411" s="180"/>
      <c r="L411" s="180"/>
      <c r="M411" s="180"/>
    </row>
    <row r="412" spans="10:13" s="1" customFormat="1">
      <c r="J412" s="180"/>
      <c r="K412" s="180"/>
      <c r="L412" s="180"/>
      <c r="M412" s="180"/>
    </row>
    <row r="413" spans="10:13" s="1" customFormat="1">
      <c r="J413" s="180"/>
      <c r="K413" s="180"/>
      <c r="L413" s="180"/>
      <c r="M413" s="180"/>
    </row>
    <row r="414" spans="10:13" s="1" customFormat="1">
      <c r="J414" s="180"/>
      <c r="K414" s="180"/>
      <c r="L414" s="180"/>
      <c r="M414" s="180"/>
    </row>
    <row r="415" spans="10:13" s="1" customFormat="1">
      <c r="J415" s="180"/>
      <c r="K415" s="180"/>
      <c r="L415" s="180"/>
      <c r="M415" s="180"/>
    </row>
    <row r="416" spans="10:13" s="1" customFormat="1">
      <c r="J416" s="180"/>
      <c r="K416" s="180"/>
      <c r="L416" s="180"/>
      <c r="M416" s="180"/>
    </row>
    <row r="417" spans="10:13" s="1" customFormat="1">
      <c r="J417" s="180"/>
      <c r="K417" s="180"/>
      <c r="L417" s="180"/>
      <c r="M417" s="180"/>
    </row>
    <row r="418" spans="10:13" s="1" customFormat="1">
      <c r="J418" s="180"/>
      <c r="K418" s="180"/>
      <c r="L418" s="180"/>
      <c r="M418" s="180"/>
    </row>
    <row r="419" spans="10:13" s="1" customFormat="1">
      <c r="J419" s="180"/>
      <c r="K419" s="180"/>
      <c r="L419" s="180"/>
      <c r="M419" s="180"/>
    </row>
    <row r="420" spans="10:13" s="1" customFormat="1">
      <c r="J420" s="180"/>
      <c r="K420" s="180"/>
      <c r="L420" s="180"/>
      <c r="M420" s="180"/>
    </row>
    <row r="421" spans="10:13" s="1" customFormat="1">
      <c r="J421" s="180"/>
      <c r="K421" s="180"/>
      <c r="L421" s="180"/>
      <c r="M421" s="180"/>
    </row>
    <row r="422" spans="10:13" s="1" customFormat="1">
      <c r="J422" s="180"/>
      <c r="K422" s="180"/>
      <c r="L422" s="180"/>
      <c r="M422" s="180"/>
    </row>
    <row r="423" spans="10:13" s="1" customFormat="1">
      <c r="J423" s="180"/>
      <c r="K423" s="180"/>
      <c r="L423" s="180"/>
      <c r="M423" s="180"/>
    </row>
    <row r="424" spans="10:13" s="1" customFormat="1">
      <c r="J424" s="180"/>
      <c r="K424" s="180"/>
      <c r="L424" s="180"/>
      <c r="M424" s="180"/>
    </row>
    <row r="425" spans="10:13" s="1" customFormat="1">
      <c r="J425" s="180"/>
      <c r="K425" s="180"/>
      <c r="L425" s="180"/>
      <c r="M425" s="180"/>
    </row>
    <row r="426" spans="10:13" s="1" customFormat="1">
      <c r="J426" s="180"/>
      <c r="K426" s="180"/>
      <c r="L426" s="180"/>
      <c r="M426" s="180"/>
    </row>
    <row r="427" spans="10:13" s="1" customFormat="1">
      <c r="J427" s="180"/>
      <c r="K427" s="180"/>
      <c r="L427" s="180"/>
      <c r="M427" s="180"/>
    </row>
    <row r="428" spans="10:13" s="1" customFormat="1">
      <c r="J428" s="180"/>
      <c r="K428" s="180"/>
      <c r="L428" s="180"/>
      <c r="M428" s="180"/>
    </row>
    <row r="429" spans="10:13" s="1" customFormat="1">
      <c r="J429" s="180"/>
      <c r="K429" s="180"/>
      <c r="L429" s="180"/>
      <c r="M429" s="180"/>
    </row>
    <row r="430" spans="10:13" s="1" customFormat="1">
      <c r="J430" s="180"/>
      <c r="K430" s="180"/>
      <c r="L430" s="180"/>
      <c r="M430" s="180"/>
    </row>
    <row r="431" spans="10:13" s="1" customFormat="1">
      <c r="J431" s="180"/>
      <c r="K431" s="180"/>
      <c r="L431" s="180"/>
      <c r="M431" s="180"/>
    </row>
    <row r="432" spans="10:13" s="1" customFormat="1">
      <c r="J432" s="180"/>
      <c r="K432" s="180"/>
      <c r="L432" s="180"/>
      <c r="M432" s="180"/>
    </row>
    <row r="433" spans="10:13" s="1" customFormat="1">
      <c r="J433" s="180"/>
      <c r="K433" s="180"/>
      <c r="L433" s="180"/>
      <c r="M433" s="180"/>
    </row>
    <row r="434" spans="10:13" s="1" customFormat="1">
      <c r="J434" s="180"/>
      <c r="K434" s="180"/>
      <c r="L434" s="180"/>
      <c r="M434" s="180"/>
    </row>
    <row r="435" spans="10:13" s="1" customFormat="1">
      <c r="J435" s="180"/>
      <c r="K435" s="180"/>
      <c r="L435" s="180"/>
      <c r="M435" s="180"/>
    </row>
    <row r="436" spans="10:13" s="1" customFormat="1">
      <c r="J436" s="180"/>
      <c r="K436" s="180"/>
      <c r="L436" s="180"/>
      <c r="M436" s="180"/>
    </row>
    <row r="437" spans="10:13" s="1" customFormat="1">
      <c r="J437" s="180"/>
      <c r="K437" s="180"/>
      <c r="L437" s="180"/>
      <c r="M437" s="180"/>
    </row>
    <row r="438" spans="10:13" s="1" customFormat="1">
      <c r="J438" s="180"/>
      <c r="K438" s="180"/>
      <c r="L438" s="180"/>
      <c r="M438" s="180"/>
    </row>
    <row r="439" spans="10:13" s="1" customFormat="1">
      <c r="J439" s="180"/>
      <c r="K439" s="180"/>
      <c r="L439" s="180"/>
      <c r="M439" s="180"/>
    </row>
    <row r="440" spans="10:13" s="1" customFormat="1">
      <c r="J440" s="180"/>
      <c r="K440" s="180"/>
      <c r="L440" s="180"/>
      <c r="M440" s="180"/>
    </row>
    <row r="441" spans="10:13" s="1" customFormat="1">
      <c r="J441" s="180"/>
      <c r="K441" s="180"/>
      <c r="L441" s="180"/>
      <c r="M441" s="180"/>
    </row>
    <row r="442" spans="10:13" s="1" customFormat="1">
      <c r="J442" s="180"/>
      <c r="K442" s="180"/>
      <c r="L442" s="180"/>
      <c r="M442" s="180"/>
    </row>
    <row r="443" spans="10:13" s="1" customFormat="1">
      <c r="J443" s="180"/>
      <c r="K443" s="180"/>
      <c r="L443" s="180"/>
      <c r="M443" s="180"/>
    </row>
    <row r="444" spans="10:13" s="1" customFormat="1">
      <c r="J444" s="180"/>
      <c r="K444" s="180"/>
      <c r="L444" s="180"/>
      <c r="M444" s="180"/>
    </row>
    <row r="445" spans="10:13" s="1" customFormat="1">
      <c r="J445" s="180"/>
      <c r="K445" s="180"/>
      <c r="L445" s="180"/>
      <c r="M445" s="180"/>
    </row>
    <row r="446" spans="10:13" s="1" customFormat="1">
      <c r="J446" s="180"/>
      <c r="K446" s="180"/>
      <c r="L446" s="180"/>
      <c r="M446" s="180"/>
    </row>
    <row r="447" spans="10:13" s="1" customFormat="1">
      <c r="J447" s="180"/>
      <c r="K447" s="180"/>
      <c r="L447" s="180"/>
      <c r="M447" s="180"/>
    </row>
    <row r="448" spans="10:13" s="1" customFormat="1">
      <c r="J448" s="180"/>
      <c r="K448" s="180"/>
      <c r="L448" s="180"/>
      <c r="M448" s="180"/>
    </row>
    <row r="449" spans="10:13" s="1" customFormat="1">
      <c r="J449" s="180"/>
      <c r="K449" s="180"/>
      <c r="L449" s="180"/>
      <c r="M449" s="180"/>
    </row>
    <row r="450" spans="10:13" s="1" customFormat="1">
      <c r="J450" s="180"/>
      <c r="K450" s="180"/>
      <c r="L450" s="180"/>
      <c r="M450" s="180"/>
    </row>
    <row r="451" spans="10:13" s="1" customFormat="1">
      <c r="J451" s="180"/>
      <c r="K451" s="180"/>
      <c r="L451" s="180"/>
      <c r="M451" s="180"/>
    </row>
    <row r="452" spans="10:13" s="1" customFormat="1">
      <c r="J452" s="180"/>
      <c r="K452" s="180"/>
      <c r="L452" s="180"/>
      <c r="M452" s="180"/>
    </row>
    <row r="453" spans="10:13" s="1" customFormat="1">
      <c r="J453" s="180"/>
      <c r="K453" s="180"/>
      <c r="L453" s="180"/>
      <c r="M453" s="180"/>
    </row>
    <row r="454" spans="10:13" s="1" customFormat="1">
      <c r="J454" s="180"/>
      <c r="K454" s="180"/>
      <c r="L454" s="180"/>
      <c r="M454" s="180"/>
    </row>
    <row r="455" spans="10:13" s="1" customFormat="1">
      <c r="J455" s="180"/>
      <c r="K455" s="180"/>
      <c r="L455" s="180"/>
      <c r="M455" s="180"/>
    </row>
    <row r="456" spans="10:13" s="1" customFormat="1">
      <c r="J456" s="180"/>
      <c r="K456" s="180"/>
      <c r="L456" s="180"/>
      <c r="M456" s="180"/>
    </row>
    <row r="457" spans="10:13" s="1" customFormat="1">
      <c r="J457" s="180"/>
      <c r="K457" s="180"/>
      <c r="L457" s="180"/>
      <c r="M457" s="180"/>
    </row>
    <row r="458" spans="10:13" s="1" customFormat="1">
      <c r="J458" s="180"/>
      <c r="K458" s="180"/>
      <c r="L458" s="180"/>
      <c r="M458" s="180"/>
    </row>
    <row r="459" spans="10:13" s="1" customFormat="1">
      <c r="J459" s="180"/>
      <c r="K459" s="180"/>
      <c r="L459" s="180"/>
      <c r="M459" s="180"/>
    </row>
    <row r="460" spans="10:13" s="1" customFormat="1">
      <c r="J460" s="180"/>
      <c r="K460" s="180"/>
      <c r="L460" s="180"/>
      <c r="M460" s="180"/>
    </row>
    <row r="461" spans="10:13" s="1" customFormat="1">
      <c r="J461" s="180"/>
      <c r="K461" s="180"/>
      <c r="L461" s="180"/>
      <c r="M461" s="180"/>
    </row>
    <row r="462" spans="10:13" s="1" customFormat="1">
      <c r="J462" s="180"/>
      <c r="K462" s="180"/>
      <c r="L462" s="180"/>
      <c r="M462" s="180"/>
    </row>
    <row r="463" spans="10:13" s="1" customFormat="1">
      <c r="J463" s="180"/>
      <c r="K463" s="180"/>
      <c r="L463" s="180"/>
      <c r="M463" s="180"/>
    </row>
    <row r="464" spans="10:13" s="1" customFormat="1">
      <c r="J464" s="180"/>
      <c r="K464" s="180"/>
      <c r="L464" s="180"/>
      <c r="M464" s="180"/>
    </row>
    <row r="465" spans="10:13" s="1" customFormat="1">
      <c r="J465" s="180"/>
      <c r="K465" s="180"/>
      <c r="L465" s="180"/>
      <c r="M465" s="180"/>
    </row>
    <row r="466" spans="10:13" s="1" customFormat="1">
      <c r="J466" s="180"/>
      <c r="K466" s="180"/>
      <c r="L466" s="180"/>
      <c r="M466" s="180"/>
    </row>
    <row r="467" spans="10:13" s="1" customFormat="1">
      <c r="J467" s="180"/>
      <c r="K467" s="180"/>
      <c r="L467" s="180"/>
      <c r="M467" s="180"/>
    </row>
    <row r="468" spans="10:13" s="1" customFormat="1">
      <c r="J468" s="180"/>
      <c r="K468" s="180"/>
      <c r="L468" s="180"/>
      <c r="M468" s="180"/>
    </row>
    <row r="469" spans="10:13" s="1" customFormat="1">
      <c r="J469" s="180"/>
      <c r="K469" s="180"/>
      <c r="L469" s="180"/>
      <c r="M469" s="180"/>
    </row>
    <row r="470" spans="10:13" s="1" customFormat="1">
      <c r="J470" s="180"/>
      <c r="K470" s="180"/>
      <c r="L470" s="180"/>
      <c r="M470" s="180"/>
    </row>
    <row r="471" spans="10:13" s="1" customFormat="1">
      <c r="J471" s="180"/>
      <c r="K471" s="180"/>
      <c r="L471" s="180"/>
      <c r="M471" s="180"/>
    </row>
    <row r="472" spans="10:13" s="1" customFormat="1">
      <c r="J472" s="180"/>
      <c r="K472" s="180"/>
      <c r="L472" s="180"/>
      <c r="M472" s="180"/>
    </row>
    <row r="473" spans="10:13" s="1" customFormat="1">
      <c r="J473" s="180"/>
      <c r="K473" s="180"/>
      <c r="L473" s="180"/>
      <c r="M473" s="180"/>
    </row>
    <row r="474" spans="10:13" s="1" customFormat="1">
      <c r="J474" s="180"/>
      <c r="K474" s="180"/>
      <c r="L474" s="180"/>
      <c r="M474" s="180"/>
    </row>
    <row r="475" spans="10:13" s="1" customFormat="1">
      <c r="J475" s="180"/>
      <c r="K475" s="180"/>
      <c r="L475" s="180"/>
      <c r="M475" s="180"/>
    </row>
    <row r="476" spans="10:13" s="1" customFormat="1">
      <c r="J476" s="180"/>
      <c r="K476" s="180"/>
      <c r="L476" s="180"/>
      <c r="M476" s="180"/>
    </row>
    <row r="477" spans="10:13" s="1" customFormat="1">
      <c r="J477" s="180"/>
      <c r="K477" s="180"/>
      <c r="L477" s="180"/>
      <c r="M477" s="180"/>
    </row>
    <row r="478" spans="10:13" s="1" customFormat="1">
      <c r="J478" s="180"/>
      <c r="K478" s="180"/>
      <c r="L478" s="180"/>
      <c r="M478" s="180"/>
    </row>
    <row r="479" spans="10:13" s="1" customFormat="1">
      <c r="J479" s="180"/>
      <c r="K479" s="180"/>
      <c r="L479" s="180"/>
      <c r="M479" s="180"/>
    </row>
    <row r="480" spans="10:13" s="1" customFormat="1">
      <c r="J480" s="180"/>
      <c r="K480" s="180"/>
      <c r="L480" s="180"/>
      <c r="M480" s="180"/>
    </row>
    <row r="481" spans="10:13" s="1" customFormat="1">
      <c r="J481" s="180"/>
      <c r="K481" s="180"/>
      <c r="L481" s="180"/>
      <c r="M481" s="180"/>
    </row>
    <row r="482" spans="10:13" s="1" customFormat="1">
      <c r="J482" s="180"/>
      <c r="K482" s="180"/>
      <c r="L482" s="180"/>
      <c r="M482" s="180"/>
    </row>
    <row r="483" spans="10:13" s="1" customFormat="1">
      <c r="J483" s="180"/>
      <c r="K483" s="180"/>
      <c r="L483" s="180"/>
      <c r="M483" s="180"/>
    </row>
    <row r="484" spans="10:13" s="1" customFormat="1">
      <c r="J484" s="180"/>
      <c r="K484" s="180"/>
      <c r="L484" s="180"/>
      <c r="M484" s="180"/>
    </row>
    <row r="485" spans="10:13" s="1" customFormat="1">
      <c r="J485" s="180"/>
      <c r="K485" s="180"/>
      <c r="L485" s="180"/>
      <c r="M485" s="180"/>
    </row>
    <row r="486" spans="10:13" s="1" customFormat="1">
      <c r="J486" s="180"/>
      <c r="K486" s="180"/>
      <c r="L486" s="180"/>
      <c r="M486" s="180"/>
    </row>
    <row r="487" spans="10:13" s="1" customFormat="1">
      <c r="J487" s="180"/>
      <c r="K487" s="180"/>
      <c r="L487" s="180"/>
      <c r="M487" s="180"/>
    </row>
    <row r="488" spans="10:13" s="1" customFormat="1">
      <c r="J488" s="180"/>
      <c r="K488" s="180"/>
      <c r="L488" s="180"/>
      <c r="M488" s="180"/>
    </row>
    <row r="489" spans="10:13" s="1" customFormat="1">
      <c r="J489" s="180"/>
      <c r="K489" s="180"/>
      <c r="L489" s="180"/>
      <c r="M489" s="180"/>
    </row>
    <row r="490" spans="10:13" s="1" customFormat="1">
      <c r="J490" s="180"/>
      <c r="K490" s="180"/>
      <c r="L490" s="180"/>
      <c r="M490" s="180"/>
    </row>
    <row r="491" spans="10:13" s="1" customFormat="1">
      <c r="J491" s="180"/>
      <c r="K491" s="180"/>
      <c r="L491" s="180"/>
      <c r="M491" s="180"/>
    </row>
    <row r="492" spans="10:13" s="1" customFormat="1">
      <c r="J492" s="180"/>
      <c r="K492" s="180"/>
      <c r="L492" s="180"/>
      <c r="M492" s="180"/>
    </row>
    <row r="493" spans="10:13" s="1" customFormat="1">
      <c r="J493" s="180"/>
      <c r="K493" s="180"/>
      <c r="L493" s="180"/>
      <c r="M493" s="180"/>
    </row>
    <row r="494" spans="10:13" s="1" customFormat="1">
      <c r="J494" s="180"/>
      <c r="K494" s="180"/>
      <c r="L494" s="180"/>
      <c r="M494" s="180"/>
    </row>
    <row r="495" spans="10:13" s="1" customFormat="1">
      <c r="J495" s="180"/>
      <c r="K495" s="180"/>
      <c r="L495" s="180"/>
      <c r="M495" s="180"/>
    </row>
    <row r="496" spans="10:13" s="1" customFormat="1">
      <c r="J496" s="180"/>
      <c r="K496" s="180"/>
      <c r="L496" s="180"/>
      <c r="M496" s="180"/>
    </row>
    <row r="497" spans="10:13" s="1" customFormat="1">
      <c r="J497" s="180"/>
      <c r="K497" s="180"/>
      <c r="L497" s="180"/>
      <c r="M497" s="180"/>
    </row>
    <row r="498" spans="10:13" s="1" customFormat="1">
      <c r="J498" s="180"/>
      <c r="K498" s="180"/>
      <c r="L498" s="180"/>
      <c r="M498" s="180"/>
    </row>
    <row r="499" spans="10:13" s="1" customFormat="1">
      <c r="J499" s="180"/>
      <c r="K499" s="180"/>
      <c r="L499" s="180"/>
      <c r="M499" s="180"/>
    </row>
    <row r="500" spans="10:13" s="1" customFormat="1">
      <c r="J500" s="180"/>
      <c r="K500" s="180"/>
      <c r="L500" s="180"/>
      <c r="M500" s="180"/>
    </row>
    <row r="501" spans="10:13" s="1" customFormat="1">
      <c r="J501" s="180"/>
      <c r="K501" s="180"/>
      <c r="L501" s="180"/>
      <c r="M501" s="180"/>
    </row>
    <row r="502" spans="10:13" s="1" customFormat="1">
      <c r="J502" s="180"/>
      <c r="K502" s="180"/>
      <c r="L502" s="180"/>
      <c r="M502" s="180"/>
    </row>
    <row r="503" spans="10:13" s="1" customFormat="1">
      <c r="J503" s="180"/>
      <c r="K503" s="180"/>
      <c r="L503" s="180"/>
      <c r="M503" s="180"/>
    </row>
    <row r="504" spans="10:13" s="1" customFormat="1">
      <c r="J504" s="180"/>
      <c r="K504" s="180"/>
      <c r="L504" s="180"/>
      <c r="M504" s="180"/>
    </row>
    <row r="505" spans="10:13" s="1" customFormat="1">
      <c r="J505" s="180"/>
      <c r="K505" s="180"/>
      <c r="L505" s="180"/>
      <c r="M505" s="180"/>
    </row>
    <row r="506" spans="10:13" s="1" customFormat="1">
      <c r="J506" s="180"/>
      <c r="K506" s="180"/>
      <c r="L506" s="180"/>
      <c r="M506" s="180"/>
    </row>
    <row r="507" spans="10:13" s="1" customFormat="1">
      <c r="J507" s="180"/>
      <c r="K507" s="180"/>
      <c r="L507" s="180"/>
      <c r="M507" s="180"/>
    </row>
    <row r="508" spans="10:13" s="1" customFormat="1">
      <c r="J508" s="180"/>
      <c r="K508" s="180"/>
      <c r="L508" s="180"/>
      <c r="M508" s="180"/>
    </row>
    <row r="509" spans="10:13" s="1" customFormat="1">
      <c r="J509" s="180"/>
      <c r="K509" s="180"/>
      <c r="L509" s="180"/>
      <c r="M509" s="180"/>
    </row>
    <row r="510" spans="10:13" s="1" customFormat="1">
      <c r="J510" s="180"/>
      <c r="K510" s="180"/>
      <c r="L510" s="180"/>
      <c r="M510" s="180"/>
    </row>
    <row r="511" spans="10:13" s="1" customFormat="1">
      <c r="J511" s="180"/>
      <c r="K511" s="180"/>
      <c r="L511" s="180"/>
      <c r="M511" s="180"/>
    </row>
    <row r="512" spans="10:13" s="1" customFormat="1">
      <c r="J512" s="180"/>
      <c r="K512" s="180"/>
      <c r="L512" s="180"/>
      <c r="M512" s="180"/>
    </row>
    <row r="513" spans="10:13" s="1" customFormat="1">
      <c r="J513" s="180"/>
      <c r="K513" s="180"/>
      <c r="L513" s="180"/>
      <c r="M513" s="180"/>
    </row>
    <row r="514" spans="10:13" s="1" customFormat="1">
      <c r="J514" s="180"/>
      <c r="K514" s="180"/>
      <c r="L514" s="180"/>
      <c r="M514" s="180"/>
    </row>
    <row r="515" spans="10:13" s="1" customFormat="1">
      <c r="J515" s="180"/>
      <c r="K515" s="180"/>
      <c r="L515" s="180"/>
      <c r="M515" s="180"/>
    </row>
    <row r="516" spans="10:13" s="1" customFormat="1">
      <c r="J516" s="180"/>
      <c r="K516" s="180"/>
      <c r="L516" s="180"/>
      <c r="M516" s="180"/>
    </row>
    <row r="517" spans="10:13" s="1" customFormat="1">
      <c r="J517" s="180"/>
      <c r="K517" s="180"/>
      <c r="L517" s="180"/>
      <c r="M517" s="180"/>
    </row>
    <row r="518" spans="10:13" s="1" customFormat="1">
      <c r="J518" s="180"/>
      <c r="K518" s="180"/>
      <c r="L518" s="180"/>
      <c r="M518" s="180"/>
    </row>
    <row r="519" spans="10:13" s="1" customFormat="1">
      <c r="J519" s="180"/>
      <c r="K519" s="180"/>
      <c r="L519" s="180"/>
      <c r="M519" s="180"/>
    </row>
    <row r="520" spans="10:13" s="1" customFormat="1">
      <c r="J520" s="180"/>
      <c r="K520" s="180"/>
      <c r="L520" s="180"/>
      <c r="M520" s="180"/>
    </row>
    <row r="521" spans="10:13" s="1" customFormat="1">
      <c r="J521" s="180"/>
      <c r="K521" s="180"/>
      <c r="L521" s="180"/>
      <c r="M521" s="180"/>
    </row>
    <row r="522" spans="10:13" s="1" customFormat="1">
      <c r="J522" s="180"/>
      <c r="K522" s="180"/>
      <c r="L522" s="180"/>
      <c r="M522" s="180"/>
    </row>
    <row r="523" spans="10:13" s="1" customFormat="1">
      <c r="J523" s="180"/>
      <c r="K523" s="180"/>
      <c r="L523" s="180"/>
      <c r="M523" s="180"/>
    </row>
    <row r="524" spans="10:13" s="1" customFormat="1">
      <c r="J524" s="180"/>
      <c r="K524" s="180"/>
      <c r="L524" s="180"/>
      <c r="M524" s="180"/>
    </row>
    <row r="525" spans="10:13" s="1" customFormat="1">
      <c r="J525" s="180"/>
      <c r="K525" s="180"/>
      <c r="L525" s="180"/>
      <c r="M525" s="180"/>
    </row>
    <row r="526" spans="10:13" s="1" customFormat="1">
      <c r="J526" s="180"/>
      <c r="K526" s="180"/>
      <c r="L526" s="180"/>
      <c r="M526" s="180"/>
    </row>
    <row r="527" spans="10:13" s="1" customFormat="1">
      <c r="J527" s="180"/>
      <c r="K527" s="180"/>
      <c r="L527" s="180"/>
      <c r="M527" s="180"/>
    </row>
    <row r="528" spans="10:13" s="1" customFormat="1">
      <c r="J528" s="180"/>
      <c r="K528" s="180"/>
      <c r="L528" s="180"/>
      <c r="M528" s="180"/>
    </row>
    <row r="529" spans="10:13" s="1" customFormat="1">
      <c r="J529" s="180"/>
      <c r="K529" s="180"/>
      <c r="L529" s="180"/>
      <c r="M529" s="180"/>
    </row>
    <row r="530" spans="10:13" s="1" customFormat="1">
      <c r="J530" s="180"/>
      <c r="K530" s="180"/>
      <c r="L530" s="180"/>
      <c r="M530" s="180"/>
    </row>
    <row r="531" spans="10:13" s="1" customFormat="1">
      <c r="J531" s="180"/>
      <c r="K531" s="180"/>
      <c r="L531" s="180"/>
      <c r="M531" s="180"/>
    </row>
    <row r="532" spans="10:13" s="1" customFormat="1">
      <c r="J532" s="180"/>
      <c r="K532" s="180"/>
      <c r="L532" s="180"/>
      <c r="M532" s="180"/>
    </row>
    <row r="533" spans="10:13" s="1" customFormat="1">
      <c r="J533" s="180"/>
      <c r="K533" s="180"/>
      <c r="L533" s="180"/>
      <c r="M533" s="180"/>
    </row>
    <row r="534" spans="10:13" s="1" customFormat="1">
      <c r="J534" s="180"/>
      <c r="K534" s="180"/>
      <c r="L534" s="180"/>
      <c r="M534" s="180"/>
    </row>
    <row r="535" spans="10:13" s="1" customFormat="1">
      <c r="J535" s="180"/>
      <c r="K535" s="180"/>
      <c r="L535" s="180"/>
      <c r="M535" s="180"/>
    </row>
    <row r="536" spans="10:13" s="1" customFormat="1">
      <c r="J536" s="180"/>
      <c r="K536" s="180"/>
      <c r="L536" s="180"/>
      <c r="M536" s="180"/>
    </row>
    <row r="537" spans="10:13" s="1" customFormat="1">
      <c r="J537" s="180"/>
      <c r="K537" s="180"/>
      <c r="L537" s="180"/>
      <c r="M537" s="180"/>
    </row>
    <row r="538" spans="10:13" s="1" customFormat="1">
      <c r="J538" s="180"/>
      <c r="K538" s="180"/>
      <c r="L538" s="180"/>
      <c r="M538" s="180"/>
    </row>
    <row r="539" spans="10:13" s="1" customFormat="1">
      <c r="J539" s="180"/>
      <c r="K539" s="180"/>
      <c r="L539" s="180"/>
      <c r="M539" s="180"/>
    </row>
    <row r="540" spans="10:13" s="1" customFormat="1">
      <c r="J540" s="180"/>
      <c r="K540" s="180"/>
      <c r="L540" s="180"/>
      <c r="M540" s="180"/>
    </row>
    <row r="541" spans="10:13" s="1" customFormat="1">
      <c r="J541" s="180"/>
      <c r="K541" s="180"/>
      <c r="L541" s="180"/>
      <c r="M541" s="180"/>
    </row>
    <row r="542" spans="10:13" s="1" customFormat="1">
      <c r="J542" s="180"/>
      <c r="K542" s="180"/>
      <c r="L542" s="180"/>
      <c r="M542" s="180"/>
    </row>
    <row r="543" spans="10:13" s="1" customFormat="1">
      <c r="J543" s="180"/>
      <c r="K543" s="180"/>
      <c r="L543" s="180"/>
      <c r="M543" s="180"/>
    </row>
    <row r="544" spans="10:13" s="1" customFormat="1">
      <c r="J544" s="180"/>
      <c r="K544" s="180"/>
      <c r="L544" s="180"/>
      <c r="M544" s="180"/>
    </row>
    <row r="545" spans="10:13" s="1" customFormat="1">
      <c r="J545" s="180"/>
      <c r="K545" s="180"/>
      <c r="L545" s="180"/>
      <c r="M545" s="180"/>
    </row>
    <row r="546" spans="10:13" s="1" customFormat="1">
      <c r="J546" s="180"/>
      <c r="K546" s="180"/>
      <c r="L546" s="180"/>
      <c r="M546" s="180"/>
    </row>
    <row r="547" spans="10:13" s="1" customFormat="1">
      <c r="J547" s="180"/>
      <c r="K547" s="180"/>
      <c r="L547" s="180"/>
      <c r="M547" s="180"/>
    </row>
    <row r="548" spans="10:13" s="1" customFormat="1">
      <c r="J548" s="180"/>
      <c r="K548" s="180"/>
      <c r="L548" s="180"/>
      <c r="M548" s="180"/>
    </row>
    <row r="549" spans="10:13" s="1" customFormat="1">
      <c r="J549" s="180"/>
      <c r="K549" s="180"/>
      <c r="L549" s="180"/>
      <c r="M549" s="180"/>
    </row>
    <row r="550" spans="10:13" s="1" customFormat="1">
      <c r="J550" s="180"/>
      <c r="K550" s="180"/>
      <c r="L550" s="180"/>
      <c r="M550" s="180"/>
    </row>
    <row r="551" spans="10:13" s="1" customFormat="1">
      <c r="J551" s="180"/>
      <c r="K551" s="180"/>
      <c r="L551" s="180"/>
      <c r="M551" s="180"/>
    </row>
    <row r="552" spans="10:13" s="1" customFormat="1">
      <c r="J552" s="180"/>
      <c r="K552" s="180"/>
      <c r="L552" s="180"/>
      <c r="M552" s="180"/>
    </row>
    <row r="553" spans="10:13" s="1" customFormat="1">
      <c r="J553" s="180"/>
      <c r="K553" s="180"/>
      <c r="L553" s="180"/>
      <c r="M553" s="180"/>
    </row>
    <row r="554" spans="10:13" s="1" customFormat="1">
      <c r="J554" s="180"/>
      <c r="K554" s="180"/>
      <c r="L554" s="180"/>
      <c r="M554" s="180"/>
    </row>
    <row r="555" spans="10:13" s="1" customFormat="1">
      <c r="J555" s="180"/>
      <c r="K555" s="180"/>
      <c r="L555" s="180"/>
      <c r="M555" s="180"/>
    </row>
    <row r="556" spans="10:13" s="1" customFormat="1">
      <c r="J556" s="180"/>
      <c r="K556" s="180"/>
      <c r="L556" s="180"/>
      <c r="M556" s="180"/>
    </row>
    <row r="557" spans="10:13" s="1" customFormat="1">
      <c r="J557" s="180"/>
      <c r="K557" s="180"/>
      <c r="L557" s="180"/>
      <c r="M557" s="180"/>
    </row>
    <row r="558" spans="10:13" s="1" customFormat="1">
      <c r="J558" s="180"/>
      <c r="K558" s="180"/>
      <c r="L558" s="180"/>
      <c r="M558" s="180"/>
    </row>
    <row r="559" spans="10:13" s="1" customFormat="1">
      <c r="J559" s="180"/>
      <c r="K559" s="180"/>
      <c r="L559" s="180"/>
      <c r="M559" s="180"/>
    </row>
    <row r="560" spans="10:13" s="1" customFormat="1">
      <c r="J560" s="180"/>
      <c r="K560" s="180"/>
      <c r="L560" s="180"/>
      <c r="M560" s="180"/>
    </row>
    <row r="561" spans="10:13" s="1" customFormat="1">
      <c r="J561" s="180"/>
      <c r="K561" s="180"/>
      <c r="L561" s="180"/>
      <c r="M561" s="180"/>
    </row>
  </sheetData>
  <sheetProtection algorithmName="SHA-512" hashValue="LDDUjE2RgSMYL+DhqRO+vCnTneZwhQ+w35DtXsxLHlD6spVObxj+B1m++KgnGgmKLxU3QLJNTpfa6ZXrXXnGPQ==" saltValue="sGRVqoh9CFL+3rPdbsZJzw==" spinCount="100000" sheet="1" objects="1" scenarios="1"/>
  <mergeCells count="8">
    <mergeCell ref="J59:M74"/>
    <mergeCell ref="A2:A4"/>
    <mergeCell ref="E3:H4"/>
    <mergeCell ref="G6:H6"/>
    <mergeCell ref="J7:M22"/>
    <mergeCell ref="A56:A58"/>
    <mergeCell ref="E56:H57"/>
    <mergeCell ref="G58:H58"/>
  </mergeCells>
  <conditionalFormatting sqref="G8:G51">
    <cfRule type="cellIs" dxfId="9" priority="19" operator="equal">
      <formula>0</formula>
    </cfRule>
    <cfRule type="cellIs" dxfId="8" priority="20" operator="lessThan">
      <formula>0</formula>
    </cfRule>
    <cfRule type="cellIs" dxfId="7" priority="21" operator="greaterThan">
      <formula>0</formula>
    </cfRule>
  </conditionalFormatting>
  <conditionalFormatting sqref="G60:G89">
    <cfRule type="cellIs" dxfId="6" priority="5" operator="equal">
      <formula>0</formula>
    </cfRule>
    <cfRule type="cellIs" dxfId="5" priority="6" operator="lessThan">
      <formula>0</formula>
    </cfRule>
    <cfRule type="cellIs" dxfId="4" priority="7" operator="greaterThan">
      <formula>0</formula>
    </cfRule>
  </conditionalFormatting>
  <conditionalFormatting sqref="H8:H51">
    <cfRule type="cellIs" dxfId="3" priority="17" operator="equal">
      <formula>"(-) de moins sur le compte épargne"</formula>
    </cfRule>
    <cfRule type="cellIs" dxfId="2" priority="18" operator="equal">
      <formula>"(+) à ajouter sur le compte épargne"</formula>
    </cfRule>
  </conditionalFormatting>
  <conditionalFormatting sqref="H60:H89">
    <cfRule type="cellIs" dxfId="1" priority="1" operator="equal">
      <formula>"(-) de moins sur ce compte épargne"</formula>
    </cfRule>
    <cfRule type="cellIs" dxfId="0" priority="2" operator="equal">
      <formula>"(+) à ajouter sur ce compte épargne"</formula>
    </cfRule>
  </conditionalFormatting>
  <hyperlinks>
    <hyperlink ref="A2:A4" location="'Budget Gold'!A1" tooltip="Retour au tableau Budget Gold" display="Retour au Budget" xr:uid="{00000000-0004-0000-1600-000000000000}"/>
    <hyperlink ref="A56" location="'Budget Gold'!A1" display="Retour au budget" xr:uid="{00000000-0004-0000-1600-000001000000}"/>
    <hyperlink ref="A56:A58" location="'Budget Gold'!A1" tooltip="Retour au tableau Budget Gold" display="Retour au Budget" xr:uid="{00000000-0004-0000-1600-000002000000}"/>
    <hyperlink ref="A2" location="'Budget Gold'!A1" tooltip="Retour au tableau Budget Gold" display="Retour au Budget" xr:uid="{00000000-0004-0000-1600-000003000000}"/>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21</vt:i4>
      </vt:variant>
    </vt:vector>
  </HeadingPairs>
  <TitlesOfParts>
    <vt:vector size="44" baseType="lpstr">
      <vt:lpstr>Menu</vt:lpstr>
      <vt:lpstr>Menu 2</vt:lpstr>
      <vt:lpstr>Budget Gold</vt:lpstr>
      <vt:lpstr>Synthèse</vt:lpstr>
      <vt:lpstr>Menu Mariage</vt:lpstr>
      <vt:lpstr>Mariage</vt:lpstr>
      <vt:lpstr>Simulateur</vt:lpstr>
      <vt:lpstr>ImmoView 1</vt:lpstr>
      <vt:lpstr>ImmoView 2</vt:lpstr>
      <vt:lpstr>ImmoView 3</vt:lpstr>
      <vt:lpstr>Données</vt:lpstr>
      <vt:lpstr>Vir 1</vt:lpstr>
      <vt:lpstr>Vir 2</vt:lpstr>
      <vt:lpstr>Vir 3</vt:lpstr>
      <vt:lpstr>Vir 4</vt:lpstr>
      <vt:lpstr>Vir 5</vt:lpstr>
      <vt:lpstr>Vir 6</vt:lpstr>
      <vt:lpstr>Vir 7</vt:lpstr>
      <vt:lpstr>Vir 8</vt:lpstr>
      <vt:lpstr>Vir 9</vt:lpstr>
      <vt:lpstr>Vir 10</vt:lpstr>
      <vt:lpstr>Vir 11</vt:lpstr>
      <vt:lpstr>Vir 12</vt:lpstr>
      <vt:lpstr>CPROV</vt:lpstr>
      <vt:lpstr>CPTES</vt:lpstr>
      <vt:lpstr>CREDIT</vt:lpstr>
      <vt:lpstr>DATE</vt:lpstr>
      <vt:lpstr>DEBUDGET</vt:lpstr>
      <vt:lpstr>DEBUDGET1</vt:lpstr>
      <vt:lpstr>DFIX</vt:lpstr>
      <vt:lpstr>DIME</vt:lpstr>
      <vt:lpstr>DVAR</vt:lpstr>
      <vt:lpstr>EPAR</vt:lpstr>
      <vt:lpstr>EPARBUT</vt:lpstr>
      <vt:lpstr>NBMAJ</vt:lpstr>
      <vt:lpstr>NBMAJ1</vt:lpstr>
      <vt:lpstr>NBMIN</vt:lpstr>
      <vt:lpstr>NBMIN1</vt:lpstr>
      <vt:lpstr>OK</vt:lpstr>
      <vt:lpstr>PROV</vt:lpstr>
      <vt:lpstr>REV</vt:lpstr>
      <vt:lpstr>SITFA</vt:lpstr>
      <vt:lpstr>SITFA1</vt:lpstr>
      <vt:lpstr>VCDE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Saboukoulou</dc:creator>
  <cp:lastModifiedBy>Stéphane PIZEUIL</cp:lastModifiedBy>
  <cp:lastPrinted>2022-12-08T14:57:54Z</cp:lastPrinted>
  <dcterms:created xsi:type="dcterms:W3CDTF">1996-10-14T23:33:28Z</dcterms:created>
  <dcterms:modified xsi:type="dcterms:W3CDTF">2026-05-10T13:57:24Z</dcterms:modified>
</cp:coreProperties>
</file>